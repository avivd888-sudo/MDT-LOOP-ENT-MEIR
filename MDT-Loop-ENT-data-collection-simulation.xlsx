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Summary" sheetId="2" state="visible" r:id="rId4"/>
    <sheet name="Patients" sheetId="3" state="visible" r:id="rId5"/>
    <sheet name="Historical" sheetId="4" state="visible" r:id="rId6"/>
    <sheet name="MDT" sheetId="5" state="visible" r:id="rId7"/>
    <sheet name="Loops" sheetId="6" state="visible" r:id="rId8"/>
    <sheet name="Screening" sheetId="7" state="visible" r:id="rId9"/>
    <sheet name="Staff" sheetId="8" state="visible" r:id="rId10"/>
    <sheet name="Dictionary" sheetId="9" state="visible" r:id="rId11"/>
    <sheet name="Lists" sheetId="10" state="visible" r:id="rId12"/>
  </sheets>
  <definedNames>
    <definedName function="false" hidden="false" name="L_ace" vbProcedure="false">Lists!$AC$2:$AC$5</definedName>
    <definedName function="false" hidden="false" name="L_alc" vbProcedure="false">Lists!$AA$2:$AA$5</definedName>
    <definedName function="false" hidden="false" name="L_closer" vbProcedure="false">Lists!$AO$2:$AO$5</definedName>
    <definedName function="false" hidden="false" name="L_defer" vbProcedure="false">Lists!$AS$2:$AS$10</definedName>
    <definedName function="false" hidden="false" name="L_disc" vbProcedure="false">Lists!$AU$2:$AU$13</definedName>
    <definedName function="false" hidden="false" name="L_dist" vbProcedure="false">Lists!$AE$2:$AE$6</definedName>
    <definedName function="false" hidden="false" name="L_ecog" vbProcedure="false">Lists!$W$2:$W$6</definedName>
    <definedName function="false" hidden="false" name="L_excl" vbProcedure="false">Lists!$BA$2:$BA$8</definedName>
    <definedName function="false" hidden="false" name="L_hist" vbProcedure="false">Lists!$G$2:$G$16</definedName>
    <definedName function="false" hidden="false" name="L_ltype" vbProcedure="false">Lists!$AW$2:$AW$12</definedName>
    <definedName function="false" hidden="false" name="L_M" vbProcedure="false">Lists!$M$2:$M$3</definedName>
    <definedName function="false" hidden="false" name="L_marker" vbProcedure="false">Lists!$Q$2:$Q$5</definedName>
    <definedName function="false" hidden="false" name="L_mdtout" vbProcedure="false">Lists!$AQ$2:$AQ$4</definedName>
    <definedName function="false" hidden="false" name="L_mod" vbProcedure="false">Lists!$AG$2:$AG$8</definedName>
    <definedName function="false" hidden="false" name="L_N" vbProcedure="false">Lists!$K$2:$K$11</definedName>
    <definedName function="false" hidden="false" name="L_nonconc" vbProcedure="false">Lists!$AK$2:$AK$8</definedName>
    <definedName function="false" hidden="false" name="L_phase" vbProcedure="false">Lists!$AY$2:$AY$3</definedName>
    <definedName function="false" hidden="false" name="L_sex" vbProcedure="false">Lists!$U$2:$U$3</definedName>
    <definedName function="false" hidden="false" name="L_side" vbProcedure="false">Lists!$D$2:$D$5</definedName>
    <definedName function="false" hidden="false" name="L_site" vbProcedure="false">Lists!$A$2:$A$24</definedName>
    <definedName function="false" hidden="false" name="L_smoke" vbProcedure="false">Lists!$Y$2:$Y$5</definedName>
    <definedName function="false" hidden="false" name="L_stage" vbProcedure="false">Lists!$O$2:$O$9</definedName>
    <definedName function="false" hidden="false" name="L_status" vbProcedure="false">Lists!$AM$2:$AM$5</definedName>
    <definedName function="false" hidden="false" name="L_T" vbProcedure="false">Lists!$I$2:$I$10</definedName>
    <definedName function="false" hidden="false" name="L_txsite" vbProcedure="false">Lists!$AI$2:$AI$4</definedName>
    <definedName function="false" hidden="false" name="L_yn" vbProcedure="false">Lists!$S$2:$S$3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3" authorId="0">
      <text>
        <r>
          <rPr>
            <sz val="10"/>
            <rFont val="FreeSans"/>
            <family val="2"/>
          </rPr>
          <t xml:space="preserve">נוצר אוטומטית מהמספר הרץ, האתר, הצד ותאריך דוח הפתולוגיה. לאחר ההקצאה — קבוע</t>
        </r>
        <r>
          <rPr>
            <sz val="10"/>
            <rFont val="Arial"/>
            <family val="2"/>
          </rPr>
          <t xml:space="preserve">.</t>
        </r>
      </text>
    </comment>
    <comment ref="B3" authorId="0">
      <text>
        <r>
          <rPr>
            <sz val="10"/>
            <rFont val="FreeSans"/>
            <family val="2"/>
          </rPr>
          <t xml:space="preserve">מוקצה לפי סדר הכניסה למחקר</t>
        </r>
        <r>
          <rPr>
            <sz val="10"/>
            <rFont val="Arial"/>
            <family val="2"/>
          </rPr>
          <t xml:space="preserve">.</t>
        </r>
      </text>
    </comment>
    <comment ref="C3" authorId="0">
      <text>
        <r>
          <rPr>
            <sz val="10"/>
            <rFont val="FreeSans"/>
            <family val="2"/>
          </rPr>
          <t xml:space="preserve">רשימה בגיליון </t>
        </r>
        <r>
          <rPr>
            <sz val="10"/>
            <rFont val="Arial"/>
            <family val="2"/>
          </rPr>
          <t xml:space="preserve">Lists.</t>
        </r>
      </text>
    </comment>
    <comment ref="D3" authorId="0">
      <text>
        <r>
          <rPr>
            <sz val="10"/>
            <rFont val="Arial"/>
            <family val="2"/>
          </rPr>
          <t xml:space="preserve">R </t>
        </r>
        <r>
          <rPr>
            <sz val="10"/>
            <rFont val="FreeSans"/>
            <family val="2"/>
          </rPr>
          <t xml:space="preserve">ימין </t>
        </r>
        <r>
          <rPr>
            <sz val="10"/>
            <rFont val="Arial"/>
            <family val="2"/>
          </rPr>
          <t xml:space="preserve">· L </t>
        </r>
        <r>
          <rPr>
            <sz val="10"/>
            <rFont val="FreeSans"/>
            <family val="2"/>
          </rPr>
          <t xml:space="preserve">שמאל </t>
        </r>
        <r>
          <rPr>
            <sz val="10"/>
            <rFont val="Arial"/>
            <family val="2"/>
          </rPr>
          <t xml:space="preserve">· M </t>
        </r>
        <r>
          <rPr>
            <sz val="10"/>
            <rFont val="FreeSans"/>
            <family val="2"/>
          </rPr>
          <t xml:space="preserve">קו אמצע </t>
        </r>
        <r>
          <rPr>
            <sz val="10"/>
            <rFont val="Arial"/>
            <family val="2"/>
          </rPr>
          <t xml:space="preserve">· B </t>
        </r>
        <r>
          <rPr>
            <sz val="10"/>
            <rFont val="FreeSans"/>
            <family val="2"/>
          </rPr>
          <t xml:space="preserve">דו-צדדי</t>
        </r>
        <r>
          <rPr>
            <sz val="10"/>
            <rFont val="Arial"/>
            <family val="2"/>
          </rPr>
          <t xml:space="preserve">.</t>
        </r>
      </text>
    </comment>
    <comment ref="E3" authorId="0">
      <text>
        <r>
          <rPr>
            <sz val="10"/>
            <rFont val="FreeSans"/>
            <family val="2"/>
          </rPr>
          <t xml:space="preserve">זרוע ההתערבות בלבד (</t>
        </r>
        <r>
          <rPr>
            <sz val="10"/>
            <rFont val="Arial"/>
            <family val="2"/>
          </rPr>
          <t xml:space="preserve">8.1).</t>
        </r>
      </text>
    </comment>
    <comment ref="G3" authorId="0">
      <text>
        <r>
          <rPr>
            <sz val="10"/>
            <rFont val="FreeSans"/>
            <family val="2"/>
          </rPr>
          <t xml:space="preserve">גיל ולא תאריך לידה</t>
        </r>
        <r>
          <rPr>
            <sz val="10"/>
            <rFont val="Arial"/>
            <family val="2"/>
          </rPr>
          <t xml:space="preserve">.</t>
        </r>
      </text>
    </comment>
    <comment ref="N3" authorId="0">
      <text>
        <r>
          <rPr>
            <sz val="10"/>
            <rFont val="FreeSans"/>
            <family val="2"/>
          </rPr>
          <t xml:space="preserve">בטווחים בלבד — לא כתובת</t>
        </r>
        <r>
          <rPr>
            <sz val="10"/>
            <rFont val="Arial"/>
            <family val="2"/>
          </rPr>
          <t xml:space="preserve">.</t>
        </r>
      </text>
    </comment>
    <comment ref="P3" authorId="0">
      <text>
        <r>
          <rPr>
            <sz val="10"/>
            <rFont val="Arial"/>
            <family val="2"/>
          </rPr>
          <t xml:space="preserve">AJCC 8.</t>
        </r>
      </text>
    </comment>
    <comment ref="Q3" authorId="0">
      <text>
        <r>
          <rPr>
            <sz val="10"/>
            <rFont val="Arial"/>
            <family val="2"/>
          </rPr>
          <t xml:space="preserve">AJCC 8.</t>
        </r>
      </text>
    </comment>
    <comment ref="S3" authorId="0">
      <text>
        <r>
          <rPr>
            <sz val="10"/>
            <rFont val="Arial"/>
            <family val="2"/>
          </rPr>
          <t xml:space="preserve">AJCC 8.</t>
        </r>
      </text>
    </comment>
    <comment ref="T3" authorId="0">
      <text>
        <r>
          <rPr>
            <sz val="10"/>
            <rFont val="FreeSans"/>
            <family val="2"/>
          </rPr>
          <t xml:space="preserve">לוע הפה</t>
        </r>
        <r>
          <rPr>
            <sz val="10"/>
            <rFont val="Arial"/>
            <family val="2"/>
          </rPr>
          <t xml:space="preserve">.</t>
        </r>
      </text>
    </comment>
    <comment ref="U3" authorId="0">
      <text>
        <r>
          <rPr>
            <sz val="10"/>
            <rFont val="FreeSans"/>
            <family val="2"/>
          </rPr>
          <t xml:space="preserve">לוע האף</t>
        </r>
        <r>
          <rPr>
            <sz val="10"/>
            <rFont val="Arial"/>
            <family val="2"/>
          </rPr>
          <t xml:space="preserve">.</t>
        </r>
      </text>
    </comment>
    <comment ref="V3" authorId="0">
      <text>
        <r>
          <rPr>
            <sz val="10"/>
            <rFont val="FreeSans"/>
            <family val="2"/>
          </rPr>
          <t xml:space="preserve">אחרי ניתוח</t>
        </r>
        <r>
          <rPr>
            <sz val="10"/>
            <rFont val="Arial"/>
            <family val="2"/>
          </rPr>
          <t xml:space="preserve">.</t>
        </r>
      </text>
    </comment>
    <comment ref="W3" authorId="0">
      <text>
        <r>
          <rPr>
            <sz val="10"/>
            <rFont val="FreeSans"/>
            <family val="2"/>
          </rPr>
          <t xml:space="preserve">אחרי ניתוח</t>
        </r>
        <r>
          <rPr>
            <sz val="10"/>
            <rFont val="Arial"/>
            <family val="2"/>
          </rPr>
          <t xml:space="preserve">.</t>
        </r>
      </text>
    </comment>
    <comment ref="Z3" authorId="0">
      <text>
        <r>
          <rPr>
            <sz val="10"/>
            <rFont val="FreeSans"/>
            <family val="2"/>
          </rPr>
          <t xml:space="preserve">נקודת האפס של המחקר (</t>
        </r>
        <r>
          <rPr>
            <sz val="10"/>
            <rFont val="Arial"/>
            <family val="2"/>
          </rPr>
          <t xml:space="preserve">5.5).</t>
        </r>
      </text>
    </comment>
    <comment ref="AB3" authorId="0">
      <text>
        <r>
          <rPr>
            <sz val="10"/>
            <rFont val="FreeSans"/>
            <family val="2"/>
          </rPr>
          <t xml:space="preserve">ריק אם לא בוצע</t>
        </r>
        <r>
          <rPr>
            <sz val="10"/>
            <rFont val="Arial"/>
            <family val="2"/>
          </rPr>
          <t xml:space="preserve">.</t>
        </r>
      </text>
    </comment>
    <comment ref="AD3" authorId="0">
      <text>
        <r>
          <rPr>
            <sz val="10"/>
            <rFont val="FreeSans"/>
            <family val="2"/>
          </rPr>
          <t xml:space="preserve">אם נדחה — מועד ההחלטה בפועל</t>
        </r>
        <r>
          <rPr>
            <sz val="10"/>
            <rFont val="Arial"/>
            <family val="2"/>
          </rPr>
          <t xml:space="preserve">.</t>
        </r>
      </text>
    </comment>
    <comment ref="AG3" authorId="0">
      <text>
        <r>
          <rPr>
            <sz val="10"/>
            <rFont val="FreeSans"/>
            <family val="2"/>
          </rPr>
          <t xml:space="preserve">לבחינת </t>
        </r>
        <r>
          <rPr>
            <sz val="10"/>
            <rFont val="Arial"/>
            <family val="2"/>
          </rPr>
          <t xml:space="preserve">H0.</t>
        </r>
      </text>
    </comment>
    <comment ref="AH3" authorId="0">
      <text>
        <r>
          <rPr>
            <sz val="10"/>
            <rFont val="FreeSans"/>
            <family val="2"/>
          </rPr>
          <t xml:space="preserve">לבחינת </t>
        </r>
        <r>
          <rPr>
            <sz val="10"/>
            <rFont val="Arial"/>
            <family val="2"/>
          </rPr>
          <t xml:space="preserve">H0.</t>
        </r>
      </text>
    </comment>
    <comment ref="AI3" authorId="0">
      <text>
        <r>
          <rPr>
            <sz val="10"/>
            <rFont val="FreeSans"/>
            <family val="2"/>
          </rPr>
          <t xml:space="preserve">התוצא הראשוני מסתיים כאן</t>
        </r>
        <r>
          <rPr>
            <sz val="10"/>
            <rFont val="Arial"/>
            <family val="2"/>
          </rPr>
          <t xml:space="preserve">.</t>
        </r>
      </text>
    </comment>
    <comment ref="AM3" authorId="0">
      <text>
        <r>
          <rPr>
            <sz val="10"/>
            <rFont val="FreeSans"/>
            <family val="2"/>
          </rPr>
          <t xml:space="preserve">עם פתולוגיה סופית</t>
        </r>
        <r>
          <rPr>
            <sz val="10"/>
            <rFont val="Arial"/>
            <family val="2"/>
          </rPr>
          <t xml:space="preserve">.</t>
        </r>
      </text>
    </comment>
    <comment ref="AP3" authorId="0">
      <text>
        <r>
          <rPr>
            <sz val="10"/>
            <rFont val="Arial"/>
            <family val="2"/>
          </rPr>
          <t xml:space="preserve">Cook 2022.</t>
        </r>
      </text>
    </comment>
    <comment ref="AQ3" authorId="0">
      <text>
        <r>
          <rPr>
            <sz val="10"/>
            <rFont val="Arial"/>
            <family val="2"/>
          </rPr>
          <t xml:space="preserve">Cook 2022.</t>
        </r>
      </text>
    </comment>
    <comment ref="AR3" authorId="0">
      <text>
        <r>
          <rPr>
            <sz val="10"/>
            <rFont val="FreeSans"/>
            <family val="2"/>
          </rPr>
          <t xml:space="preserve">מחושב מגיליון </t>
        </r>
        <r>
          <rPr>
            <sz val="10"/>
            <rFont val="Arial"/>
            <family val="2"/>
          </rPr>
          <t xml:space="preserve">MDT.</t>
        </r>
      </text>
    </comment>
    <comment ref="AS3" authorId="0">
      <text>
        <r>
          <rPr>
            <sz val="10"/>
            <rFont val="FreeSans"/>
            <family val="2"/>
          </rPr>
          <t xml:space="preserve">מחושב מגיליון </t>
        </r>
        <r>
          <rPr>
            <sz val="10"/>
            <rFont val="Arial"/>
            <family val="2"/>
          </rPr>
          <t xml:space="preserve">MDT.</t>
        </r>
      </text>
    </comment>
    <comment ref="AV3" authorId="0">
      <text>
        <r>
          <rPr>
            <sz val="10"/>
            <rFont val="FreeSans"/>
            <family val="2"/>
          </rPr>
          <t xml:space="preserve">מרווח הבירור</t>
        </r>
        <r>
          <rPr>
            <sz val="10"/>
            <rFont val="Arial"/>
            <family val="2"/>
          </rPr>
          <t xml:space="preserve">.</t>
        </r>
      </text>
    </comment>
    <comment ref="AW3" authorId="0">
      <text>
        <r>
          <rPr>
            <sz val="10"/>
            <rFont val="FreeSans"/>
            <family val="2"/>
          </rPr>
          <t xml:space="preserve">תוצא משני</t>
        </r>
        <r>
          <rPr>
            <sz val="10"/>
            <rFont val="Arial"/>
            <family val="2"/>
          </rPr>
          <t xml:space="preserve">.</t>
        </r>
      </text>
    </comment>
    <comment ref="AX3" authorId="0">
      <text>
        <r>
          <rPr>
            <sz val="10"/>
            <rFont val="FreeSans"/>
            <family val="2"/>
          </rPr>
          <t xml:space="preserve">תוצא משני</t>
        </r>
        <r>
          <rPr>
            <sz val="10"/>
            <rFont val="Arial"/>
            <family val="2"/>
          </rPr>
          <t xml:space="preserve">.</t>
        </r>
      </text>
    </comment>
    <comment ref="AY3" authorId="0">
      <text>
        <r>
          <rPr>
            <sz val="10"/>
            <rFont val="FreeSans"/>
            <family val="2"/>
          </rPr>
          <t xml:space="preserve">התוצא הראשוני (</t>
        </r>
        <r>
          <rPr>
            <sz val="10"/>
            <rFont val="Arial"/>
            <family val="2"/>
          </rPr>
          <t xml:space="preserve">5.6).</t>
        </r>
      </text>
    </comment>
    <comment ref="BA3" authorId="0">
      <text>
        <r>
          <rPr>
            <sz val="10"/>
            <rFont val="Arial"/>
            <family val="2"/>
          </rPr>
          <t xml:space="preserve">Liao 2019.</t>
        </r>
      </text>
    </comment>
    <comment ref="BB3" authorId="0">
      <text>
        <r>
          <rPr>
            <sz val="10"/>
            <rFont val="Arial"/>
            <family val="2"/>
          </rPr>
          <t xml:space="preserve">Murphy 2016.</t>
        </r>
      </text>
    </comment>
    <comment ref="BC3" authorId="0">
      <text>
        <r>
          <rPr>
            <sz val="10"/>
            <rFont val="FreeSans"/>
            <family val="2"/>
          </rPr>
          <t xml:space="preserve">ניתוח בלבד</t>
        </r>
        <r>
          <rPr>
            <sz val="10"/>
            <rFont val="Arial"/>
            <family val="2"/>
          </rPr>
          <t xml:space="preserve">.</t>
        </r>
      </text>
    </comment>
    <comment ref="BD3" authorId="0">
      <text>
        <r>
          <rPr>
            <sz val="10"/>
            <rFont val="FreeSans"/>
            <family val="2"/>
          </rPr>
          <t xml:space="preserve">קיבולת חדר ניתוח</t>
        </r>
        <r>
          <rPr>
            <sz val="10"/>
            <rFont val="Arial"/>
            <family val="2"/>
          </rPr>
          <t xml:space="preserve">.</t>
        </r>
      </text>
    </comment>
    <comment ref="BE3" authorId="0">
      <text>
        <r>
          <rPr>
            <sz val="10"/>
            <rFont val="FreeSans"/>
            <family val="2"/>
          </rPr>
          <t xml:space="preserve">קיבולת מכון ההקרנות (טיפול ראשוני)</t>
        </r>
        <r>
          <rPr>
            <sz val="10"/>
            <rFont val="Arial"/>
            <family val="2"/>
          </rPr>
          <t xml:space="preserve">.</t>
        </r>
      </text>
    </comment>
    <comment ref="BF3" authorId="0">
      <text>
        <r>
          <rPr>
            <sz val="10"/>
            <rFont val="FreeSans"/>
            <family val="2"/>
          </rPr>
          <t xml:space="preserve">מרווח ההחלטה השני</t>
        </r>
        <r>
          <rPr>
            <sz val="10"/>
            <rFont val="Arial"/>
            <family val="2"/>
          </rPr>
          <t xml:space="preserve">.</t>
        </r>
      </text>
    </comment>
    <comment ref="BH3" authorId="0">
      <text>
        <r>
          <rPr>
            <sz val="10"/>
            <rFont val="Arial"/>
            <family val="2"/>
          </rPr>
          <t xml:space="preserve">NCCN v1.2026, 2A.</t>
        </r>
      </text>
    </comment>
    <comment ref="BI3" authorId="0">
      <text>
        <r>
          <rPr>
            <sz val="10"/>
            <rFont val="FreeSans"/>
            <family val="2"/>
          </rPr>
          <t xml:space="preserve">אסור לכתוב שם, ת״ז או תאריך לידה</t>
        </r>
        <r>
          <rPr>
            <sz val="10"/>
            <rFont val="Arial"/>
            <family val="2"/>
          </rPr>
          <t xml:space="preserve">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3" authorId="0">
      <text>
        <r>
          <rPr>
            <sz val="10"/>
            <rFont val="FreeSans"/>
            <family val="2"/>
          </rPr>
          <t xml:space="preserve">נוצר אוטומטית מהמספר הרץ, האתר, הצד ותאריך דוח הפתולוגיה. לאחר ההקצאה — קבוע</t>
        </r>
        <r>
          <rPr>
            <sz val="10"/>
            <rFont val="Arial"/>
            <family val="2"/>
          </rPr>
          <t xml:space="preserve">.</t>
        </r>
      </text>
    </comment>
    <comment ref="B3" authorId="0">
      <text>
        <r>
          <rPr>
            <sz val="10"/>
            <rFont val="FreeSans"/>
            <family val="2"/>
          </rPr>
          <t xml:space="preserve">מוקצה לפי סדר הכניסה למחקר</t>
        </r>
        <r>
          <rPr>
            <sz val="10"/>
            <rFont val="Arial"/>
            <family val="2"/>
          </rPr>
          <t xml:space="preserve">.</t>
        </r>
      </text>
    </comment>
    <comment ref="C3" authorId="0">
      <text>
        <r>
          <rPr>
            <sz val="10"/>
            <rFont val="FreeSans"/>
            <family val="2"/>
          </rPr>
          <t xml:space="preserve">רשימה בגיליון </t>
        </r>
        <r>
          <rPr>
            <sz val="10"/>
            <rFont val="Arial"/>
            <family val="2"/>
          </rPr>
          <t xml:space="preserve">Lists.</t>
        </r>
      </text>
    </comment>
    <comment ref="D3" authorId="0">
      <text>
        <r>
          <rPr>
            <sz val="10"/>
            <rFont val="Arial"/>
            <family val="2"/>
          </rPr>
          <t xml:space="preserve">R </t>
        </r>
        <r>
          <rPr>
            <sz val="10"/>
            <rFont val="FreeSans"/>
            <family val="2"/>
          </rPr>
          <t xml:space="preserve">ימין </t>
        </r>
        <r>
          <rPr>
            <sz val="10"/>
            <rFont val="Arial"/>
            <family val="2"/>
          </rPr>
          <t xml:space="preserve">· L </t>
        </r>
        <r>
          <rPr>
            <sz val="10"/>
            <rFont val="FreeSans"/>
            <family val="2"/>
          </rPr>
          <t xml:space="preserve">שמאל </t>
        </r>
        <r>
          <rPr>
            <sz val="10"/>
            <rFont val="Arial"/>
            <family val="2"/>
          </rPr>
          <t xml:space="preserve">· M </t>
        </r>
        <r>
          <rPr>
            <sz val="10"/>
            <rFont val="FreeSans"/>
            <family val="2"/>
          </rPr>
          <t xml:space="preserve">קו אמצע </t>
        </r>
        <r>
          <rPr>
            <sz val="10"/>
            <rFont val="Arial"/>
            <family val="2"/>
          </rPr>
          <t xml:space="preserve">· B </t>
        </r>
        <r>
          <rPr>
            <sz val="10"/>
            <rFont val="FreeSans"/>
            <family val="2"/>
          </rPr>
          <t xml:space="preserve">דו-צדדי</t>
        </r>
        <r>
          <rPr>
            <sz val="10"/>
            <rFont val="Arial"/>
            <family val="2"/>
          </rPr>
          <t xml:space="preserve">.</t>
        </r>
      </text>
    </comment>
    <comment ref="E3" authorId="0">
      <text>
        <r>
          <rPr>
            <sz val="10"/>
            <rFont val="FreeSans"/>
            <family val="2"/>
          </rPr>
          <t xml:space="preserve">זרוע ההתערבות בלבד (</t>
        </r>
        <r>
          <rPr>
            <sz val="10"/>
            <rFont val="Arial"/>
            <family val="2"/>
          </rPr>
          <t xml:space="preserve">8.1).</t>
        </r>
      </text>
    </comment>
    <comment ref="G3" authorId="0">
      <text>
        <r>
          <rPr>
            <sz val="10"/>
            <rFont val="FreeSans"/>
            <family val="2"/>
          </rPr>
          <t xml:space="preserve">גיל ולא תאריך לידה</t>
        </r>
        <r>
          <rPr>
            <sz val="10"/>
            <rFont val="Arial"/>
            <family val="2"/>
          </rPr>
          <t xml:space="preserve">.</t>
        </r>
      </text>
    </comment>
    <comment ref="N3" authorId="0">
      <text>
        <r>
          <rPr>
            <sz val="10"/>
            <rFont val="FreeSans"/>
            <family val="2"/>
          </rPr>
          <t xml:space="preserve">בטווחים בלבד — לא כתובת</t>
        </r>
        <r>
          <rPr>
            <sz val="10"/>
            <rFont val="Arial"/>
            <family val="2"/>
          </rPr>
          <t xml:space="preserve">.</t>
        </r>
      </text>
    </comment>
    <comment ref="P3" authorId="0">
      <text>
        <r>
          <rPr>
            <sz val="10"/>
            <rFont val="Arial"/>
            <family val="2"/>
          </rPr>
          <t xml:space="preserve">AJCC 8.</t>
        </r>
      </text>
    </comment>
    <comment ref="Q3" authorId="0">
      <text>
        <r>
          <rPr>
            <sz val="10"/>
            <rFont val="Arial"/>
            <family val="2"/>
          </rPr>
          <t xml:space="preserve">AJCC 8.</t>
        </r>
      </text>
    </comment>
    <comment ref="S3" authorId="0">
      <text>
        <r>
          <rPr>
            <sz val="10"/>
            <rFont val="Arial"/>
            <family val="2"/>
          </rPr>
          <t xml:space="preserve">AJCC 8.</t>
        </r>
      </text>
    </comment>
    <comment ref="T3" authorId="0">
      <text>
        <r>
          <rPr>
            <sz val="10"/>
            <rFont val="FreeSans"/>
            <family val="2"/>
          </rPr>
          <t xml:space="preserve">לוע הפה</t>
        </r>
        <r>
          <rPr>
            <sz val="10"/>
            <rFont val="Arial"/>
            <family val="2"/>
          </rPr>
          <t xml:space="preserve">.</t>
        </r>
      </text>
    </comment>
    <comment ref="U3" authorId="0">
      <text>
        <r>
          <rPr>
            <sz val="10"/>
            <rFont val="FreeSans"/>
            <family val="2"/>
          </rPr>
          <t xml:space="preserve">לוע האף</t>
        </r>
        <r>
          <rPr>
            <sz val="10"/>
            <rFont val="Arial"/>
            <family val="2"/>
          </rPr>
          <t xml:space="preserve">.</t>
        </r>
      </text>
    </comment>
    <comment ref="V3" authorId="0">
      <text>
        <r>
          <rPr>
            <sz val="10"/>
            <rFont val="FreeSans"/>
            <family val="2"/>
          </rPr>
          <t xml:space="preserve">אחרי ניתוח</t>
        </r>
        <r>
          <rPr>
            <sz val="10"/>
            <rFont val="Arial"/>
            <family val="2"/>
          </rPr>
          <t xml:space="preserve">.</t>
        </r>
      </text>
    </comment>
    <comment ref="W3" authorId="0">
      <text>
        <r>
          <rPr>
            <sz val="10"/>
            <rFont val="FreeSans"/>
            <family val="2"/>
          </rPr>
          <t xml:space="preserve">אחרי ניתוח</t>
        </r>
        <r>
          <rPr>
            <sz val="10"/>
            <rFont val="Arial"/>
            <family val="2"/>
          </rPr>
          <t xml:space="preserve">.</t>
        </r>
      </text>
    </comment>
    <comment ref="Z3" authorId="0">
      <text>
        <r>
          <rPr>
            <sz val="10"/>
            <rFont val="FreeSans"/>
            <family val="2"/>
          </rPr>
          <t xml:space="preserve">נקודת האפס של המחקר (</t>
        </r>
        <r>
          <rPr>
            <sz val="10"/>
            <rFont val="Arial"/>
            <family val="2"/>
          </rPr>
          <t xml:space="preserve">5.5).</t>
        </r>
      </text>
    </comment>
    <comment ref="AB3" authorId="0">
      <text>
        <r>
          <rPr>
            <sz val="10"/>
            <rFont val="FreeSans"/>
            <family val="2"/>
          </rPr>
          <t xml:space="preserve">ריק אם לא בוצע</t>
        </r>
        <r>
          <rPr>
            <sz val="10"/>
            <rFont val="Arial"/>
            <family val="2"/>
          </rPr>
          <t xml:space="preserve">.</t>
        </r>
      </text>
    </comment>
    <comment ref="AD3" authorId="0">
      <text>
        <r>
          <rPr>
            <sz val="10"/>
            <rFont val="FreeSans"/>
            <family val="2"/>
          </rPr>
          <t xml:space="preserve">אם נדחה — מועד ההחלטה בפועל</t>
        </r>
        <r>
          <rPr>
            <sz val="10"/>
            <rFont val="Arial"/>
            <family val="2"/>
          </rPr>
          <t xml:space="preserve">.</t>
        </r>
      </text>
    </comment>
    <comment ref="AG3" authorId="0">
      <text>
        <r>
          <rPr>
            <sz val="10"/>
            <rFont val="FreeSans"/>
            <family val="2"/>
          </rPr>
          <t xml:space="preserve">לבחינת </t>
        </r>
        <r>
          <rPr>
            <sz val="10"/>
            <rFont val="Arial"/>
            <family val="2"/>
          </rPr>
          <t xml:space="preserve">H0.</t>
        </r>
      </text>
    </comment>
    <comment ref="AH3" authorId="0">
      <text>
        <r>
          <rPr>
            <sz val="10"/>
            <rFont val="FreeSans"/>
            <family val="2"/>
          </rPr>
          <t xml:space="preserve">לבחינת </t>
        </r>
        <r>
          <rPr>
            <sz val="10"/>
            <rFont val="Arial"/>
            <family val="2"/>
          </rPr>
          <t xml:space="preserve">H0.</t>
        </r>
      </text>
    </comment>
    <comment ref="AI3" authorId="0">
      <text>
        <r>
          <rPr>
            <sz val="10"/>
            <rFont val="FreeSans"/>
            <family val="2"/>
          </rPr>
          <t xml:space="preserve">התוצא הראשוני מסתיים כאן</t>
        </r>
        <r>
          <rPr>
            <sz val="10"/>
            <rFont val="Arial"/>
            <family val="2"/>
          </rPr>
          <t xml:space="preserve">.</t>
        </r>
      </text>
    </comment>
    <comment ref="AM3" authorId="0">
      <text>
        <r>
          <rPr>
            <sz val="10"/>
            <rFont val="FreeSans"/>
            <family val="2"/>
          </rPr>
          <t xml:space="preserve">עם פתולוגיה סופית</t>
        </r>
        <r>
          <rPr>
            <sz val="10"/>
            <rFont val="Arial"/>
            <family val="2"/>
          </rPr>
          <t xml:space="preserve">.</t>
        </r>
      </text>
    </comment>
    <comment ref="AP3" authorId="0">
      <text>
        <r>
          <rPr>
            <sz val="10"/>
            <rFont val="Arial"/>
            <family val="2"/>
          </rPr>
          <t xml:space="preserve">Cook 2022.</t>
        </r>
      </text>
    </comment>
    <comment ref="AQ3" authorId="0">
      <text>
        <r>
          <rPr>
            <sz val="10"/>
            <rFont val="Arial"/>
            <family val="2"/>
          </rPr>
          <t xml:space="preserve">Cook 2022.</t>
        </r>
      </text>
    </comment>
    <comment ref="AR3" authorId="0">
      <text>
        <r>
          <rPr>
            <sz val="10"/>
            <rFont val="FreeSans"/>
            <family val="2"/>
          </rPr>
          <t xml:space="preserve">מחושב מגיליון </t>
        </r>
        <r>
          <rPr>
            <sz val="10"/>
            <rFont val="Arial"/>
            <family val="2"/>
          </rPr>
          <t xml:space="preserve">MDT.</t>
        </r>
      </text>
    </comment>
    <comment ref="AS3" authorId="0">
      <text>
        <r>
          <rPr>
            <sz val="10"/>
            <rFont val="FreeSans"/>
            <family val="2"/>
          </rPr>
          <t xml:space="preserve">מחושב מגיליון </t>
        </r>
        <r>
          <rPr>
            <sz val="10"/>
            <rFont val="Arial"/>
            <family val="2"/>
          </rPr>
          <t xml:space="preserve">MDT.</t>
        </r>
      </text>
    </comment>
    <comment ref="AV3" authorId="0">
      <text>
        <r>
          <rPr>
            <sz val="10"/>
            <rFont val="FreeSans"/>
            <family val="2"/>
          </rPr>
          <t xml:space="preserve">מרווח הבירור</t>
        </r>
        <r>
          <rPr>
            <sz val="10"/>
            <rFont val="Arial"/>
            <family val="2"/>
          </rPr>
          <t xml:space="preserve">.</t>
        </r>
      </text>
    </comment>
    <comment ref="AW3" authorId="0">
      <text>
        <r>
          <rPr>
            <sz val="10"/>
            <rFont val="FreeSans"/>
            <family val="2"/>
          </rPr>
          <t xml:space="preserve">תוצא משני</t>
        </r>
        <r>
          <rPr>
            <sz val="10"/>
            <rFont val="Arial"/>
            <family val="2"/>
          </rPr>
          <t xml:space="preserve">.</t>
        </r>
      </text>
    </comment>
    <comment ref="AX3" authorId="0">
      <text>
        <r>
          <rPr>
            <sz val="10"/>
            <rFont val="FreeSans"/>
            <family val="2"/>
          </rPr>
          <t xml:space="preserve">תוצא משני</t>
        </r>
        <r>
          <rPr>
            <sz val="10"/>
            <rFont val="Arial"/>
            <family val="2"/>
          </rPr>
          <t xml:space="preserve">.</t>
        </r>
      </text>
    </comment>
    <comment ref="AY3" authorId="0">
      <text>
        <r>
          <rPr>
            <sz val="10"/>
            <rFont val="FreeSans"/>
            <family val="2"/>
          </rPr>
          <t xml:space="preserve">התוצא הראשוני (</t>
        </r>
        <r>
          <rPr>
            <sz val="10"/>
            <rFont val="Arial"/>
            <family val="2"/>
          </rPr>
          <t xml:space="preserve">5.6).</t>
        </r>
      </text>
    </comment>
    <comment ref="BA3" authorId="0">
      <text>
        <r>
          <rPr>
            <sz val="10"/>
            <rFont val="Arial"/>
            <family val="2"/>
          </rPr>
          <t xml:space="preserve">Liao 2019.</t>
        </r>
      </text>
    </comment>
    <comment ref="BB3" authorId="0">
      <text>
        <r>
          <rPr>
            <sz val="10"/>
            <rFont val="Arial"/>
            <family val="2"/>
          </rPr>
          <t xml:space="preserve">Murphy 2016.</t>
        </r>
      </text>
    </comment>
    <comment ref="BC3" authorId="0">
      <text>
        <r>
          <rPr>
            <sz val="10"/>
            <rFont val="FreeSans"/>
            <family val="2"/>
          </rPr>
          <t xml:space="preserve">ניתוח בלבד</t>
        </r>
        <r>
          <rPr>
            <sz val="10"/>
            <rFont val="Arial"/>
            <family val="2"/>
          </rPr>
          <t xml:space="preserve">.</t>
        </r>
      </text>
    </comment>
    <comment ref="BD3" authorId="0">
      <text>
        <r>
          <rPr>
            <sz val="10"/>
            <rFont val="FreeSans"/>
            <family val="2"/>
          </rPr>
          <t xml:space="preserve">קיבולת חדר ניתוח</t>
        </r>
        <r>
          <rPr>
            <sz val="10"/>
            <rFont val="Arial"/>
            <family val="2"/>
          </rPr>
          <t xml:space="preserve">.</t>
        </r>
      </text>
    </comment>
    <comment ref="BE3" authorId="0">
      <text>
        <r>
          <rPr>
            <sz val="10"/>
            <rFont val="FreeSans"/>
            <family val="2"/>
          </rPr>
          <t xml:space="preserve">קיבולת מכון ההקרנות (טיפול ראשוני)</t>
        </r>
        <r>
          <rPr>
            <sz val="10"/>
            <rFont val="Arial"/>
            <family val="2"/>
          </rPr>
          <t xml:space="preserve">.</t>
        </r>
      </text>
    </comment>
    <comment ref="BF3" authorId="0">
      <text>
        <r>
          <rPr>
            <sz val="10"/>
            <rFont val="FreeSans"/>
            <family val="2"/>
          </rPr>
          <t xml:space="preserve">מרווח ההחלטה השני</t>
        </r>
        <r>
          <rPr>
            <sz val="10"/>
            <rFont val="Arial"/>
            <family val="2"/>
          </rPr>
          <t xml:space="preserve">.</t>
        </r>
      </text>
    </comment>
    <comment ref="BH3" authorId="0">
      <text>
        <r>
          <rPr>
            <sz val="10"/>
            <rFont val="Arial"/>
            <family val="2"/>
          </rPr>
          <t xml:space="preserve">NCCN v1.2026, 2A.</t>
        </r>
      </text>
    </comment>
    <comment ref="BI3" authorId="0">
      <text>
        <r>
          <rPr>
            <sz val="10"/>
            <rFont val="FreeSans"/>
            <family val="2"/>
          </rPr>
          <t xml:space="preserve">אסור לכתוב שם, ת״ז או תאריך לידה</t>
        </r>
        <r>
          <rPr>
            <sz val="10"/>
            <rFont val="Arial"/>
            <family val="2"/>
          </rPr>
          <t xml:space="preserve">.</t>
        </r>
      </text>
    </comment>
  </commentList>
</comments>
</file>

<file path=xl/sharedStrings.xml><?xml version="1.0" encoding="utf-8"?>
<sst xmlns="http://schemas.openxmlformats.org/spreadsheetml/2006/main" count="2112" uniqueCount="1056">
  <si>
    <t xml:space="preserve">MDT Loop · ENT — גיליון איסוף נתונים</t>
  </si>
  <si>
    <t xml:space="preserve">מחקר פיילוט, מרכז רפואי מאיר</t>
  </si>
  <si>
    <t xml:space="preserve">פרוטוקול גרסה 1.1 · עד 20 מטופלים · 3–6 חודשים · השוואה למאגר מטופלים קיים</t>
  </si>
  <si>
    <t xml:space="preserve">מספר מחקר (ת״ז מחקרית)</t>
  </si>
  <si>
    <t xml:space="preserve">מזהה רשמי אחד לכל מטופל, באנגלית:  ENT-26-007-NPC-M-09</t>
  </si>
  <si>
    <t xml:space="preserve">ENT</t>
  </si>
  <si>
    <t xml:space="preserve">זרוע ההתערבות (HIS = מאגר המטופלים הקיים)</t>
  </si>
  <si>
    <t xml:space="preserve">26</t>
  </si>
  <si>
    <t xml:space="preserve">שנת דוח הפתולוגיה הממאירה</t>
  </si>
  <si>
    <t xml:space="preserve">007</t>
  </si>
  <si>
    <t xml:space="preserve">מספר רץ לפי סדר הכניסה — הוא שמבטיח שהמספר ייחודי</t>
  </si>
  <si>
    <t xml:space="preserve">NPC</t>
  </si>
  <si>
    <t xml:space="preserve">קוד אתר הגידול (רשימה מלאה בגיליון Lists)</t>
  </si>
  <si>
    <t xml:space="preserve">M</t>
  </si>
  <si>
    <t xml:space="preserve">צד: R ימין · L שמאל · M קו אמצע · B דו-צדדי</t>
  </si>
  <si>
    <t xml:space="preserve">09</t>
  </si>
  <si>
    <t xml:space="preserve">חודש דוח הפתולוגיה</t>
  </si>
  <si>
    <t xml:space="preserve">נוצר אוטומטית</t>
  </si>
  <si>
    <t xml:space="preserve">המספר נבנה מעצמו בעמודה A ברגע שמוזנים מספר רץ, אתר, צד ותאריך פתולוגיה. לאחר ההקצאה הוא קבוע: אם האתר מתוקן בהמשך, מתעדים זאת בהערות — ולא משנים את המספר (העתק ← הדבק כערך).</t>
  </si>
  <si>
    <t xml:space="preserve">כללים</t>
  </si>
  <si>
    <t xml:space="preserve">1</t>
  </si>
  <si>
    <t xml:space="preserve">אין בקובץ שם, תעודת זהות, תאריך לידה, כתובת או טלפון. הקישור בין מספר המחקר לזהות קיים רק בקובץ המפתח הנפרד, אצל החוקר הראשי (סעיף 8.6).</t>
  </si>
  <si>
    <t xml:space="preserve">2</t>
  </si>
  <si>
    <t xml:space="preserve">לפני כל פעולה קלינית — הפניה, זימון, החלטה — מאמתים את הזהות ברשומה של כללית בשני פרטים מזהים: שם מלא ומספר תעודת זהות.</t>
  </si>
  <si>
    <t xml:space="preserve">3</t>
  </si>
  <si>
    <t xml:space="preserve">מספר המחקר כולל אתר, צד וחודש, ולכן אינו מופיע מחוץ לסביבה המאובטחת. בפרסומים ובכנסים — מספר רץ ונתונים מקובצים בלבד.</t>
  </si>
  <si>
    <t xml:space="preserve">4</t>
  </si>
  <si>
    <t xml:space="preserve">עד לאישור אבטחת המידע של כללית וועדת הלסינקי — נתונים סינתטיים בלבד. אם האישור מתעכב, הקובץ נשמר על מחשב כללית בלבד.</t>
  </si>
  <si>
    <t xml:space="preserve">5</t>
  </si>
  <si>
    <t xml:space="preserve">תאריכים בפורמט dd/mm/yyyy. שדות הרשימה מקבלים ערכים מהרשימה בלבד.</t>
  </si>
  <si>
    <t xml:space="preserve">מקרא צבעים</t>
  </si>
  <si>
    <t xml:space="preserve">צהוב</t>
  </si>
  <si>
    <t xml:space="preserve">שדה להזנה</t>
  </si>
  <si>
    <t xml:space="preserve">אפור</t>
  </si>
  <si>
    <t xml:space="preserve">מחושב אוטומטית — לא לגעת</t>
  </si>
  <si>
    <t xml:space="preserve">כחול</t>
  </si>
  <si>
    <t xml:space="preserve">שורת דוגמה סינתטית (שורה 5) — אינה נספרת בסיכום</t>
  </si>
  <si>
    <t xml:space="preserve">אדום</t>
  </si>
  <si>
    <t xml:space="preserve">מרווח שלילי (תאריכים הפוכים) או מספר מחקר כפול</t>
  </si>
  <si>
    <t xml:space="preserve">הגיליונות</t>
  </si>
  <si>
    <t xml:space="preserve">Summary</t>
  </si>
  <si>
    <t xml:space="preserve">סיכום התוצאים — מתעדכן אוטומטית</t>
  </si>
  <si>
    <t xml:space="preserve">Patients</t>
  </si>
  <si>
    <t xml:space="preserve">20 שורות — זרוע ההתערבות: זיהוי, דמוגרפיה, גידול, מועדים, מרווחים מחושבים</t>
  </si>
  <si>
    <t xml:space="preserve">Historical</t>
  </si>
  <si>
    <t xml:space="preserve">60 שורות — מאגר המטופלים הקיים, 12 החודשים שקדמו להפעלה, אותם שדות</t>
  </si>
  <si>
    <t xml:space="preserve">MDT</t>
  </si>
  <si>
    <t xml:space="preserve">כל הצגה בוועדה בשורה: תוצאה, סיבת דחייה, שאלה קלינית, שלמות תיעוד לפי חוזר 18/2022</t>
  </si>
  <si>
    <t xml:space="preserve">Loops</t>
  </si>
  <si>
    <t xml:space="preserve">יומן הלולאות מהכלי: נפתחה, אושרה קבלה, נענתה, נסגרה — לפי דיסציפלינה</t>
  </si>
  <si>
    <t xml:space="preserve">Screening</t>
  </si>
  <si>
    <t xml:space="preserve">כל מטופל חדש שנדון בוועדה — לחישוב שיעור ההכללה ורצפת העצירה</t>
  </si>
  <si>
    <t xml:space="preserve">Staff</t>
  </si>
  <si>
    <t xml:space="preserve">פעילות הצוות בכלי לפי חודש ודיסציפלינה — אף פעם לא ברמת הפרט</t>
  </si>
  <si>
    <t xml:space="preserve">Dictionary</t>
  </si>
  <si>
    <t xml:space="preserve">הגדרת כל שדה והתוצא שהוא משרת</t>
  </si>
  <si>
    <t xml:space="preserve">Lists</t>
  </si>
  <si>
    <t xml:space="preserve">ערכי הרשימות הנפתחות</t>
  </si>
  <si>
    <t xml:space="preserve">חציון ו-IQR (לא ממוצע), לפי סעיף 7.1 בפרוטוקול. שורות הדוגמה אינן נספרות.</t>
  </si>
  <si>
    <t xml:space="preserve">אוכלוסייה</t>
  </si>
  <si>
    <t xml:space="preserve">התערבות</t>
  </si>
  <si>
    <t xml:space="preserve">בקרה היסטורית</t>
  </si>
  <si>
    <t xml:space="preserve">הערה</t>
  </si>
  <si>
    <t xml:space="preserve">מטופלים שנכללו</t>
  </si>
  <si>
    <t xml:space="preserve">עם תוצא ראשוני (t0 ותחילת טיפול)</t>
  </si>
  <si>
    <t xml:space="preserve">תוצא ראשוני — פתולוגיה ← טיפול (ימים)</t>
  </si>
  <si>
    <t xml:space="preserve">חציון</t>
  </si>
  <si>
    <t xml:space="preserve">רבעון ראשון (Q1)</t>
  </si>
  <si>
    <t xml:space="preserve">רבעון שלישי (Q3)</t>
  </si>
  <si>
    <t xml:space="preserve">מינימום</t>
  </si>
  <si>
    <t xml:space="preserve">מקסימום</t>
  </si>
  <si>
    <t xml:space="preserve">שיעור עד 30 יום</t>
  </si>
  <si>
    <t xml:space="preserve">יעד: 30 יום מאבחנה לטיפול.</t>
  </si>
  <si>
    <t xml:space="preserve">שיעור מעל 60 יום</t>
  </si>
  <si>
    <t xml:space="preserve">Liao 2019.</t>
  </si>
  <si>
    <t xml:space="preserve">שיעור מעל 67 יום</t>
  </si>
  <si>
    <t xml:space="preserve">Murphy 2016.</t>
  </si>
  <si>
    <t xml:space="preserve">מקטעי המסלול — חציון (ימים)</t>
  </si>
  <si>
    <t xml:space="preserve">ייעוץ ← פתולוגיה</t>
  </si>
  <si>
    <t xml:space="preserve">פתולוגיה ← ועדה</t>
  </si>
  <si>
    <t xml:space="preserve">החלטה ← טיפול</t>
  </si>
  <si>
    <t xml:space="preserve">ניתוח ← החלטה שנייה</t>
  </si>
  <si>
    <t xml:space="preserve">ניתוח ← טיפול משלים</t>
  </si>
  <si>
    <t xml:space="preserve">ניתוח ≤30 יום מההחלטה (חוזר 1/2020)</t>
  </si>
  <si>
    <t xml:space="preserve">מתוך המנותחים.</t>
  </si>
  <si>
    <t xml:space="preserve">טיפול משלים ≤42 יום מהניתוח</t>
  </si>
  <si>
    <t xml:space="preserve">NCCN v1.2026, קטגוריה 2A.</t>
  </si>
  <si>
    <t xml:space="preserve">קיבולת — לבחינת השערת האפס (H0)</t>
  </si>
  <si>
    <t xml:space="preserve">הפניה ← ניתוח, חציון (ימים)</t>
  </si>
  <si>
    <t xml:space="preserve">הפניה ← הקרנות, חציון (ימים)</t>
  </si>
  <si>
    <t xml:space="preserve">הוועדה</t>
  </si>
  <si>
    <t xml:space="preserve">הצגות בוועדה</t>
  </si>
  <si>
    <t xml:space="preserve">שיעור הצגות שנדחו בשל מידע חסר</t>
  </si>
  <si>
    <t xml:space="preserve">Ottevanger 2013: 5% ללא פתולוגיה/הדמיה.</t>
  </si>
  <si>
    <t xml:space="preserve">שיעור הצגות עם שאלה קלינית מפורשת</t>
  </si>
  <si>
    <t xml:space="preserve">Ottevanger 2013: ~47%.</t>
  </si>
  <si>
    <t xml:space="preserve">שלמות תיעוד 18/2022, ממוצע</t>
  </si>
  <si>
    <t xml:space="preserve">הצגות למטופל, חציון</t>
  </si>
  <si>
    <t xml:space="preserve">סיבות דחייה</t>
  </si>
  <si>
    <t xml:space="preserve">מספר</t>
  </si>
  <si>
    <t xml:space="preserve">פתולוגיה חסרה / חלקית</t>
  </si>
  <si>
    <t xml:space="preserve">צביעות / p16 / EBV ממתינות</t>
  </si>
  <si>
    <t xml:space="preserve">הדמיה חסרה</t>
  </si>
  <si>
    <t xml:space="preserve">PET-CT ממתין</t>
  </si>
  <si>
    <t xml:space="preserve">הערכה דנטלית</t>
  </si>
  <si>
    <t xml:space="preserve">הערכה קרדיולוגית / הרדמה</t>
  </si>
  <si>
    <t xml:space="preserve">המטופל לא הגיע / לא אותר</t>
  </si>
  <si>
    <t xml:space="preserve">חוות דעת נוספת</t>
  </si>
  <si>
    <t xml:space="preserve">אחר</t>
  </si>
  <si>
    <t xml:space="preserve">הלולאות</t>
  </si>
  <si>
    <t xml:space="preserve">לולאות שנפתחו</t>
  </si>
  <si>
    <t xml:space="preserve">שיעור שנסגרו</t>
  </si>
  <si>
    <t xml:space="preserve">שיעור שנסגרו בידי הפותח</t>
  </si>
  <si>
    <t xml:space="preserve">הסגירה שמורה למי ששאל.</t>
  </si>
  <si>
    <t xml:space="preserve">לולאות למקרה, ממוצע</t>
  </si>
  <si>
    <t xml:space="preserve">ימים עד אישור קבלה, חציון</t>
  </si>
  <si>
    <t xml:space="preserve">ימים עד תשובה, חציון</t>
  </si>
  <si>
    <t xml:space="preserve">חציון ימים עד תשובה לפי דיסציפלינה</t>
  </si>
  <si>
    <t xml:space="preserve">לולאות</t>
  </si>
  <si>
    <t xml:space="preserve">פתולוגיה</t>
  </si>
  <si>
    <t xml:space="preserve">רדיולוגיה</t>
  </si>
  <si>
    <t xml:space="preserve">רפואה גרעינית</t>
  </si>
  <si>
    <t xml:space="preserve">אונקולוגיה קרינתית</t>
  </si>
  <si>
    <t xml:space="preserve">אונקולוגיה</t>
  </si>
  <si>
    <t xml:space="preserve">כירורגיית ראש-צוואר</t>
  </si>
  <si>
    <t xml:space="preserve">רפואת שיניים</t>
  </si>
  <si>
    <t xml:space="preserve">הרדמה / קרדיולוגיה</t>
  </si>
  <si>
    <t xml:space="preserve">תזונה / דיבור ובליעה</t>
  </si>
  <si>
    <t xml:space="preserve">מתאמת / אחות</t>
  </si>
  <si>
    <t xml:space="preserve">עבודה סוציאלית</t>
  </si>
  <si>
    <t xml:space="preserve">היתכנות</t>
  </si>
  <si>
    <t xml:space="preserve">ערך</t>
  </si>
  <si>
    <t xml:space="preserve">סף</t>
  </si>
  <si>
    <t xml:space="preserve">נסקרו</t>
  </si>
  <si>
    <t xml:space="preserve">כשירים</t>
  </si>
  <si>
    <t xml:space="preserve">נכללו (חתמו הסכמה)</t>
  </si>
  <si>
    <t xml:space="preserve">שיעור הכללה מתוך הכשירים</t>
  </si>
  <si>
    <t xml:space="preserve">שיעור המקרים שנדונו ונוהלו בכלי</t>
  </si>
  <si>
    <t xml:space="preserve">סף העצירה: 60% בתום 3 חודשים (סעיף 5.6).</t>
  </si>
  <si>
    <t xml:space="preserve">מצב רצפת העצירה</t>
  </si>
  <si>
    <t xml:space="preserve">שיעור חברי צוות פעילים, ממוצע</t>
  </si>
  <si>
    <t xml:space="preserve">זרוע ההתערבות — עד 20 מטופלים (MDT Loop · ENT)</t>
  </si>
  <si>
    <t xml:space="preserve">צהוב = להזנה · אפור = מחושב אוטומטית · כחול = שורת דוגמה סינתטית (אינה נספרת)</t>
  </si>
  <si>
    <t xml:space="preserve">זיהוי</t>
  </si>
  <si>
    <t xml:space="preserve">כניסה</t>
  </si>
  <si>
    <t xml:space="preserve">דמוגרפיה</t>
  </si>
  <si>
    <t xml:space="preserve">גידול</t>
  </si>
  <si>
    <t xml:space="preserve">מועדים</t>
  </si>
  <si>
    <t xml:space="preserve">קיבולת</t>
  </si>
  <si>
    <t xml:space="preserve">הצגה חוזרת</t>
  </si>
  <si>
    <t xml:space="preserve">גורמי עיכוב</t>
  </si>
  <si>
    <t xml:space="preserve">תהליך</t>
  </si>
  <si>
    <t xml:space="preserve">מרווחים (ימים)</t>
  </si>
  <si>
    <t xml:space="preserve">הערות</t>
  </si>
  <si>
    <t xml:space="preserve">מספר רץ</t>
  </si>
  <si>
    <t xml:space="preserve">קוד אתר</t>
  </si>
  <si>
    <t xml:space="preserve">צד</t>
  </si>
  <si>
    <t xml:space="preserve">תאריך הסכמה מדעת</t>
  </si>
  <si>
    <t xml:space="preserve">סטטוס במחקר</t>
  </si>
  <si>
    <t xml:space="preserve">גיל באבחנה</t>
  </si>
  <si>
    <t xml:space="preserve">מין</t>
  </si>
  <si>
    <t xml:space="preserve">ECOG</t>
  </si>
  <si>
    <t xml:space="preserve">עישון</t>
  </si>
  <si>
    <t xml:space="preserve">שנות קופסה</t>
  </si>
  <si>
    <t xml:space="preserve">אלכוהול</t>
  </si>
  <si>
    <t xml:space="preserve">מחלות רקע (ACE-27)</t>
  </si>
  <si>
    <t xml:space="preserve">מרחק מגורים</t>
  </si>
  <si>
    <t xml:space="preserve">היסטולוגיה</t>
  </si>
  <si>
    <t xml:space="preserve">cT</t>
  </si>
  <si>
    <t xml:space="preserve">cN</t>
  </si>
  <si>
    <t xml:space="preserve">cM</t>
  </si>
  <si>
    <t xml:space="preserve">שלב קליני</t>
  </si>
  <si>
    <t xml:space="preserve">p16 / HPV</t>
  </si>
  <si>
    <t xml:space="preserve">EBV</t>
  </si>
  <si>
    <t xml:space="preserve">pT</t>
  </si>
  <si>
    <t xml:space="preserve">pN</t>
  </si>
  <si>
    <t xml:space="preserve">ייעוץ ראשון אא״ג</t>
  </si>
  <si>
    <t xml:space="preserve">ביופסיה</t>
  </si>
  <si>
    <t xml:space="preserve">דוח פתולוגיה ממאירה (t = 0)</t>
  </si>
  <si>
    <t xml:space="preserve">הדמיית שלב CT / MRI</t>
  </si>
  <si>
    <t xml:space="preserve">PET-CT</t>
  </si>
  <si>
    <t xml:space="preserve">הצגה ראשונה בוועדה</t>
  </si>
  <si>
    <t xml:space="preserve">החלטת ועדה</t>
  </si>
  <si>
    <t xml:space="preserve">מודאליות מתוכננת</t>
  </si>
  <si>
    <t xml:space="preserve">אתר טיפול</t>
  </si>
  <si>
    <t xml:space="preserve">הפניה לחדר ניתוח</t>
  </si>
  <si>
    <t xml:space="preserve">הפניה למכון ההקרנות</t>
  </si>
  <si>
    <t xml:space="preserve">תחילת טיפול מכריע ראשון</t>
  </si>
  <si>
    <t xml:space="preserve">מודאליות בפועל</t>
  </si>
  <si>
    <t xml:space="preserve">תואם החלטת ועדה</t>
  </si>
  <si>
    <t xml:space="preserve">סיבת אי-התאמה</t>
  </si>
  <si>
    <t xml:space="preserve">הצגה חוזרת בוועדה</t>
  </si>
  <si>
    <t xml:space="preserve">החלטה שנייה</t>
  </si>
  <si>
    <t xml:space="preserve">תחילת טיפול משלים</t>
  </si>
  <si>
    <t xml:space="preserve">נדרשה הערכה דנטלית</t>
  </si>
  <si>
    <t xml:space="preserve">PEG מניעתי</t>
  </si>
  <si>
    <t xml:space="preserve">מספר הצגות בוועדה</t>
  </si>
  <si>
    <t xml:space="preserve">דחיות בשל מידע חסר</t>
  </si>
  <si>
    <t xml:space="preserve">סגירת מעקב</t>
  </si>
  <si>
    <t xml:space="preserve">סגר את המעקב</t>
  </si>
  <si>
    <t xml:space="preserve">פתולוגיה ← טיפול · תוצא ראשוני</t>
  </si>
  <si>
    <t xml:space="preserve">עד 30 יום</t>
  </si>
  <si>
    <t xml:space="preserve">מעל 60 יום</t>
  </si>
  <si>
    <t xml:space="preserve">מעל 67 יום</t>
  </si>
  <si>
    <t xml:space="preserve">הפניה ← ניתוח</t>
  </si>
  <si>
    <t xml:space="preserve">הפניה ← הקרנות</t>
  </si>
  <si>
    <t xml:space="preserve">משלים ≤42 יום</t>
  </si>
  <si>
    <t xml:space="preserve">הערות (ללא פרטים מזהים)</t>
  </si>
  <si>
    <t xml:space="preserve">id</t>
  </si>
  <si>
    <t xml:space="preserve">seq</t>
  </si>
  <si>
    <t xml:space="preserve">site</t>
  </si>
  <si>
    <t xml:space="preserve">side</t>
  </si>
  <si>
    <t xml:space="preserve">consent</t>
  </si>
  <si>
    <t xml:space="preserve">status</t>
  </si>
  <si>
    <t xml:space="preserve">age</t>
  </si>
  <si>
    <t xml:space="preserve">sex</t>
  </si>
  <si>
    <t xml:space="preserve">ecog</t>
  </si>
  <si>
    <t xml:space="preserve">smoke</t>
  </si>
  <si>
    <t xml:space="preserve">py</t>
  </si>
  <si>
    <t xml:space="preserve">alc</t>
  </si>
  <si>
    <t xml:space="preserve">ace</t>
  </si>
  <si>
    <t xml:space="preserve">dist</t>
  </si>
  <si>
    <t xml:space="preserve">hist</t>
  </si>
  <si>
    <t xml:space="preserve">stage</t>
  </si>
  <si>
    <t xml:space="preserve">p16</t>
  </si>
  <si>
    <t xml:space="preserve">ebv</t>
  </si>
  <si>
    <t xml:space="preserve">consult</t>
  </si>
  <si>
    <t xml:space="preserve">biopsy</t>
  </si>
  <si>
    <t xml:space="preserve">t0</t>
  </si>
  <si>
    <t xml:space="preserve">ct</t>
  </si>
  <si>
    <t xml:space="preserve">pet</t>
  </si>
  <si>
    <t xml:space="preserve">mdt1</t>
  </si>
  <si>
    <t xml:space="preserve">dec</t>
  </si>
  <si>
    <t xml:space="preserve">pmod</t>
  </si>
  <si>
    <t xml:space="preserve">txsite</t>
  </si>
  <si>
    <t xml:space="preserve">orref</t>
  </si>
  <si>
    <t xml:space="preserve">rtref</t>
  </si>
  <si>
    <t xml:space="preserve">tx</t>
  </si>
  <si>
    <t xml:space="preserve">amod</t>
  </si>
  <si>
    <t xml:space="preserve">conc</t>
  </si>
  <si>
    <t xml:space="preserve">ncr</t>
  </si>
  <si>
    <t xml:space="preserve">mdt2</t>
  </si>
  <si>
    <t xml:space="preserve">dec2</t>
  </si>
  <si>
    <t xml:space="preserve">adj</t>
  </si>
  <si>
    <t xml:space="preserve">dental</t>
  </si>
  <si>
    <t xml:space="preserve">peg</t>
  </si>
  <si>
    <t xml:space="preserve">nres</t>
  </si>
  <si>
    <t xml:space="preserve">ndef</t>
  </si>
  <si>
    <t xml:space="preserve">close</t>
  </si>
  <si>
    <t xml:space="preserve">closer</t>
  </si>
  <si>
    <t xml:space="preserve">i_cp</t>
  </si>
  <si>
    <t xml:space="preserve">i_pm</t>
  </si>
  <si>
    <t xml:space="preserve">i_dt</t>
  </si>
  <si>
    <t xml:space="preserve">i_pt</t>
  </si>
  <si>
    <t xml:space="preserve">f30</t>
  </si>
  <si>
    <t xml:space="preserve">f60</t>
  </si>
  <si>
    <t xml:space="preserve">f67</t>
  </si>
  <si>
    <t xml:space="preserve">moh</t>
  </si>
  <si>
    <t xml:space="preserve">i_or</t>
  </si>
  <si>
    <t xml:space="preserve">i_rt</t>
  </si>
  <si>
    <t xml:space="preserve">i_s2</t>
  </si>
  <si>
    <t xml:space="preserve">i_adj</t>
  </si>
  <si>
    <t xml:space="preserve">f42</t>
  </si>
  <si>
    <t xml:space="preserve">note</t>
  </si>
  <si>
    <t xml:space="preserve">פעיל</t>
  </si>
  <si>
    <t xml:space="preserve">ז</t>
  </si>
  <si>
    <t xml:space="preserve">עישן בעבר</t>
  </si>
  <si>
    <t xml:space="preserve">מתון</t>
  </si>
  <si>
    <t xml:space="preserve">1 — קל</t>
  </si>
  <si>
    <t xml:space="preserve">10–30 ק״מ</t>
  </si>
  <si>
    <t xml:space="preserve">Nasopharyngeal carcinoma (WHO)</t>
  </si>
  <si>
    <t xml:space="preserve">T2</t>
  </si>
  <si>
    <t xml:space="preserve">N2</t>
  </si>
  <si>
    <t xml:space="preserve">M0</t>
  </si>
  <si>
    <t xml:space="preserve">III</t>
  </si>
  <si>
    <t xml:space="preserve">לא רלוונטי</t>
  </si>
  <si>
    <t xml:space="preserve">חיובי</t>
  </si>
  <si>
    <t xml:space="preserve">כימו-הקרנות</t>
  </si>
  <si>
    <t xml:space="preserve">דוידוף</t>
  </si>
  <si>
    <t xml:space="preserve">כן</t>
  </si>
  <si>
    <t xml:space="preserve">לא</t>
  </si>
  <si>
    <t xml:space="preserve">מנהל תחום אא״ג</t>
  </si>
  <si>
    <t xml:space="preserve">שורת דוגמה סינתטית — ENT-26-000-NPC-M-09</t>
  </si>
  <si>
    <t xml:space="preserve">OT</t>
  </si>
  <si>
    <t xml:space="preserve">L</t>
  </si>
  <si>
    <t xml:space="preserve">0</t>
  </si>
  <si>
    <t xml:space="preserve">N1</t>
  </si>
  <si>
    <t xml:space="preserve">ניתוח</t>
  </si>
  <si>
    <t xml:space="preserve">FOM</t>
  </si>
  <si>
    <t xml:space="preserve">נ</t>
  </si>
  <si>
    <t xml:space="preserve">N0</t>
  </si>
  <si>
    <t xml:space="preserve">II</t>
  </si>
  <si>
    <t xml:space="preserve">BOT</t>
  </si>
  <si>
    <t xml:space="preserve">T3</t>
  </si>
  <si>
    <t xml:space="preserve">GLT</t>
  </si>
  <si>
    <t xml:space="preserve">R</t>
  </si>
  <si>
    <t xml:space="preserve">T1a</t>
  </si>
  <si>
    <t xml:space="preserve">I</t>
  </si>
  <si>
    <t xml:space="preserve">הקרנות</t>
  </si>
  <si>
    <t xml:space="preserve">HPX</t>
  </si>
  <si>
    <t xml:space="preserve">N2b</t>
  </si>
  <si>
    <t xml:space="preserve">IVA</t>
  </si>
  <si>
    <t xml:space="preserve">THY</t>
  </si>
  <si>
    <t xml:space="preserve">B</t>
  </si>
  <si>
    <t xml:space="preserve">N1a</t>
  </si>
  <si>
    <t xml:space="preserve">N2c</t>
  </si>
  <si>
    <t xml:space="preserve">TON</t>
  </si>
  <si>
    <t xml:space="preserve">PAR</t>
  </si>
  <si>
    <t xml:space="preserve">CUP</t>
  </si>
  <si>
    <t xml:space="preserve">T0</t>
  </si>
  <si>
    <t xml:space="preserve">BUC</t>
  </si>
  <si>
    <t xml:space="preserve">T1</t>
  </si>
  <si>
    <t xml:space="preserve">SGL</t>
  </si>
  <si>
    <t xml:space="preserve">SNC</t>
  </si>
  <si>
    <t xml:space="preserve">שלילי</t>
  </si>
  <si>
    <t xml:space="preserve">GUM</t>
  </si>
  <si>
    <t xml:space="preserve">T4a</t>
  </si>
  <si>
    <t xml:space="preserve">מאגר מטופלים קיים — בקרה היסטורית (12 החודשים שקדמו להפעלה)</t>
  </si>
  <si>
    <t xml:space="preserve">הצגות בוועדה הרב-תחומית — כל הצגה בשורה נפרדת (כולל הצגות חוזרות)</t>
  </si>
  <si>
    <t xml:space="preserve">מס׳ הצגה</t>
  </si>
  <si>
    <t xml:space="preserve">מספר מחקר</t>
  </si>
  <si>
    <t xml:space="preserve">הצגה מס׳ למטופל</t>
  </si>
  <si>
    <t xml:space="preserve">תאריך הישיבה</t>
  </si>
  <si>
    <t xml:space="preserve">תוצאה</t>
  </si>
  <si>
    <t xml:space="preserve">סיבת דחייה</t>
  </si>
  <si>
    <t xml:space="preserve">שאלה קלינית מפורשת</t>
  </si>
  <si>
    <t xml:space="preserve">תיעוד: משתתפים</t>
  </si>
  <si>
    <t xml:space="preserve">תיעוד: חלופות</t>
  </si>
  <si>
    <t xml:space="preserve">תיעוד: עמדות</t>
  </si>
  <si>
    <t xml:space="preserve">תיעוד: סיכום</t>
  </si>
  <si>
    <t xml:space="preserve">שלמות תיעוד 18/2022</t>
  </si>
  <si>
    <t xml:space="preserve">pres</t>
  </si>
  <si>
    <t xml:space="preserve">pid</t>
  </si>
  <si>
    <t xml:space="preserve">n</t>
  </si>
  <si>
    <t xml:space="preserve">date</t>
  </si>
  <si>
    <t xml:space="preserve">out</t>
  </si>
  <si>
    <t xml:space="preserve">reason</t>
  </si>
  <si>
    <t xml:space="preserve">q</t>
  </si>
  <si>
    <t xml:space="preserve">part</t>
  </si>
  <si>
    <t xml:space="preserve">alt</t>
  </si>
  <si>
    <t xml:space="preserve">pos</t>
  </si>
  <si>
    <t xml:space="preserve">sum</t>
  </si>
  <si>
    <t xml:space="preserve">comp</t>
  </si>
  <si>
    <t xml:space="preserve">P-001</t>
  </si>
  <si>
    <t xml:space="preserve">ENT-26-001-OT-L-06</t>
  </si>
  <si>
    <t xml:space="preserve">הוחלט</t>
  </si>
  <si>
    <t xml:space="preserve">P-002</t>
  </si>
  <si>
    <t xml:space="preserve">ENT-26-003-FOM-M-06</t>
  </si>
  <si>
    <t xml:space="preserve">P-003</t>
  </si>
  <si>
    <t xml:space="preserve">ENT-26-005-GLT-R-06</t>
  </si>
  <si>
    <t xml:space="preserve">P-004</t>
  </si>
  <si>
    <t xml:space="preserve">ENT-26-002-NPC-M-06</t>
  </si>
  <si>
    <t xml:space="preserve">P-005</t>
  </si>
  <si>
    <t xml:space="preserve">ENT-26-004-BOT-L-06</t>
  </si>
  <si>
    <t xml:space="preserve">P-006</t>
  </si>
  <si>
    <t xml:space="preserve">ENT-26-006-GLT-L-06</t>
  </si>
  <si>
    <t xml:space="preserve">P-007</t>
  </si>
  <si>
    <t xml:space="preserve">ENT-26-008-THY-B-06</t>
  </si>
  <si>
    <t xml:space="preserve">P-008</t>
  </si>
  <si>
    <t xml:space="preserve">ENT-26-010-TON-L-06</t>
  </si>
  <si>
    <t xml:space="preserve">P-009</t>
  </si>
  <si>
    <t xml:space="preserve">ENT-26-007-HPX-R-06</t>
  </si>
  <si>
    <t xml:space="preserve">נדחה — מידע חסר</t>
  </si>
  <si>
    <t xml:space="preserve">P-010</t>
  </si>
  <si>
    <t xml:space="preserve">ENT-26-009-HPX-L-06</t>
  </si>
  <si>
    <t xml:space="preserve">P-011</t>
  </si>
  <si>
    <t xml:space="preserve">ENT-26-011-PAR-R-06</t>
  </si>
  <si>
    <t xml:space="preserve">P-012</t>
  </si>
  <si>
    <t xml:space="preserve">ENT-26-013-BUC-L-06</t>
  </si>
  <si>
    <t xml:space="preserve">P-013</t>
  </si>
  <si>
    <t xml:space="preserve">ENT-26-014-NPC-M-06</t>
  </si>
  <si>
    <t xml:space="preserve">P-014</t>
  </si>
  <si>
    <t xml:space="preserve">ENT-26-015-TON-R-06</t>
  </si>
  <si>
    <t xml:space="preserve">P-015</t>
  </si>
  <si>
    <t xml:space="preserve">P-016</t>
  </si>
  <si>
    <t xml:space="preserve">P-017</t>
  </si>
  <si>
    <t xml:space="preserve">ENT-26-012-CUP-R-06</t>
  </si>
  <si>
    <t xml:space="preserve">P-018</t>
  </si>
  <si>
    <t xml:space="preserve">P-019</t>
  </si>
  <si>
    <t xml:space="preserve">ENT-26-016-SGL-M-06</t>
  </si>
  <si>
    <t xml:space="preserve">P-020</t>
  </si>
  <si>
    <t xml:space="preserve">ENT-26-017-SNC-L-06</t>
  </si>
  <si>
    <t xml:space="preserve">P-021</t>
  </si>
  <si>
    <t xml:space="preserve">ENT-26-018-BOT-R-06</t>
  </si>
  <si>
    <t xml:space="preserve">P-022</t>
  </si>
  <si>
    <t xml:space="preserve">ENT-26-019-GUM-R-06</t>
  </si>
  <si>
    <t xml:space="preserve">P-023</t>
  </si>
  <si>
    <t xml:space="preserve">ENT-26-020-SGL-M-06</t>
  </si>
  <si>
    <t xml:space="preserve">P-024</t>
  </si>
  <si>
    <t xml:space="preserve">P-025</t>
  </si>
  <si>
    <t xml:space="preserve">P-026</t>
  </si>
  <si>
    <t xml:space="preserve">P-027</t>
  </si>
  <si>
    <t xml:space="preserve">P-028</t>
  </si>
  <si>
    <t xml:space="preserve">P-029</t>
  </si>
  <si>
    <t xml:space="preserve">P-030</t>
  </si>
  <si>
    <t xml:space="preserve">P-031</t>
  </si>
  <si>
    <t xml:space="preserve">P-032</t>
  </si>
  <si>
    <t xml:space="preserve">P-033</t>
  </si>
  <si>
    <t xml:space="preserve">P-034</t>
  </si>
  <si>
    <t xml:space="preserve">P-035</t>
  </si>
  <si>
    <t xml:space="preserve">P-036</t>
  </si>
  <si>
    <t xml:space="preserve">P-037</t>
  </si>
  <si>
    <t xml:space="preserve">P-038</t>
  </si>
  <si>
    <t xml:space="preserve">P-039</t>
  </si>
  <si>
    <t xml:space="preserve">P-040</t>
  </si>
  <si>
    <t xml:space="preserve">P-041</t>
  </si>
  <si>
    <t xml:space="preserve">P-042</t>
  </si>
  <si>
    <t xml:space="preserve">P-043</t>
  </si>
  <si>
    <t xml:space="preserve">P-044</t>
  </si>
  <si>
    <t xml:space="preserve">P-045</t>
  </si>
  <si>
    <t xml:space="preserve">P-046</t>
  </si>
  <si>
    <t xml:space="preserve">P-047</t>
  </si>
  <si>
    <t xml:space="preserve">P-048</t>
  </si>
  <si>
    <t xml:space="preserve">P-049</t>
  </si>
  <si>
    <t xml:space="preserve">P-050</t>
  </si>
  <si>
    <t xml:space="preserve">P-051</t>
  </si>
  <si>
    <t xml:space="preserve">P-052</t>
  </si>
  <si>
    <t xml:space="preserve">P-053</t>
  </si>
  <si>
    <t xml:space="preserve">P-054</t>
  </si>
  <si>
    <t xml:space="preserve">P-055</t>
  </si>
  <si>
    <t xml:space="preserve">P-056</t>
  </si>
  <si>
    <t xml:space="preserve">P-057</t>
  </si>
  <si>
    <t xml:space="preserve">P-058</t>
  </si>
  <si>
    <t xml:space="preserve">P-059</t>
  </si>
  <si>
    <t xml:space="preserve">P-060</t>
  </si>
  <si>
    <t xml:space="preserve">P-061</t>
  </si>
  <si>
    <t xml:space="preserve">P-062</t>
  </si>
  <si>
    <t xml:space="preserve">P-063</t>
  </si>
  <si>
    <t xml:space="preserve">P-064</t>
  </si>
  <si>
    <t xml:space="preserve">P-065</t>
  </si>
  <si>
    <t xml:space="preserve">P-066</t>
  </si>
  <si>
    <t xml:space="preserve">P-067</t>
  </si>
  <si>
    <t xml:space="preserve">P-068</t>
  </si>
  <si>
    <t xml:space="preserve">P-069</t>
  </si>
  <si>
    <t xml:space="preserve">P-070</t>
  </si>
  <si>
    <t xml:space="preserve">P-071</t>
  </si>
  <si>
    <t xml:space="preserve">P-072</t>
  </si>
  <si>
    <t xml:space="preserve">P-073</t>
  </si>
  <si>
    <t xml:space="preserve">P-074</t>
  </si>
  <si>
    <t xml:space="preserve">P-075</t>
  </si>
  <si>
    <t xml:space="preserve">P-076</t>
  </si>
  <si>
    <t xml:space="preserve">P-077</t>
  </si>
  <si>
    <t xml:space="preserve">P-078</t>
  </si>
  <si>
    <t xml:space="preserve">P-079</t>
  </si>
  <si>
    <t xml:space="preserve">P-080</t>
  </si>
  <si>
    <t xml:space="preserve">P-081</t>
  </si>
  <si>
    <t xml:space="preserve">P-082</t>
  </si>
  <si>
    <t xml:space="preserve">P-083</t>
  </si>
  <si>
    <t xml:space="preserve">P-084</t>
  </si>
  <si>
    <t xml:space="preserve">P-085</t>
  </si>
  <si>
    <t xml:space="preserve">P-086</t>
  </si>
  <si>
    <t xml:space="preserve">P-087</t>
  </si>
  <si>
    <t xml:space="preserve">P-088</t>
  </si>
  <si>
    <t xml:space="preserve">P-089</t>
  </si>
  <si>
    <t xml:space="preserve">P-090</t>
  </si>
  <si>
    <t xml:space="preserve">P-091</t>
  </si>
  <si>
    <t xml:space="preserve">P-092</t>
  </si>
  <si>
    <t xml:space="preserve">P-093</t>
  </si>
  <si>
    <t xml:space="preserve">P-094</t>
  </si>
  <si>
    <t xml:space="preserve">P-095</t>
  </si>
  <si>
    <t xml:space="preserve">P-096</t>
  </si>
  <si>
    <t xml:space="preserve">P-097</t>
  </si>
  <si>
    <t xml:space="preserve">P-098</t>
  </si>
  <si>
    <t xml:space="preserve">P-099</t>
  </si>
  <si>
    <t xml:space="preserve">P-100</t>
  </si>
  <si>
    <t xml:space="preserve">יומן הלולאות — ייצוא מהכלי או הזנה ידנית; חותמת זמן מלאה (תאריך ושעה)</t>
  </si>
  <si>
    <t xml:space="preserve">מס׳ לולאה</t>
  </si>
  <si>
    <t xml:space="preserve">שלב</t>
  </si>
  <si>
    <t xml:space="preserve">דיסציפלינה ממוענת</t>
  </si>
  <si>
    <t xml:space="preserve">סוג הלולאה</t>
  </si>
  <si>
    <t xml:space="preserve">נפתחה</t>
  </si>
  <si>
    <t xml:space="preserve">אושרה קבלה</t>
  </si>
  <si>
    <t xml:space="preserve">נענתה</t>
  </si>
  <si>
    <t xml:space="preserve">נסגרה</t>
  </si>
  <si>
    <t xml:space="preserve">נסגרה בידי הפותח</t>
  </si>
  <si>
    <t xml:space="preserve">מצב</t>
  </si>
  <si>
    <t xml:space="preserve">ימים עד אישור קבלה</t>
  </si>
  <si>
    <t xml:space="preserve">ימים עד תשובה</t>
  </si>
  <si>
    <t xml:space="preserve">ימים עד סגירה</t>
  </si>
  <si>
    <t xml:space="preserve">lid</t>
  </si>
  <si>
    <t xml:space="preserve">phase</t>
  </si>
  <si>
    <t xml:space="preserve">disc</t>
  </si>
  <si>
    <t xml:space="preserve">type</t>
  </si>
  <si>
    <t xml:space="preserve">op</t>
  </si>
  <si>
    <t xml:space="preserve">ack</t>
  </si>
  <si>
    <t xml:space="preserve">ans</t>
  </si>
  <si>
    <t xml:space="preserve">cls</t>
  </si>
  <si>
    <t xml:space="preserve">byop</t>
  </si>
  <si>
    <t xml:space="preserve">st</t>
  </si>
  <si>
    <t xml:space="preserve">d_ack</t>
  </si>
  <si>
    <t xml:space="preserve">d_ans</t>
  </si>
  <si>
    <t xml:space="preserve">d_cls</t>
  </si>
  <si>
    <t xml:space="preserve">L-001</t>
  </si>
  <si>
    <t xml:space="preserve">L-002</t>
  </si>
  <si>
    <t xml:space="preserve">L-003</t>
  </si>
  <si>
    <t xml:space="preserve">L-004</t>
  </si>
  <si>
    <t xml:space="preserve">L-005</t>
  </si>
  <si>
    <t xml:space="preserve">L-006</t>
  </si>
  <si>
    <t xml:space="preserve">L-007</t>
  </si>
  <si>
    <t xml:space="preserve">L-008</t>
  </si>
  <si>
    <t xml:space="preserve">L-009</t>
  </si>
  <si>
    <t xml:space="preserve">L-010</t>
  </si>
  <si>
    <t xml:space="preserve">L-011</t>
  </si>
  <si>
    <t xml:space="preserve">L-012</t>
  </si>
  <si>
    <t xml:space="preserve">L-013</t>
  </si>
  <si>
    <t xml:space="preserve">L-014</t>
  </si>
  <si>
    <t xml:space="preserve">L-015</t>
  </si>
  <si>
    <t xml:space="preserve">L-016</t>
  </si>
  <si>
    <t xml:space="preserve">L-017</t>
  </si>
  <si>
    <t xml:space="preserve">L-018</t>
  </si>
  <si>
    <t xml:space="preserve">L-019</t>
  </si>
  <si>
    <t xml:space="preserve">L-020</t>
  </si>
  <si>
    <t xml:space="preserve">L-021</t>
  </si>
  <si>
    <t xml:space="preserve">L-022</t>
  </si>
  <si>
    <t xml:space="preserve">L-023</t>
  </si>
  <si>
    <t xml:space="preserve">L-024</t>
  </si>
  <si>
    <t xml:space="preserve">L-025</t>
  </si>
  <si>
    <t xml:space="preserve">L-026</t>
  </si>
  <si>
    <t xml:space="preserve">L-027</t>
  </si>
  <si>
    <t xml:space="preserve">L-028</t>
  </si>
  <si>
    <t xml:space="preserve">L-029</t>
  </si>
  <si>
    <t xml:space="preserve">L-030</t>
  </si>
  <si>
    <t xml:space="preserve">L-031</t>
  </si>
  <si>
    <t xml:space="preserve">L-032</t>
  </si>
  <si>
    <t xml:space="preserve">L-033</t>
  </si>
  <si>
    <t xml:space="preserve">L-034</t>
  </si>
  <si>
    <t xml:space="preserve">L-035</t>
  </si>
  <si>
    <t xml:space="preserve">L-036</t>
  </si>
  <si>
    <t xml:space="preserve">L-037</t>
  </si>
  <si>
    <t xml:space="preserve">L-038</t>
  </si>
  <si>
    <t xml:space="preserve">L-039</t>
  </si>
  <si>
    <t xml:space="preserve">L-040</t>
  </si>
  <si>
    <t xml:space="preserve">L-041</t>
  </si>
  <si>
    <t xml:space="preserve">L-042</t>
  </si>
  <si>
    <t xml:space="preserve">L-043</t>
  </si>
  <si>
    <t xml:space="preserve">L-044</t>
  </si>
  <si>
    <t xml:space="preserve">L-045</t>
  </si>
  <si>
    <t xml:space="preserve">L-046</t>
  </si>
  <si>
    <t xml:space="preserve">L-047</t>
  </si>
  <si>
    <t xml:space="preserve">L-048</t>
  </si>
  <si>
    <t xml:space="preserve">L-049</t>
  </si>
  <si>
    <t xml:space="preserve">L-050</t>
  </si>
  <si>
    <t xml:space="preserve">L-051</t>
  </si>
  <si>
    <t xml:space="preserve">L-052</t>
  </si>
  <si>
    <t xml:space="preserve">L-053</t>
  </si>
  <si>
    <t xml:space="preserve">L-054</t>
  </si>
  <si>
    <t xml:space="preserve">L-055</t>
  </si>
  <si>
    <t xml:space="preserve">L-056</t>
  </si>
  <si>
    <t xml:space="preserve">L-057</t>
  </si>
  <si>
    <t xml:space="preserve">L-058</t>
  </si>
  <si>
    <t xml:space="preserve">L-059</t>
  </si>
  <si>
    <t xml:space="preserve">L-060</t>
  </si>
  <si>
    <t xml:space="preserve">L-061</t>
  </si>
  <si>
    <t xml:space="preserve">L-062</t>
  </si>
  <si>
    <t xml:space="preserve">L-063</t>
  </si>
  <si>
    <t xml:space="preserve">L-064</t>
  </si>
  <si>
    <t xml:space="preserve">L-065</t>
  </si>
  <si>
    <t xml:space="preserve">L-066</t>
  </si>
  <si>
    <t xml:space="preserve">L-067</t>
  </si>
  <si>
    <t xml:space="preserve">L-068</t>
  </si>
  <si>
    <t xml:space="preserve">L-069</t>
  </si>
  <si>
    <t xml:space="preserve">L-070</t>
  </si>
  <si>
    <t xml:space="preserve">L-071</t>
  </si>
  <si>
    <t xml:space="preserve">L-072</t>
  </si>
  <si>
    <t xml:space="preserve">L-073</t>
  </si>
  <si>
    <t xml:space="preserve">L-074</t>
  </si>
  <si>
    <t xml:space="preserve">L-075</t>
  </si>
  <si>
    <t xml:space="preserve">L-076</t>
  </si>
  <si>
    <t xml:space="preserve">L-077</t>
  </si>
  <si>
    <t xml:space="preserve">L-078</t>
  </si>
  <si>
    <t xml:space="preserve">L-079</t>
  </si>
  <si>
    <t xml:space="preserve">L-080</t>
  </si>
  <si>
    <t xml:space="preserve">L-081</t>
  </si>
  <si>
    <t xml:space="preserve">L-082</t>
  </si>
  <si>
    <t xml:space="preserve">L-083</t>
  </si>
  <si>
    <t xml:space="preserve">L-084</t>
  </si>
  <si>
    <t xml:space="preserve">L-085</t>
  </si>
  <si>
    <t xml:space="preserve">L-086</t>
  </si>
  <si>
    <t xml:space="preserve">L-087</t>
  </si>
  <si>
    <t xml:space="preserve">L-088</t>
  </si>
  <si>
    <t xml:space="preserve">L-089</t>
  </si>
  <si>
    <t xml:space="preserve">L-090</t>
  </si>
  <si>
    <t xml:space="preserve">L-091</t>
  </si>
  <si>
    <t xml:space="preserve">L-092</t>
  </si>
  <si>
    <t xml:space="preserve">L-093</t>
  </si>
  <si>
    <t xml:space="preserve">L-094</t>
  </si>
  <si>
    <t xml:space="preserve">L-095</t>
  </si>
  <si>
    <t xml:space="preserve">L-096</t>
  </si>
  <si>
    <t xml:space="preserve">L-097</t>
  </si>
  <si>
    <t xml:space="preserve">L-098</t>
  </si>
  <si>
    <t xml:space="preserve">L-099</t>
  </si>
  <si>
    <t xml:space="preserve">L-100</t>
  </si>
  <si>
    <t xml:space="preserve">L-101</t>
  </si>
  <si>
    <t xml:space="preserve">L-102</t>
  </si>
  <si>
    <t xml:space="preserve">L-103</t>
  </si>
  <si>
    <t xml:space="preserve">L-104</t>
  </si>
  <si>
    <t xml:space="preserve">L-105</t>
  </si>
  <si>
    <t xml:space="preserve">L-106</t>
  </si>
  <si>
    <t xml:space="preserve">L-107</t>
  </si>
  <si>
    <t xml:space="preserve">L-108</t>
  </si>
  <si>
    <t xml:space="preserve">L-109</t>
  </si>
  <si>
    <t xml:space="preserve">L-110</t>
  </si>
  <si>
    <t xml:space="preserve">L-111</t>
  </si>
  <si>
    <t xml:space="preserve">L-112</t>
  </si>
  <si>
    <t xml:space="preserve">L-113</t>
  </si>
  <si>
    <t xml:space="preserve">L-114</t>
  </si>
  <si>
    <t xml:space="preserve">L-115</t>
  </si>
  <si>
    <t xml:space="preserve">L-116</t>
  </si>
  <si>
    <t xml:space="preserve">L-117</t>
  </si>
  <si>
    <t xml:space="preserve">L-118</t>
  </si>
  <si>
    <t xml:space="preserve">L-119</t>
  </si>
  <si>
    <t xml:space="preserve">L-120</t>
  </si>
  <si>
    <t xml:space="preserve">L-121</t>
  </si>
  <si>
    <t xml:space="preserve">L-122</t>
  </si>
  <si>
    <t xml:space="preserve">L-123</t>
  </si>
  <si>
    <t xml:space="preserve">L-124</t>
  </si>
  <si>
    <t xml:space="preserve">L-125</t>
  </si>
  <si>
    <t xml:space="preserve">L-126</t>
  </si>
  <si>
    <t xml:space="preserve">L-127</t>
  </si>
  <si>
    <t xml:space="preserve">L-128</t>
  </si>
  <si>
    <t xml:space="preserve">L-129</t>
  </si>
  <si>
    <t xml:space="preserve">L-130</t>
  </si>
  <si>
    <t xml:space="preserve">L-131</t>
  </si>
  <si>
    <t xml:space="preserve">L-132</t>
  </si>
  <si>
    <t xml:space="preserve">L-133</t>
  </si>
  <si>
    <t xml:space="preserve">L-134</t>
  </si>
  <si>
    <t xml:space="preserve">L-135</t>
  </si>
  <si>
    <t xml:space="preserve">L-136</t>
  </si>
  <si>
    <t xml:space="preserve">L-137</t>
  </si>
  <si>
    <t xml:space="preserve">L-138</t>
  </si>
  <si>
    <t xml:space="preserve">L-139</t>
  </si>
  <si>
    <t xml:space="preserve">L-140</t>
  </si>
  <si>
    <t xml:space="preserve">L-141</t>
  </si>
  <si>
    <t xml:space="preserve">L-142</t>
  </si>
  <si>
    <t xml:space="preserve">L-143</t>
  </si>
  <si>
    <t xml:space="preserve">L-144</t>
  </si>
  <si>
    <t xml:space="preserve">L-145</t>
  </si>
  <si>
    <t xml:space="preserve">L-146</t>
  </si>
  <si>
    <t xml:space="preserve">L-147</t>
  </si>
  <si>
    <t xml:space="preserve">L-148</t>
  </si>
  <si>
    <t xml:space="preserve">L-149</t>
  </si>
  <si>
    <t xml:space="preserve">L-150</t>
  </si>
  <si>
    <t xml:space="preserve">L-151</t>
  </si>
  <si>
    <t xml:space="preserve">L-152</t>
  </si>
  <si>
    <t xml:space="preserve">L-153</t>
  </si>
  <si>
    <t xml:space="preserve">L-154</t>
  </si>
  <si>
    <t xml:space="preserve">L-155</t>
  </si>
  <si>
    <t xml:space="preserve">L-156</t>
  </si>
  <si>
    <t xml:space="preserve">L-157</t>
  </si>
  <si>
    <t xml:space="preserve">L-158</t>
  </si>
  <si>
    <t xml:space="preserve">L-159</t>
  </si>
  <si>
    <t xml:space="preserve">L-160</t>
  </si>
  <si>
    <t xml:space="preserve">L-161</t>
  </si>
  <si>
    <t xml:space="preserve">L-162</t>
  </si>
  <si>
    <t xml:space="preserve">L-163</t>
  </si>
  <si>
    <t xml:space="preserve">L-164</t>
  </si>
  <si>
    <t xml:space="preserve">L-165</t>
  </si>
  <si>
    <t xml:space="preserve">L-166</t>
  </si>
  <si>
    <t xml:space="preserve">L-167</t>
  </si>
  <si>
    <t xml:space="preserve">L-168</t>
  </si>
  <si>
    <t xml:space="preserve">L-169</t>
  </si>
  <si>
    <t xml:space="preserve">L-170</t>
  </si>
  <si>
    <t xml:space="preserve">L-171</t>
  </si>
  <si>
    <t xml:space="preserve">L-172</t>
  </si>
  <si>
    <t xml:space="preserve">L-173</t>
  </si>
  <si>
    <t xml:space="preserve">L-174</t>
  </si>
  <si>
    <t xml:space="preserve">L-175</t>
  </si>
  <si>
    <t xml:space="preserve">L-176</t>
  </si>
  <si>
    <t xml:space="preserve">L-177</t>
  </si>
  <si>
    <t xml:space="preserve">L-178</t>
  </si>
  <si>
    <t xml:space="preserve">L-179</t>
  </si>
  <si>
    <t xml:space="preserve">L-180</t>
  </si>
  <si>
    <t xml:space="preserve">L-181</t>
  </si>
  <si>
    <t xml:space="preserve">L-182</t>
  </si>
  <si>
    <t xml:space="preserve">L-183</t>
  </si>
  <si>
    <t xml:space="preserve">L-184</t>
  </si>
  <si>
    <t xml:space="preserve">L-185</t>
  </si>
  <si>
    <t xml:space="preserve">L-186</t>
  </si>
  <si>
    <t xml:space="preserve">L-187</t>
  </si>
  <si>
    <t xml:space="preserve">L-188</t>
  </si>
  <si>
    <t xml:space="preserve">L-189</t>
  </si>
  <si>
    <t xml:space="preserve">L-190</t>
  </si>
  <si>
    <t xml:space="preserve">L-191</t>
  </si>
  <si>
    <t xml:space="preserve">L-192</t>
  </si>
  <si>
    <t xml:space="preserve">L-193</t>
  </si>
  <si>
    <t xml:space="preserve">L-194</t>
  </si>
  <si>
    <t xml:space="preserve">L-195</t>
  </si>
  <si>
    <t xml:space="preserve">L-196</t>
  </si>
  <si>
    <t xml:space="preserve">L-197</t>
  </si>
  <si>
    <t xml:space="preserve">L-198</t>
  </si>
  <si>
    <t xml:space="preserve">L-199</t>
  </si>
  <si>
    <t xml:space="preserve">L-200</t>
  </si>
  <si>
    <t xml:space="preserve">L-201</t>
  </si>
  <si>
    <t xml:space="preserve">L-202</t>
  </si>
  <si>
    <t xml:space="preserve">L-203</t>
  </si>
  <si>
    <t xml:space="preserve">L-204</t>
  </si>
  <si>
    <t xml:space="preserve">L-205</t>
  </si>
  <si>
    <t xml:space="preserve">L-206</t>
  </si>
  <si>
    <t xml:space="preserve">L-207</t>
  </si>
  <si>
    <t xml:space="preserve">L-208</t>
  </si>
  <si>
    <t xml:space="preserve">L-209</t>
  </si>
  <si>
    <t xml:space="preserve">L-210</t>
  </si>
  <si>
    <t xml:space="preserve">L-211</t>
  </si>
  <si>
    <t xml:space="preserve">L-212</t>
  </si>
  <si>
    <t xml:space="preserve">L-213</t>
  </si>
  <si>
    <t xml:space="preserve">L-214</t>
  </si>
  <si>
    <t xml:space="preserve">L-215</t>
  </si>
  <si>
    <t xml:space="preserve">L-216</t>
  </si>
  <si>
    <t xml:space="preserve">L-217</t>
  </si>
  <si>
    <t xml:space="preserve">L-218</t>
  </si>
  <si>
    <t xml:space="preserve">L-219</t>
  </si>
  <si>
    <t xml:space="preserve">L-220</t>
  </si>
  <si>
    <t xml:space="preserve">L-221</t>
  </si>
  <si>
    <t xml:space="preserve">L-222</t>
  </si>
  <si>
    <t xml:space="preserve">L-223</t>
  </si>
  <si>
    <t xml:space="preserve">L-224</t>
  </si>
  <si>
    <t xml:space="preserve">L-225</t>
  </si>
  <si>
    <t xml:space="preserve">L-226</t>
  </si>
  <si>
    <t xml:space="preserve">L-227</t>
  </si>
  <si>
    <t xml:space="preserve">L-228</t>
  </si>
  <si>
    <t xml:space="preserve">L-229</t>
  </si>
  <si>
    <t xml:space="preserve">L-230</t>
  </si>
  <si>
    <t xml:space="preserve">L-231</t>
  </si>
  <si>
    <t xml:space="preserve">L-232</t>
  </si>
  <si>
    <t xml:space="preserve">L-233</t>
  </si>
  <si>
    <t xml:space="preserve">L-234</t>
  </si>
  <si>
    <t xml:space="preserve">L-235</t>
  </si>
  <si>
    <t xml:space="preserve">L-236</t>
  </si>
  <si>
    <t xml:space="preserve">L-237</t>
  </si>
  <si>
    <t xml:space="preserve">L-238</t>
  </si>
  <si>
    <t xml:space="preserve">L-239</t>
  </si>
  <si>
    <t xml:space="preserve">L-240</t>
  </si>
  <si>
    <t xml:space="preserve">L-241</t>
  </si>
  <si>
    <t xml:space="preserve">L-242</t>
  </si>
  <si>
    <t xml:space="preserve">L-243</t>
  </si>
  <si>
    <t xml:space="preserve">L-244</t>
  </si>
  <si>
    <t xml:space="preserve">L-245</t>
  </si>
  <si>
    <t xml:space="preserve">L-246</t>
  </si>
  <si>
    <t xml:space="preserve">L-247</t>
  </si>
  <si>
    <t xml:space="preserve">L-248</t>
  </si>
  <si>
    <t xml:space="preserve">L-249</t>
  </si>
  <si>
    <t xml:space="preserve">L-250</t>
  </si>
  <si>
    <t xml:space="preserve">L-251</t>
  </si>
  <si>
    <t xml:space="preserve">L-252</t>
  </si>
  <si>
    <t xml:space="preserve">L-253</t>
  </si>
  <si>
    <t xml:space="preserve">L-254</t>
  </si>
  <si>
    <t xml:space="preserve">L-255</t>
  </si>
  <si>
    <t xml:space="preserve">L-256</t>
  </si>
  <si>
    <t xml:space="preserve">L-257</t>
  </si>
  <si>
    <t xml:space="preserve">L-258</t>
  </si>
  <si>
    <t xml:space="preserve">L-259</t>
  </si>
  <si>
    <t xml:space="preserve">L-260</t>
  </si>
  <si>
    <t xml:space="preserve">L-261</t>
  </si>
  <si>
    <t xml:space="preserve">L-262</t>
  </si>
  <si>
    <t xml:space="preserve">L-263</t>
  </si>
  <si>
    <t xml:space="preserve">L-264</t>
  </si>
  <si>
    <t xml:space="preserve">L-265</t>
  </si>
  <si>
    <t xml:space="preserve">L-266</t>
  </si>
  <si>
    <t xml:space="preserve">L-267</t>
  </si>
  <si>
    <t xml:space="preserve">L-268</t>
  </si>
  <si>
    <t xml:space="preserve">L-269</t>
  </si>
  <si>
    <t xml:space="preserve">L-270</t>
  </si>
  <si>
    <t xml:space="preserve">L-271</t>
  </si>
  <si>
    <t xml:space="preserve">L-272</t>
  </si>
  <si>
    <t xml:space="preserve">L-273</t>
  </si>
  <si>
    <t xml:space="preserve">L-274</t>
  </si>
  <si>
    <t xml:space="preserve">L-275</t>
  </si>
  <si>
    <t xml:space="preserve">L-276</t>
  </si>
  <si>
    <t xml:space="preserve">L-277</t>
  </si>
  <si>
    <t xml:space="preserve">L-278</t>
  </si>
  <si>
    <t xml:space="preserve">L-279</t>
  </si>
  <si>
    <t xml:space="preserve">L-280</t>
  </si>
  <si>
    <t xml:space="preserve">L-281</t>
  </si>
  <si>
    <t xml:space="preserve">L-282</t>
  </si>
  <si>
    <t xml:space="preserve">L-283</t>
  </si>
  <si>
    <t xml:space="preserve">L-284</t>
  </si>
  <si>
    <t xml:space="preserve">L-285</t>
  </si>
  <si>
    <t xml:space="preserve">L-286</t>
  </si>
  <si>
    <t xml:space="preserve">L-287</t>
  </si>
  <si>
    <t xml:space="preserve">L-288</t>
  </si>
  <si>
    <t xml:space="preserve">L-289</t>
  </si>
  <si>
    <t xml:space="preserve">L-290</t>
  </si>
  <si>
    <t xml:space="preserve">L-291</t>
  </si>
  <si>
    <t xml:space="preserve">L-292</t>
  </si>
  <si>
    <t xml:space="preserve">L-293</t>
  </si>
  <si>
    <t xml:space="preserve">L-294</t>
  </si>
  <si>
    <t xml:space="preserve">L-295</t>
  </si>
  <si>
    <t xml:space="preserve">L-296</t>
  </si>
  <si>
    <t xml:space="preserve">L-297</t>
  </si>
  <si>
    <t xml:space="preserve">L-298</t>
  </si>
  <si>
    <t xml:space="preserve">L-299</t>
  </si>
  <si>
    <t xml:space="preserve">L-300</t>
  </si>
  <si>
    <t xml:space="preserve">יומן סינון — כל מטופל עם ממאירות ראש-צוואר חדשה שנדון בוועדה (ללא פרטים מזהים)</t>
  </si>
  <si>
    <t xml:space="preserve">מס׳ סינון</t>
  </si>
  <si>
    <t xml:space="preserve">חודש אבחנה</t>
  </si>
  <si>
    <t xml:space="preserve">נדון בוועדה</t>
  </si>
  <si>
    <t xml:space="preserve">נפתח מקרה בכלי</t>
  </si>
  <si>
    <t xml:space="preserve">כשיר למחקר</t>
  </si>
  <si>
    <t xml:space="preserve">סיבת אי-כשירות</t>
  </si>
  <si>
    <t xml:space="preserve">פנו אליו</t>
  </si>
  <si>
    <t xml:space="preserve">חתם הסכמה</t>
  </si>
  <si>
    <t xml:space="preserve">מספר מחקר (אם נכלל)</t>
  </si>
  <si>
    <t xml:space="preserve">scr</t>
  </si>
  <si>
    <t xml:space="preserve">mon</t>
  </si>
  <si>
    <t xml:space="preserve">mdt</t>
  </si>
  <si>
    <t xml:space="preserve">tool</t>
  </si>
  <si>
    <t xml:space="preserve">elig</t>
  </si>
  <si>
    <t xml:space="preserve">excl</t>
  </si>
  <si>
    <t xml:space="preserve">appr</t>
  </si>
  <si>
    <t xml:space="preserve">cons</t>
  </si>
  <si>
    <t xml:space="preserve">S-001</t>
  </si>
  <si>
    <t xml:space="preserve">S-002</t>
  </si>
  <si>
    <t xml:space="preserve">S-003</t>
  </si>
  <si>
    <t xml:space="preserve">S-004</t>
  </si>
  <si>
    <t xml:space="preserve">S-005</t>
  </si>
  <si>
    <t xml:space="preserve">S-006</t>
  </si>
  <si>
    <t xml:space="preserve">S-007</t>
  </si>
  <si>
    <t xml:space="preserve">S-008</t>
  </si>
  <si>
    <t xml:space="preserve">S-009</t>
  </si>
  <si>
    <t xml:space="preserve">S-010</t>
  </si>
  <si>
    <t xml:space="preserve">S-011</t>
  </si>
  <si>
    <t xml:space="preserve">S-012</t>
  </si>
  <si>
    <t xml:space="preserve">S-013</t>
  </si>
  <si>
    <t xml:space="preserve">S-014</t>
  </si>
  <si>
    <t xml:space="preserve">S-015</t>
  </si>
  <si>
    <t xml:space="preserve">S-016</t>
  </si>
  <si>
    <t xml:space="preserve">S-017</t>
  </si>
  <si>
    <t xml:space="preserve">S-018</t>
  </si>
  <si>
    <t xml:space="preserve">S-019</t>
  </si>
  <si>
    <t xml:space="preserve">S-020</t>
  </si>
  <si>
    <t xml:space="preserve">S-021</t>
  </si>
  <si>
    <t xml:space="preserve">S-022</t>
  </si>
  <si>
    <t xml:space="preserve">S-023</t>
  </si>
  <si>
    <t xml:space="preserve">S-024</t>
  </si>
  <si>
    <t xml:space="preserve">S-025</t>
  </si>
  <si>
    <t xml:space="preserve">S-026</t>
  </si>
  <si>
    <t xml:space="preserve">S-027</t>
  </si>
  <si>
    <t xml:space="preserve">S-028</t>
  </si>
  <si>
    <t xml:space="preserve">S-029</t>
  </si>
  <si>
    <t xml:space="preserve">S-030</t>
  </si>
  <si>
    <t xml:space="preserve">S-031</t>
  </si>
  <si>
    <t xml:space="preserve">S-032</t>
  </si>
  <si>
    <t xml:space="preserve">S-033</t>
  </si>
  <si>
    <t xml:space="preserve">S-034</t>
  </si>
  <si>
    <t xml:space="preserve">S-035</t>
  </si>
  <si>
    <t xml:space="preserve">S-036</t>
  </si>
  <si>
    <t xml:space="preserve">S-037</t>
  </si>
  <si>
    <t xml:space="preserve">S-038</t>
  </si>
  <si>
    <t xml:space="preserve">S-039</t>
  </si>
  <si>
    <t xml:space="preserve">S-040</t>
  </si>
  <si>
    <t xml:space="preserve">S-041</t>
  </si>
  <si>
    <t xml:space="preserve">S-042</t>
  </si>
  <si>
    <t xml:space="preserve">S-043</t>
  </si>
  <si>
    <t xml:space="preserve">S-044</t>
  </si>
  <si>
    <t xml:space="preserve">S-045</t>
  </si>
  <si>
    <t xml:space="preserve">S-046</t>
  </si>
  <si>
    <t xml:space="preserve">S-047</t>
  </si>
  <si>
    <t xml:space="preserve">S-048</t>
  </si>
  <si>
    <t xml:space="preserve">S-049</t>
  </si>
  <si>
    <t xml:space="preserve">S-050</t>
  </si>
  <si>
    <t xml:space="preserve">S-051</t>
  </si>
  <si>
    <t xml:space="preserve">S-052</t>
  </si>
  <si>
    <t xml:space="preserve">S-053</t>
  </si>
  <si>
    <t xml:space="preserve">S-054</t>
  </si>
  <si>
    <t xml:space="preserve">S-055</t>
  </si>
  <si>
    <t xml:space="preserve">S-056</t>
  </si>
  <si>
    <t xml:space="preserve">S-057</t>
  </si>
  <si>
    <t xml:space="preserve">S-058</t>
  </si>
  <si>
    <t xml:space="preserve">S-059</t>
  </si>
  <si>
    <t xml:space="preserve">S-060</t>
  </si>
  <si>
    <t xml:space="preserve">S-061</t>
  </si>
  <si>
    <t xml:space="preserve">S-062</t>
  </si>
  <si>
    <t xml:space="preserve">S-063</t>
  </si>
  <si>
    <t xml:space="preserve">S-064</t>
  </si>
  <si>
    <t xml:space="preserve">S-065</t>
  </si>
  <si>
    <t xml:space="preserve">S-066</t>
  </si>
  <si>
    <t xml:space="preserve">S-067</t>
  </si>
  <si>
    <t xml:space="preserve">S-068</t>
  </si>
  <si>
    <t xml:space="preserve">S-069</t>
  </si>
  <si>
    <t xml:space="preserve">S-070</t>
  </si>
  <si>
    <t xml:space="preserve">S-071</t>
  </si>
  <si>
    <t xml:space="preserve">S-072</t>
  </si>
  <si>
    <t xml:space="preserve">S-073</t>
  </si>
  <si>
    <t xml:space="preserve">S-074</t>
  </si>
  <si>
    <t xml:space="preserve">S-075</t>
  </si>
  <si>
    <t xml:space="preserve">S-076</t>
  </si>
  <si>
    <t xml:space="preserve">S-077</t>
  </si>
  <si>
    <t xml:space="preserve">S-078</t>
  </si>
  <si>
    <t xml:space="preserve">S-079</t>
  </si>
  <si>
    <t xml:space="preserve">S-080</t>
  </si>
  <si>
    <t xml:space="preserve">פעילות הצוות בכלי — ברמת דיסציפלינה בלבד (אין דיווח ברמת הפרט, סעיף 8.3)</t>
  </si>
  <si>
    <t xml:space="preserve">חודש</t>
  </si>
  <si>
    <t xml:space="preserve">דיסציפלינה</t>
  </si>
  <si>
    <t xml:space="preserve">חברי צוות בוועדה</t>
  </si>
  <si>
    <t xml:space="preserve">פעילים בכלי בחודש</t>
  </si>
  <si>
    <t xml:space="preserve">שיעור פעילים</t>
  </si>
  <si>
    <t xml:space="preserve">mem</t>
  </si>
  <si>
    <t xml:space="preserve">act</t>
  </si>
  <si>
    <t xml:space="preserve">pct</t>
  </si>
  <si>
    <t xml:space="preserve">גיליון</t>
  </si>
  <si>
    <t xml:space="preserve">קוד שדה</t>
  </si>
  <si>
    <t xml:space="preserve">שדה</t>
  </si>
  <si>
    <t xml:space="preserve">סוג</t>
  </si>
  <si>
    <t xml:space="preserve">הגדרה / מקור</t>
  </si>
  <si>
    <t xml:space="preserve">מחושב</t>
  </si>
  <si>
    <t xml:space="preserve">זיהוי · נוצר אוטומטית מהמספר הרץ, האתר, הצד ותאריך דוח הפתולוגיה. לאחר ההקצאה — קבוע.</t>
  </si>
  <si>
    <t xml:space="preserve">זיהוי · מוקצה לפי סדר הכניסה למחקר.</t>
  </si>
  <si>
    <t xml:space="preserve">רשימה</t>
  </si>
  <si>
    <t xml:space="preserve">זיהוי · רשימה בגיליון Lists.</t>
  </si>
  <si>
    <t xml:space="preserve">זיהוי · R ימין · L שמאל · M קו אמצע · B דו-צדדי.</t>
  </si>
  <si>
    <t xml:space="preserve">תאריך</t>
  </si>
  <si>
    <t xml:space="preserve">כניסה · זרוע ההתערבות בלבד (8.1).</t>
  </si>
  <si>
    <t xml:space="preserve">דמוגרפיה · גיל ולא תאריך לידה.</t>
  </si>
  <si>
    <t xml:space="preserve">דמוגרפיה · בטווחים בלבד — לא כתובת.</t>
  </si>
  <si>
    <t xml:space="preserve">גידול · AJCC 8.</t>
  </si>
  <si>
    <t xml:space="preserve">גידול · לוע הפה.</t>
  </si>
  <si>
    <t xml:space="preserve">גידול · לוע האף.</t>
  </si>
  <si>
    <t xml:space="preserve">גידול · אחרי ניתוח.</t>
  </si>
  <si>
    <t xml:space="preserve">מועדים · נקודת האפס של המחקר (5.5).</t>
  </si>
  <si>
    <t xml:space="preserve">מועדים · ריק אם לא בוצע.</t>
  </si>
  <si>
    <t xml:space="preserve">מועדים · אם נדחה — מועד ההחלטה בפועל.</t>
  </si>
  <si>
    <t xml:space="preserve">קיבולת · לבחינת H0.</t>
  </si>
  <si>
    <t xml:space="preserve">מועדים · התוצא הראשוני מסתיים כאן.</t>
  </si>
  <si>
    <t xml:space="preserve">הצגה חוזרת · עם פתולוגיה סופית.</t>
  </si>
  <si>
    <t xml:space="preserve">גורמי עיכוב · Cook 2022.</t>
  </si>
  <si>
    <t xml:space="preserve">תהליך · מחושב מגיליון MDT.</t>
  </si>
  <si>
    <t xml:space="preserve">מרווחים (ימים) · מרווח הבירור.</t>
  </si>
  <si>
    <t xml:space="preserve">מרווחים (ימים) · תוצא משני.</t>
  </si>
  <si>
    <t xml:space="preserve">מרווחים (ימים) · התוצא הראשוני (5.6).</t>
  </si>
  <si>
    <t xml:space="preserve">מרווחים (ימים) · Liao 2019.</t>
  </si>
  <si>
    <t xml:space="preserve">מרווחים (ימים) · Murphy 2016.</t>
  </si>
  <si>
    <t xml:space="preserve">מרווחים (ימים) · ניתוח בלבד.</t>
  </si>
  <si>
    <t xml:space="preserve">מרווחים (ימים) · קיבולת חדר ניתוח.</t>
  </si>
  <si>
    <t xml:space="preserve">מרווחים (ימים) · קיבולת מכון ההקרנות (טיפול ראשוני).</t>
  </si>
  <si>
    <t xml:space="preserve">מרווחים (ימים) · מרווח ההחלטה השני.</t>
  </si>
  <si>
    <t xml:space="preserve">מרווחים (ימים) · NCCN v1.2026, 2A.</t>
  </si>
  <si>
    <t xml:space="preserve">טקסט</t>
  </si>
  <si>
    <t xml:space="preserve">הערות · אסור לכתוב שם, ת״ז או תאריך לידה.</t>
  </si>
  <si>
    <t xml:space="preserve">הזנה</t>
  </si>
  <si>
    <t xml:space="preserve">T</t>
  </si>
  <si>
    <t xml:space="preserve">N</t>
  </si>
  <si>
    <t xml:space="preserve">marker</t>
  </si>
  <si>
    <t xml:space="preserve">yn</t>
  </si>
  <si>
    <t xml:space="preserve">mod</t>
  </si>
  <si>
    <t xml:space="preserve">nonconc</t>
  </si>
  <si>
    <t xml:space="preserve">mdtout</t>
  </si>
  <si>
    <t xml:space="preserve">defer</t>
  </si>
  <si>
    <t xml:space="preserve">ltype</t>
  </si>
  <si>
    <t xml:space="preserve">לשון (חלל הפה)</t>
  </si>
  <si>
    <t xml:space="preserve">ימין</t>
  </si>
  <si>
    <t xml:space="preserve">SCC</t>
  </si>
  <si>
    <t xml:space="preserve">TX</t>
  </si>
  <si>
    <t xml:space="preserve">NX</t>
  </si>
  <si>
    <t xml:space="preserve">מעולם לא</t>
  </si>
  <si>
    <t xml:space="preserve">ללא</t>
  </si>
  <si>
    <t xml:space="preserve">0 — ללא</t>
  </si>
  <si>
    <t xml:space="preserve">פחות מ-10 ק״מ</t>
  </si>
  <si>
    <t xml:space="preserve">מאיר</t>
  </si>
  <si>
    <t xml:space="preserve">בקשת המטופל</t>
  </si>
  <si>
    <t xml:space="preserve">השלמת פתולוגיה / צביעות</t>
  </si>
  <si>
    <t xml:space="preserve">לפני הוועדה</t>
  </si>
  <si>
    <t xml:space="preserve">מתחת לגיל 18</t>
  </si>
  <si>
    <t xml:space="preserve">רצפת הפה</t>
  </si>
  <si>
    <t xml:space="preserve">שמאל</t>
  </si>
  <si>
    <t xml:space="preserve">SCC — basaloid / variant</t>
  </si>
  <si>
    <t xml:space="preserve">M1</t>
  </si>
  <si>
    <t xml:space="preserve">מידע קליני חדש</t>
  </si>
  <si>
    <t xml:space="preserve">הושלם</t>
  </si>
  <si>
    <t xml:space="preserve">מנהל תחום אונקולוגיה</t>
  </si>
  <si>
    <t xml:space="preserve">השלמת הדמיה</t>
  </si>
  <si>
    <t xml:space="preserve">אחרי הוועדה</t>
  </si>
  <si>
    <t xml:space="preserve">הישנות / טיפול קודם</t>
  </si>
  <si>
    <t xml:space="preserve">רירית הלחי</t>
  </si>
  <si>
    <t xml:space="preserve">קו אמצע</t>
  </si>
  <si>
    <t xml:space="preserve">Tis</t>
  </si>
  <si>
    <t xml:space="preserve">לא נבדק</t>
  </si>
  <si>
    <t xml:space="preserve">מעשן כיום</t>
  </si>
  <si>
    <t xml:space="preserve">כבד</t>
  </si>
  <si>
    <t xml:space="preserve">2 — בינוני</t>
  </si>
  <si>
    <t xml:space="preserve">30–60 ק״מ</t>
  </si>
  <si>
    <t xml:space="preserve">אחר בכללית</t>
  </si>
  <si>
    <t xml:space="preserve">שינוי שלב ללא הצגה חוזרת</t>
  </si>
  <si>
    <t xml:space="preserve">פרש</t>
  </si>
  <si>
    <t xml:space="preserve">חוקר ראשי</t>
  </si>
  <si>
    <t xml:space="preserve">נדחה — סיבה אחרת</t>
  </si>
  <si>
    <t xml:space="preserve">טיפול מחוץ לכללית</t>
  </si>
  <si>
    <t xml:space="preserve">חניכיים / רכס מכתשי</t>
  </si>
  <si>
    <t xml:space="preserve">דו-צדדי</t>
  </si>
  <si>
    <t xml:space="preserve">Mucoepidermoid carcinoma</t>
  </si>
  <si>
    <t xml:space="preserve">לא ידוע</t>
  </si>
  <si>
    <t xml:space="preserve">3 — חמור</t>
  </si>
  <si>
    <t xml:space="preserve">מעל 60 ק״מ</t>
  </si>
  <si>
    <t xml:space="preserve">כימותרפיה אינדוקציה</t>
  </si>
  <si>
    <t xml:space="preserve">מצב תפקודי</t>
  </si>
  <si>
    <t xml:space="preserve">הוצא</t>
  </si>
  <si>
    <t xml:space="preserve">סירב / לא כשיר להסכמה</t>
  </si>
  <si>
    <t xml:space="preserve">PAL</t>
  </si>
  <si>
    <t xml:space="preserve">חך קשה</t>
  </si>
  <si>
    <t xml:space="preserve">Adenoid cystic carcinoma</t>
  </si>
  <si>
    <t xml:space="preserve">N2a</t>
  </si>
  <si>
    <t xml:space="preserve">IV</t>
  </si>
  <si>
    <t xml:space="preserve">לא מתועד</t>
  </si>
  <si>
    <t xml:space="preserve">טיפול מערכתי</t>
  </si>
  <si>
    <t xml:space="preserve">נפטר לפני טיפול</t>
  </si>
  <si>
    <t xml:space="preserve">הערכה טרום-ניתוחית</t>
  </si>
  <si>
    <t xml:space="preserve">רשומה חסרה</t>
  </si>
  <si>
    <t xml:space="preserve">LIP</t>
  </si>
  <si>
    <t xml:space="preserve">שפה</t>
  </si>
  <si>
    <t xml:space="preserve">Salivary duct carcinoma</t>
  </si>
  <si>
    <t xml:space="preserve">פליאטיבי</t>
  </si>
  <si>
    <t xml:space="preserve">תור לחדר ניתוח</t>
  </si>
  <si>
    <t xml:space="preserve">לא הוצג בוועדה</t>
  </si>
  <si>
    <t xml:space="preserve">RMT</t>
  </si>
  <si>
    <t xml:space="preserve">טריגון רטרומולרי</t>
  </si>
  <si>
    <t xml:space="preserve">Acinic cell carcinoma</t>
  </si>
  <si>
    <t xml:space="preserve">T4</t>
  </si>
  <si>
    <t xml:space="preserve">IVB</t>
  </si>
  <si>
    <t xml:space="preserve">מעקב בלבד</t>
  </si>
  <si>
    <t xml:space="preserve">תור לסימולציה / הקרנות</t>
  </si>
  <si>
    <t xml:space="preserve">שקד</t>
  </si>
  <si>
    <t xml:space="preserve">Carcinoma ex pleomorphic adenoma</t>
  </si>
  <si>
    <t xml:space="preserve">N3</t>
  </si>
  <si>
    <t xml:space="preserve">IVC</t>
  </si>
  <si>
    <t xml:space="preserve">הפניה להקרנות</t>
  </si>
  <si>
    <t xml:space="preserve">בסיס הלשון</t>
  </si>
  <si>
    <t xml:space="preserve">Papillary thyroid carcinoma</t>
  </si>
  <si>
    <t xml:space="preserve">T4b</t>
  </si>
  <si>
    <t xml:space="preserve">N3a</t>
  </si>
  <si>
    <t xml:space="preserve">PEG / תזונה</t>
  </si>
  <si>
    <t xml:space="preserve">OPX</t>
  </si>
  <si>
    <t xml:space="preserve">לוע הפה — אחר</t>
  </si>
  <si>
    <t xml:space="preserve">Follicular thyroid carcinoma</t>
  </si>
  <si>
    <t xml:space="preserve">N3b</t>
  </si>
  <si>
    <t xml:space="preserve">שאלה קלינית לוועדה</t>
  </si>
  <si>
    <t xml:space="preserve">לוע האף</t>
  </si>
  <si>
    <t xml:space="preserve">Medullary thyroid carcinoma</t>
  </si>
  <si>
    <t xml:space="preserve">גרון — סופרגלוטי</t>
  </si>
  <si>
    <t xml:space="preserve">Anaplastic thyroid carcinoma</t>
  </si>
  <si>
    <t xml:space="preserve">גרון — גלוטי</t>
  </si>
  <si>
    <t xml:space="preserve">Mucosal melanoma</t>
  </si>
  <si>
    <t xml:space="preserve">SBG</t>
  </si>
  <si>
    <t xml:space="preserve">גרון — סבגלוטי</t>
  </si>
  <si>
    <t xml:space="preserve">Sarcoma</t>
  </si>
  <si>
    <t xml:space="preserve">היפופרינקס</t>
  </si>
  <si>
    <t xml:space="preserve">Other</t>
  </si>
  <si>
    <t xml:space="preserve">אף וסינוסים</t>
  </si>
  <si>
    <t xml:space="preserve">בלוטת הפרוטיד</t>
  </si>
  <si>
    <t xml:space="preserve">SMG</t>
  </si>
  <si>
    <t xml:space="preserve">בלוטה תת-לסתית</t>
  </si>
  <si>
    <t xml:space="preserve">MSG</t>
  </si>
  <si>
    <t xml:space="preserve">בלוטות רוק זעירות</t>
  </si>
  <si>
    <t xml:space="preserve">בלוטת התריס</t>
  </si>
  <si>
    <t xml:space="preserve">גרורה צווארית ללא מוקד ראשוני</t>
  </si>
  <si>
    <t xml:space="preserve">SKN</t>
  </si>
  <si>
    <t xml:space="preserve">עור ראש-צוואר</t>
  </si>
  <si>
    <t xml:space="preserve">OTH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</si>
</sst>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0"/>
    <numFmt numFmtId="166" formatCode="0%"/>
    <numFmt numFmtId="167" formatCode="0.0"/>
    <numFmt numFmtId="168" formatCode="@"/>
    <numFmt numFmtId="169" formatCode="000"/>
    <numFmt numFmtId="170" formatCode="dd/mm/yyyy"/>
    <numFmt numFmtId="171" formatCode="General"/>
    <numFmt numFmtId="172" formatCode="&quot;כן&quot;;&quot;&quot;;&quot;לא&quot;"/>
    <numFmt numFmtId="173" formatCode="dd/mm/yyyy\ hh:mm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A5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1F3A5F"/>
      <name val="Arial"/>
      <family val="0"/>
      <charset val="1"/>
    </font>
    <font>
      <b val="true"/>
      <sz val="12"/>
      <name val="Arial"/>
      <family val="0"/>
      <charset val="1"/>
    </font>
    <font>
      <sz val="9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3"/>
      <color rgb="FF1F3A5F"/>
      <name val="Arial"/>
      <family val="0"/>
      <charset val="1"/>
    </font>
    <font>
      <b val="true"/>
      <sz val="9"/>
      <color rgb="FF1F3A5F"/>
      <name val="Arial"/>
      <family val="0"/>
      <charset val="1"/>
    </font>
    <font>
      <sz val="8"/>
      <color rgb="FF555555"/>
      <name val="Arial"/>
      <family val="0"/>
      <charset val="1"/>
    </font>
    <font>
      <sz val="10"/>
      <name val="FreeSans"/>
      <family val="2"/>
    </font>
    <font>
      <sz val="10"/>
      <name val="Arial"/>
      <family val="2"/>
    </font>
    <font>
      <b val="true"/>
      <sz val="11"/>
      <name val="Arial"/>
      <family val="0"/>
      <charset val="1"/>
    </font>
    <font>
      <sz val="11"/>
      <color rgb="FF666666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FF7D6"/>
        <bgColor rgb="FFEEF1F4"/>
      </patternFill>
    </fill>
    <fill>
      <patternFill patternType="solid">
        <fgColor rgb="FFEEF1F4"/>
        <bgColor rgb="FFE3EEFB"/>
      </patternFill>
    </fill>
    <fill>
      <patternFill patternType="solid">
        <fgColor rgb="FFE3EEFB"/>
        <bgColor rgb="FFEEF1F4"/>
      </patternFill>
    </fill>
    <fill>
      <patternFill patternType="solid">
        <fgColor rgb="FFF4B6B6"/>
        <bgColor rgb="FFFF99CC"/>
      </patternFill>
    </fill>
    <fill>
      <patternFill patternType="solid">
        <fgColor rgb="FF1F3A5F"/>
        <bgColor rgb="FF333399"/>
      </patternFill>
    </fill>
    <fill>
      <patternFill patternType="solid">
        <fgColor rgb="FFDCE6F2"/>
        <bgColor rgb="FFE3EEF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CED6"/>
      </left>
      <right style="thin">
        <color rgb="FFC9CED6"/>
      </right>
      <top style="thin">
        <color rgb="FFC9CED6"/>
      </top>
      <bottom style="thin">
        <color rgb="FFC9CED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top" textRotation="0" wrapText="false" indent="0" shrinkToFit="false" readingOrder="2"/>
      <protection locked="true" hidden="false"/>
    </xf>
    <xf numFmtId="164" fontId="5" fillId="0" borderId="0" xfId="0" applyFont="true" applyBorder="false" applyAlignment="true" applyProtection="false">
      <alignment horizontal="right" vertical="top" textRotation="0" wrapText="true" indent="0" shrinkToFit="false" readingOrder="2"/>
      <protection locked="true" hidden="false"/>
    </xf>
    <xf numFmtId="164" fontId="6" fillId="0" borderId="0" xfId="0" applyFont="true" applyBorder="false" applyAlignment="true" applyProtection="false">
      <alignment horizontal="right" vertical="top" textRotation="0" wrapText="false" indent="0" shrinkToFit="false" readingOrder="2"/>
      <protection locked="true" hidden="false"/>
    </xf>
    <xf numFmtId="164" fontId="7" fillId="0" borderId="0" xfId="0" applyFont="true" applyBorder="false" applyAlignment="true" applyProtection="false">
      <alignment horizontal="right" vertical="top" textRotation="0" wrapText="false" indent="0" shrinkToFit="false" readingOrder="2"/>
      <protection locked="true" hidden="false"/>
    </xf>
    <xf numFmtId="164" fontId="8" fillId="0" borderId="0" xfId="0" applyFont="true" applyBorder="false" applyAlignment="true" applyProtection="false">
      <alignment horizontal="right" vertical="top" textRotation="0" wrapText="false" indent="0" shrinkToFit="false" readingOrder="2"/>
      <protection locked="true" hidden="false"/>
    </xf>
    <xf numFmtId="164" fontId="9" fillId="0" borderId="0" xfId="0" applyFont="true" applyBorder="false" applyAlignment="true" applyProtection="false">
      <alignment horizontal="right" vertical="top" textRotation="0" wrapText="true" indent="0" shrinkToFit="false" readingOrder="2"/>
      <protection locked="true" hidden="false"/>
    </xf>
    <xf numFmtId="164" fontId="6" fillId="2" borderId="0" xfId="0" applyFont="true" applyBorder="false" applyAlignment="true" applyProtection="false">
      <alignment horizontal="right" vertical="top" textRotation="0" wrapText="false" indent="0" shrinkToFit="false" readingOrder="2"/>
      <protection locked="true" hidden="false"/>
    </xf>
    <xf numFmtId="164" fontId="6" fillId="3" borderId="0" xfId="0" applyFont="true" applyBorder="false" applyAlignment="true" applyProtection="false">
      <alignment horizontal="right" vertical="top" textRotation="0" wrapText="false" indent="0" shrinkToFit="false" readingOrder="2"/>
      <protection locked="true" hidden="false"/>
    </xf>
    <xf numFmtId="164" fontId="6" fillId="4" borderId="0" xfId="0" applyFont="true" applyBorder="false" applyAlignment="true" applyProtection="false">
      <alignment horizontal="right" vertical="top" textRotation="0" wrapText="false" indent="0" shrinkToFit="false" readingOrder="2"/>
      <protection locked="true" hidden="false"/>
    </xf>
    <xf numFmtId="164" fontId="6" fillId="5" borderId="0" xfId="0" applyFont="true" applyBorder="false" applyAlignment="true" applyProtection="false">
      <alignment horizontal="right" vertical="top" textRotation="0" wrapText="false" indent="0" shrinkToFit="false" readingOrder="2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  <xf numFmtId="165" fontId="1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right" vertical="center" textRotation="0" wrapText="true" indent="0" shrinkToFit="false" readingOrder="2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true" indent="0" shrinkToFit="false" readingOrder="2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 readingOrder="2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F4B6B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7D6"/>
      <rgbColor rgb="FFE3EEFB"/>
      <rgbColor rgb="FF660066"/>
      <rgbColor rgb="FFFF8080"/>
      <rgbColor rgb="FF0066CC"/>
      <rgbColor rgb="FFC9CE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6F2"/>
      <rgbColor rgb="FFEEF1F4"/>
      <rgbColor rgb="FFFFFF99"/>
      <rgbColor rgb="FF99CCFF"/>
      <rgbColor rgb="FFFF99CC"/>
      <rgbColor rgb="FFCC99FF"/>
      <rgbColor rgb="FFF4B6B6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5555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5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100"/>
  </cols>
  <sheetData>
    <row r="1" customFormat="false" ht="16.5" hidden="false" customHeight="true" outlineLevel="0" collapsed="false">
      <c r="A1" s="2" t="s">
        <v>0</v>
      </c>
      <c r="B1" s="3"/>
    </row>
    <row r="2" customFormat="false" ht="15" hidden="false" customHeight="true" outlineLevel="0" collapsed="false">
      <c r="A2" s="4" t="s">
        <v>1</v>
      </c>
      <c r="B2" s="3" t="s">
        <v>2</v>
      </c>
    </row>
    <row r="3" customFormat="false" ht="15" hidden="false" customHeight="true" outlineLevel="0" collapsed="false">
      <c r="A3" s="5"/>
      <c r="B3" s="3"/>
    </row>
    <row r="4" customFormat="false" ht="15" hidden="false" customHeight="true" outlineLevel="0" collapsed="false">
      <c r="A4" s="6" t="s">
        <v>3</v>
      </c>
      <c r="B4" s="7" t="s">
        <v>4</v>
      </c>
    </row>
    <row r="5" customFormat="false" ht="15" hidden="false" customHeight="true" outlineLevel="0" collapsed="false">
      <c r="A5" s="4" t="s">
        <v>5</v>
      </c>
      <c r="B5" s="3" t="s">
        <v>6</v>
      </c>
    </row>
    <row r="6" customFormat="false" ht="15" hidden="false" customHeight="true" outlineLevel="0" collapsed="false">
      <c r="A6" s="4" t="s">
        <v>7</v>
      </c>
      <c r="B6" s="3" t="s">
        <v>8</v>
      </c>
    </row>
    <row r="7" customFormat="false" ht="15" hidden="false" customHeight="true" outlineLevel="0" collapsed="false">
      <c r="A7" s="4" t="s">
        <v>9</v>
      </c>
      <c r="B7" s="3" t="s">
        <v>10</v>
      </c>
    </row>
    <row r="8" customFormat="false" ht="15" hidden="false" customHeight="true" outlineLevel="0" collapsed="false">
      <c r="A8" s="4" t="s">
        <v>11</v>
      </c>
      <c r="B8" s="3" t="s">
        <v>12</v>
      </c>
    </row>
    <row r="9" customFormat="false" ht="15" hidden="false" customHeight="true" outlineLevel="0" collapsed="false">
      <c r="A9" s="4" t="s">
        <v>13</v>
      </c>
      <c r="B9" s="3" t="s">
        <v>14</v>
      </c>
    </row>
    <row r="10" customFormat="false" ht="15" hidden="false" customHeight="true" outlineLevel="0" collapsed="false">
      <c r="A10" s="4" t="s">
        <v>15</v>
      </c>
      <c r="B10" s="3" t="s">
        <v>16</v>
      </c>
    </row>
    <row r="11" customFormat="false" ht="23.25" hidden="false" customHeight="true" outlineLevel="0" collapsed="false">
      <c r="A11" s="4" t="s">
        <v>17</v>
      </c>
      <c r="B11" s="3" t="s">
        <v>18</v>
      </c>
    </row>
    <row r="12" customFormat="false" ht="15" hidden="false" customHeight="true" outlineLevel="0" collapsed="false">
      <c r="A12" s="5"/>
      <c r="B12" s="3"/>
    </row>
    <row r="13" customFormat="false" ht="15" hidden="false" customHeight="true" outlineLevel="0" collapsed="false">
      <c r="A13" s="6" t="s">
        <v>19</v>
      </c>
      <c r="B13" s="3"/>
    </row>
    <row r="14" customFormat="false" ht="23.25" hidden="false" customHeight="true" outlineLevel="0" collapsed="false">
      <c r="A14" s="4" t="s">
        <v>20</v>
      </c>
      <c r="B14" s="3" t="s">
        <v>21</v>
      </c>
    </row>
    <row r="15" customFormat="false" ht="23.25" hidden="false" customHeight="true" outlineLevel="0" collapsed="false">
      <c r="A15" s="4" t="s">
        <v>22</v>
      </c>
      <c r="B15" s="3" t="s">
        <v>23</v>
      </c>
    </row>
    <row r="16" customFormat="false" ht="23.25" hidden="false" customHeight="true" outlineLevel="0" collapsed="false">
      <c r="A16" s="4" t="s">
        <v>24</v>
      </c>
      <c r="B16" s="3" t="s">
        <v>25</v>
      </c>
    </row>
    <row r="17" customFormat="false" ht="23.25" hidden="false" customHeight="true" outlineLevel="0" collapsed="false">
      <c r="A17" s="4" t="s">
        <v>26</v>
      </c>
      <c r="B17" s="3" t="s">
        <v>27</v>
      </c>
    </row>
    <row r="18" customFormat="false" ht="15" hidden="false" customHeight="true" outlineLevel="0" collapsed="false">
      <c r="A18" s="4" t="s">
        <v>28</v>
      </c>
      <c r="B18" s="3" t="s">
        <v>29</v>
      </c>
    </row>
    <row r="19" customFormat="false" ht="15" hidden="false" customHeight="true" outlineLevel="0" collapsed="false">
      <c r="A19" s="5"/>
      <c r="B19" s="3"/>
    </row>
    <row r="20" customFormat="false" ht="15" hidden="false" customHeight="true" outlineLevel="0" collapsed="false">
      <c r="A20" s="6" t="s">
        <v>30</v>
      </c>
      <c r="B20" s="3"/>
    </row>
    <row r="21" customFormat="false" ht="15" hidden="false" customHeight="true" outlineLevel="0" collapsed="false">
      <c r="A21" s="8" t="s">
        <v>31</v>
      </c>
      <c r="B21" s="3" t="s">
        <v>32</v>
      </c>
    </row>
    <row r="22" customFormat="false" ht="15" hidden="false" customHeight="true" outlineLevel="0" collapsed="false">
      <c r="A22" s="9" t="s">
        <v>33</v>
      </c>
      <c r="B22" s="3" t="s">
        <v>34</v>
      </c>
    </row>
    <row r="23" customFormat="false" ht="15" hidden="false" customHeight="true" outlineLevel="0" collapsed="false">
      <c r="A23" s="10" t="s">
        <v>35</v>
      </c>
      <c r="B23" s="3" t="s">
        <v>36</v>
      </c>
    </row>
    <row r="24" customFormat="false" ht="15" hidden="false" customHeight="true" outlineLevel="0" collapsed="false">
      <c r="A24" s="11" t="s">
        <v>37</v>
      </c>
      <c r="B24" s="3" t="s">
        <v>38</v>
      </c>
    </row>
    <row r="25" customFormat="false" ht="15" hidden="false" customHeight="true" outlineLevel="0" collapsed="false">
      <c r="A25" s="5"/>
      <c r="B25" s="3"/>
    </row>
    <row r="26" customFormat="false" ht="15" hidden="false" customHeight="true" outlineLevel="0" collapsed="false">
      <c r="A26" s="6" t="s">
        <v>39</v>
      </c>
      <c r="B26" s="3"/>
    </row>
    <row r="27" customFormat="false" ht="15" hidden="false" customHeight="true" outlineLevel="0" collapsed="false">
      <c r="A27" s="4" t="s">
        <v>40</v>
      </c>
      <c r="B27" s="3" t="s">
        <v>41</v>
      </c>
    </row>
    <row r="28" customFormat="false" ht="15" hidden="false" customHeight="true" outlineLevel="0" collapsed="false">
      <c r="A28" s="4" t="s">
        <v>42</v>
      </c>
      <c r="B28" s="3" t="s">
        <v>43</v>
      </c>
    </row>
    <row r="29" customFormat="false" ht="15" hidden="false" customHeight="true" outlineLevel="0" collapsed="false">
      <c r="A29" s="4" t="s">
        <v>44</v>
      </c>
      <c r="B29" s="3" t="s">
        <v>45</v>
      </c>
    </row>
    <row r="30" customFormat="false" ht="15" hidden="false" customHeight="true" outlineLevel="0" collapsed="false">
      <c r="A30" s="4" t="s">
        <v>46</v>
      </c>
      <c r="B30" s="3" t="s">
        <v>47</v>
      </c>
    </row>
    <row r="31" customFormat="false" ht="15" hidden="false" customHeight="true" outlineLevel="0" collapsed="false">
      <c r="A31" s="4" t="s">
        <v>48</v>
      </c>
      <c r="B31" s="3" t="s">
        <v>49</v>
      </c>
    </row>
    <row r="32" customFormat="false" ht="15" hidden="false" customHeight="true" outlineLevel="0" collapsed="false">
      <c r="A32" s="4" t="s">
        <v>50</v>
      </c>
      <c r="B32" s="3" t="s">
        <v>51</v>
      </c>
    </row>
    <row r="33" customFormat="false" ht="15" hidden="false" customHeight="true" outlineLevel="0" collapsed="false">
      <c r="A33" s="4" t="s">
        <v>52</v>
      </c>
      <c r="B33" s="3" t="s">
        <v>53</v>
      </c>
    </row>
    <row r="34" customFormat="false" ht="15" hidden="false" customHeight="true" outlineLevel="0" collapsed="false">
      <c r="A34" s="4" t="s">
        <v>54</v>
      </c>
      <c r="B34" s="3" t="s">
        <v>55</v>
      </c>
    </row>
    <row r="35" customFormat="false" ht="15" hidden="false" customHeight="true" outlineLevel="0" collapsed="false">
      <c r="A35" s="4" t="s">
        <v>56</v>
      </c>
      <c r="B35" s="3" t="s">
        <v>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0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6"/>
    <col collapsed="false" customWidth="true" hidden="false" outlineLevel="0" max="3" min="2" style="1" width="16"/>
    <col collapsed="false" customWidth="true" hidden="false" outlineLevel="0" max="4" min="4" style="1" width="40"/>
  </cols>
  <sheetData>
    <row r="1" customFormat="false" ht="17.25" hidden="false" customHeight="true" outlineLevel="0" collapsed="false">
      <c r="A1" s="12" t="s">
        <v>41</v>
      </c>
    </row>
    <row r="2" customFormat="false" ht="15" hidden="false" customHeight="true" outlineLevel="0" collapsed="false">
      <c r="A2" s="13" t="s">
        <v>58</v>
      </c>
    </row>
    <row r="4" customFormat="false" ht="15" hidden="false" customHeight="true" outlineLevel="0" collapsed="false">
      <c r="A4" s="14" t="s">
        <v>59</v>
      </c>
      <c r="B4" s="15" t="s">
        <v>60</v>
      </c>
      <c r="C4" s="15" t="s">
        <v>61</v>
      </c>
      <c r="D4" s="15" t="s">
        <v>62</v>
      </c>
    </row>
    <row r="5" customFormat="false" ht="15" hidden="false" customHeight="true" outlineLevel="0" collapsed="false">
      <c r="A5" s="16" t="s">
        <v>63</v>
      </c>
      <c r="B5" s="17" t="n">
        <f aca="false">COUNTIF(Patients!$A$6:$A$25,"?*")</f>
        <v>20</v>
      </c>
      <c r="C5" s="17" t="n">
        <f aca="false">COUNTIF(Historical!$A$6:$A$65,"?*")</f>
        <v>0</v>
      </c>
      <c r="D5" s="18"/>
    </row>
    <row r="6" customFormat="false" ht="15" hidden="false" customHeight="true" outlineLevel="0" collapsed="false">
      <c r="A6" s="16" t="s">
        <v>64</v>
      </c>
      <c r="B6" s="17" t="n">
        <f aca="false">COUNT(Patients!$AY$6:$AY$25)</f>
        <v>20</v>
      </c>
      <c r="C6" s="17" t="n">
        <f aca="false">COUNT(Historical!$AY$6:$AY$65)</f>
        <v>0</v>
      </c>
      <c r="D6" s="18"/>
    </row>
    <row r="7" customFormat="false" ht="15" hidden="false" customHeight="true" outlineLevel="0" collapsed="false">
      <c r="A7" s="14" t="s">
        <v>65</v>
      </c>
      <c r="B7" s="15" t="s">
        <v>60</v>
      </c>
      <c r="C7" s="15" t="s">
        <v>61</v>
      </c>
      <c r="D7" s="15" t="s">
        <v>62</v>
      </c>
    </row>
    <row r="8" customFormat="false" ht="15" hidden="false" customHeight="true" outlineLevel="0" collapsed="false">
      <c r="A8" s="16" t="s">
        <v>66</v>
      </c>
      <c r="B8" s="17" t="n">
        <f aca="false">IF(COUNT(Patients!$AY$6:$AY$25)=0,"",MEDIAN(Patients!$AY$6:$AY$25))</f>
        <v>39.5</v>
      </c>
      <c r="C8" s="17" t="str">
        <f aca="false">IF(COUNT(Historical!$AY$6:$AY$65)=0,"",MEDIAN(Historical!$AY$6:$AY$65))</f>
        <v/>
      </c>
      <c r="D8" s="18"/>
    </row>
    <row r="9" customFormat="false" ht="15" hidden="false" customHeight="true" outlineLevel="0" collapsed="false">
      <c r="A9" s="16" t="s">
        <v>67</v>
      </c>
      <c r="B9" s="17" t="n">
        <f aca="false">IF(COUNT(Patients!$AY$6:$AY$25)=0,"",QUARTILE(Patients!$AY$6:$AY$25,1))</f>
        <v>28.5</v>
      </c>
      <c r="C9" s="17" t="str">
        <f aca="false">IF(COUNT(Historical!$AY$6:$AY$65)=0,"",QUARTILE(Historical!$AY$6:$AY$65,1))</f>
        <v/>
      </c>
      <c r="D9" s="18"/>
    </row>
    <row r="10" customFormat="false" ht="15" hidden="false" customHeight="true" outlineLevel="0" collapsed="false">
      <c r="A10" s="16" t="s">
        <v>68</v>
      </c>
      <c r="B10" s="17" t="n">
        <f aca="false">IF(COUNT(Patients!$AY$6:$AY$25)=0,"",QUARTILE(Patients!$AY$6:$AY$25,3))</f>
        <v>52.75</v>
      </c>
      <c r="C10" s="17" t="str">
        <f aca="false">IF(COUNT(Historical!$AY$6:$AY$65)=0,"",QUARTILE(Historical!$AY$6:$AY$65,3))</f>
        <v/>
      </c>
      <c r="D10" s="18"/>
    </row>
    <row r="11" customFormat="false" ht="15" hidden="false" customHeight="true" outlineLevel="0" collapsed="false">
      <c r="A11" s="16" t="s">
        <v>69</v>
      </c>
      <c r="B11" s="17" t="n">
        <f aca="false">IF(COUNT(Patients!$AY$6:$AY$25)=0,"",MIN(Patients!$AY$6:$AY$25))</f>
        <v>18</v>
      </c>
      <c r="C11" s="17" t="str">
        <f aca="false">IF(COUNT(Historical!$AY$6:$AY$65)=0,"",MIN(Historical!$AY$6:$AY$65))</f>
        <v/>
      </c>
      <c r="D11" s="18"/>
    </row>
    <row r="12" customFormat="false" ht="15" hidden="false" customHeight="true" outlineLevel="0" collapsed="false">
      <c r="A12" s="16" t="s">
        <v>70</v>
      </c>
      <c r="B12" s="17" t="n">
        <f aca="false">IF(COUNT(Patients!$AY$6:$AY$25)=0,"",MAX(Patients!$AY$6:$AY$25))</f>
        <v>72</v>
      </c>
      <c r="C12" s="17" t="str">
        <f aca="false">IF(COUNT(Historical!$AY$6:$AY$65)=0,"",MAX(Historical!$AY$6:$AY$65))</f>
        <v/>
      </c>
      <c r="D12" s="18"/>
    </row>
    <row r="13" customFormat="false" ht="15" hidden="false" customHeight="true" outlineLevel="0" collapsed="false">
      <c r="A13" s="16" t="s">
        <v>71</v>
      </c>
      <c r="B13" s="19" t="n">
        <f aca="false">IFERROR(AVERAGE(Patients!$AZ$6:$AZ$25),"")</f>
        <v>0.3</v>
      </c>
      <c r="C13" s="19" t="str">
        <f aca="false">IFERROR(AVERAGE(Historical!$AZ$6:$AZ$65),"")</f>
        <v/>
      </c>
      <c r="D13" s="20" t="s">
        <v>72</v>
      </c>
    </row>
    <row r="14" customFormat="false" ht="15" hidden="false" customHeight="true" outlineLevel="0" collapsed="false">
      <c r="A14" s="16" t="s">
        <v>73</v>
      </c>
      <c r="B14" s="19" t="n">
        <f aca="false">IFERROR(AVERAGE(Patients!$BA$6:$BA$25),"")</f>
        <v>0.15</v>
      </c>
      <c r="C14" s="19" t="str">
        <f aca="false">IFERROR(AVERAGE(Historical!$BA$6:$BA$65),"")</f>
        <v/>
      </c>
      <c r="D14" s="20" t="s">
        <v>74</v>
      </c>
    </row>
    <row r="15" customFormat="false" ht="15" hidden="false" customHeight="true" outlineLevel="0" collapsed="false">
      <c r="A15" s="16" t="s">
        <v>75</v>
      </c>
      <c r="B15" s="19" t="n">
        <f aca="false">IFERROR(AVERAGE(Patients!$BB$6:$BB$25),"")</f>
        <v>0.05</v>
      </c>
      <c r="C15" s="19" t="str">
        <f aca="false">IFERROR(AVERAGE(Historical!$BB$6:$BB$65),"")</f>
        <v/>
      </c>
      <c r="D15" s="20" t="s">
        <v>76</v>
      </c>
    </row>
    <row r="16" customFormat="false" ht="15" hidden="false" customHeight="true" outlineLevel="0" collapsed="false">
      <c r="A16" s="14" t="s">
        <v>77</v>
      </c>
      <c r="B16" s="15" t="s">
        <v>60</v>
      </c>
      <c r="C16" s="15" t="s">
        <v>61</v>
      </c>
      <c r="D16" s="15" t="s">
        <v>62</v>
      </c>
    </row>
    <row r="17" customFormat="false" ht="15" hidden="false" customHeight="true" outlineLevel="0" collapsed="false">
      <c r="A17" s="16" t="s">
        <v>78</v>
      </c>
      <c r="B17" s="17" t="str">
        <f aca="false">IFERROR(MEDIAN(Patients!$AV$6:$AV$25),"")</f>
        <v/>
      </c>
      <c r="C17" s="17" t="str">
        <f aca="false">IFERROR(MEDIAN(Historical!$AV$6:$AV$65),"")</f>
        <v/>
      </c>
      <c r="D17" s="18"/>
    </row>
    <row r="18" customFormat="false" ht="15" hidden="false" customHeight="true" outlineLevel="0" collapsed="false">
      <c r="A18" s="16" t="s">
        <v>79</v>
      </c>
      <c r="B18" s="17" t="n">
        <f aca="false">IFERROR(MEDIAN(Patients!$AW$6:$AW$25),"")</f>
        <v>13</v>
      </c>
      <c r="C18" s="17" t="str">
        <f aca="false">IFERROR(MEDIAN(Historical!$AW$6:$AW$65),"")</f>
        <v/>
      </c>
      <c r="D18" s="18"/>
    </row>
    <row r="19" customFormat="false" ht="15" hidden="false" customHeight="true" outlineLevel="0" collapsed="false">
      <c r="A19" s="16" t="s">
        <v>80</v>
      </c>
      <c r="B19" s="17" t="n">
        <f aca="false">IFERROR(MEDIAN(Patients!$AX$6:$AX$25),"")</f>
        <v>24.5</v>
      </c>
      <c r="C19" s="17" t="str">
        <f aca="false">IFERROR(MEDIAN(Historical!$AX$6:$AX$65),"")</f>
        <v/>
      </c>
      <c r="D19" s="18"/>
    </row>
    <row r="20" customFormat="false" ht="15" hidden="false" customHeight="true" outlineLevel="0" collapsed="false">
      <c r="A20" s="16" t="s">
        <v>81</v>
      </c>
      <c r="B20" s="17" t="n">
        <f aca="false">IFERROR(MEDIAN(Patients!$BF$6:$BF$25),"")</f>
        <v>16</v>
      </c>
      <c r="C20" s="17" t="str">
        <f aca="false">IFERROR(MEDIAN(Historical!$BF$6:$BF$65),"")</f>
        <v/>
      </c>
      <c r="D20" s="18"/>
    </row>
    <row r="21" customFormat="false" ht="15" hidden="false" customHeight="true" outlineLevel="0" collapsed="false">
      <c r="A21" s="16" t="s">
        <v>82</v>
      </c>
      <c r="B21" s="17" t="n">
        <f aca="false">IFERROR(MEDIAN(Patients!$BG$6:$BG$25),"")</f>
        <v>43</v>
      </c>
      <c r="C21" s="17" t="str">
        <f aca="false">IFERROR(MEDIAN(Historical!$BG$6:$BG$65),"")</f>
        <v/>
      </c>
      <c r="D21" s="18"/>
    </row>
    <row r="22" customFormat="false" ht="15" hidden="false" customHeight="true" outlineLevel="0" collapsed="false">
      <c r="A22" s="16" t="s">
        <v>83</v>
      </c>
      <c r="B22" s="19" t="n">
        <f aca="false">IFERROR(AVERAGE(Patients!$BC$6:$BC$25),"")</f>
        <v>1</v>
      </c>
      <c r="C22" s="19" t="str">
        <f aca="false">IFERROR(AVERAGE(Historical!$BC$6:$BC$65),"")</f>
        <v/>
      </c>
      <c r="D22" s="20" t="s">
        <v>84</v>
      </c>
    </row>
    <row r="23" customFormat="false" ht="15" hidden="false" customHeight="true" outlineLevel="0" collapsed="false">
      <c r="A23" s="16" t="s">
        <v>85</v>
      </c>
      <c r="B23" s="19" t="n">
        <f aca="false">IFERROR(AVERAGE(Patients!$BH$6:$BH$25),"")</f>
        <v>0.5</v>
      </c>
      <c r="C23" s="19" t="str">
        <f aca="false">IFERROR(AVERAGE(Historical!$BH$6:$BH$65),"")</f>
        <v/>
      </c>
      <c r="D23" s="20" t="s">
        <v>86</v>
      </c>
    </row>
    <row r="24" customFormat="false" ht="15" hidden="false" customHeight="true" outlineLevel="0" collapsed="false">
      <c r="A24" s="14" t="s">
        <v>87</v>
      </c>
      <c r="B24" s="15" t="s">
        <v>60</v>
      </c>
      <c r="C24" s="15" t="s">
        <v>61</v>
      </c>
      <c r="D24" s="15" t="s">
        <v>62</v>
      </c>
    </row>
    <row r="25" customFormat="false" ht="15" hidden="false" customHeight="true" outlineLevel="0" collapsed="false">
      <c r="A25" s="16" t="s">
        <v>88</v>
      </c>
      <c r="B25" s="17" t="n">
        <f aca="false">IFERROR(MEDIAN(Patients!$BD$6:$BD$25),"")</f>
        <v>16.5</v>
      </c>
      <c r="C25" s="17" t="str">
        <f aca="false">IFERROR(MEDIAN(Historical!$BD$6:$BD$65),"")</f>
        <v/>
      </c>
      <c r="D25" s="18"/>
    </row>
    <row r="26" customFormat="false" ht="15" hidden="false" customHeight="true" outlineLevel="0" collapsed="false">
      <c r="A26" s="16" t="s">
        <v>89</v>
      </c>
      <c r="B26" s="17" t="n">
        <f aca="false">IFERROR(MEDIAN(Patients!$BE$6:$BE$25),"")</f>
        <v>37</v>
      </c>
      <c r="C26" s="17" t="str">
        <f aca="false">IFERROR(MEDIAN(Historical!$BE$6:$BE$65),"")</f>
        <v/>
      </c>
      <c r="D26" s="18"/>
    </row>
    <row r="27" customFormat="false" ht="15" hidden="false" customHeight="true" outlineLevel="0" collapsed="false">
      <c r="A27" s="14" t="s">
        <v>90</v>
      </c>
      <c r="B27" s="15" t="s">
        <v>60</v>
      </c>
      <c r="C27" s="15"/>
      <c r="D27" s="15" t="s">
        <v>62</v>
      </c>
    </row>
    <row r="28" customFormat="false" ht="15" hidden="false" customHeight="true" outlineLevel="0" collapsed="false">
      <c r="A28" s="16" t="s">
        <v>91</v>
      </c>
      <c r="B28" s="17" t="n">
        <f aca="false">COUNT(MDT!$D$5:$D$104)</f>
        <v>26</v>
      </c>
      <c r="C28" s="18"/>
      <c r="D28" s="18"/>
    </row>
    <row r="29" customFormat="false" ht="15" hidden="false" customHeight="true" outlineLevel="0" collapsed="false">
      <c r="A29" s="16" t="s">
        <v>92</v>
      </c>
      <c r="B29" s="19" t="n">
        <f aca="false">IFERROR(COUNTIF(MDT!$E$5:$E$104,"נדחה — מידע חסר")/COUNT(MDT!$D$5:$D$104),"")</f>
        <v>0.115384615384615</v>
      </c>
      <c r="C29" s="18"/>
      <c r="D29" s="20" t="s">
        <v>93</v>
      </c>
    </row>
    <row r="30" customFormat="false" ht="15" hidden="false" customHeight="true" outlineLevel="0" collapsed="false">
      <c r="A30" s="16" t="s">
        <v>94</v>
      </c>
      <c r="B30" s="19" t="str">
        <f aca="false">IFERROR(COUNTIF(MDT!$G$5:$G$104,"כן")/COUNTIF(MDT!$G$5:$G$104,"?*"),"")</f>
        <v/>
      </c>
      <c r="C30" s="18"/>
      <c r="D30" s="20" t="s">
        <v>95</v>
      </c>
    </row>
    <row r="31" customFormat="false" ht="15" hidden="false" customHeight="true" outlineLevel="0" collapsed="false">
      <c r="A31" s="16" t="s">
        <v>96</v>
      </c>
      <c r="B31" s="19" t="str">
        <f aca="false">IFERROR(AVERAGE(MDT!$L$5:$L$104),"")</f>
        <v/>
      </c>
      <c r="C31" s="18"/>
      <c r="D31" s="18"/>
    </row>
    <row r="32" customFormat="false" ht="15" hidden="false" customHeight="true" outlineLevel="0" collapsed="false">
      <c r="A32" s="16" t="s">
        <v>97</v>
      </c>
      <c r="B32" s="21" t="n">
        <f aca="false">IFERROR(MEDIAN(Patients!$AR$6:$AR$25),"")</f>
        <v>1</v>
      </c>
      <c r="C32" s="21" t="str">
        <f aca="false">IFERROR(MEDIAN(Historical!$AR$6:$AR$65),"")</f>
        <v/>
      </c>
      <c r="D32" s="18"/>
    </row>
    <row r="33" customFormat="false" ht="15" hidden="false" customHeight="true" outlineLevel="0" collapsed="false">
      <c r="A33" s="14" t="s">
        <v>98</v>
      </c>
      <c r="B33" s="15" t="s">
        <v>99</v>
      </c>
      <c r="C33" s="15"/>
      <c r="D33" s="15"/>
    </row>
    <row r="34" customFormat="false" ht="15" hidden="false" customHeight="true" outlineLevel="0" collapsed="false">
      <c r="A34" s="16" t="s">
        <v>100</v>
      </c>
      <c r="B34" s="17" t="n">
        <f aca="false">COUNTIF(MDT!$F$5:$F$104,"פתולוגיה חסרה / חלקית")</f>
        <v>0</v>
      </c>
      <c r="C34" s="18"/>
      <c r="D34" s="18"/>
    </row>
    <row r="35" customFormat="false" ht="15" hidden="false" customHeight="true" outlineLevel="0" collapsed="false">
      <c r="A35" s="16" t="s">
        <v>101</v>
      </c>
      <c r="B35" s="17" t="n">
        <f aca="false">COUNTIF(MDT!$F$5:$F$104,"צביעות / p16 / EBV ממתינות")</f>
        <v>0</v>
      </c>
      <c r="C35" s="18"/>
      <c r="D35" s="18"/>
    </row>
    <row r="36" customFormat="false" ht="15" hidden="false" customHeight="true" outlineLevel="0" collapsed="false">
      <c r="A36" s="16" t="s">
        <v>102</v>
      </c>
      <c r="B36" s="17" t="n">
        <f aca="false">COUNTIF(MDT!$F$5:$F$104,"הדמיה חסרה")</f>
        <v>0</v>
      </c>
      <c r="C36" s="18"/>
      <c r="D36" s="18"/>
    </row>
    <row r="37" customFormat="false" ht="15" hidden="false" customHeight="true" outlineLevel="0" collapsed="false">
      <c r="A37" s="16" t="s">
        <v>103</v>
      </c>
      <c r="B37" s="17" t="n">
        <f aca="false">COUNTIF(MDT!$F$5:$F$104,"PET-CT ממתין")</f>
        <v>0</v>
      </c>
      <c r="C37" s="18"/>
      <c r="D37" s="18"/>
    </row>
    <row r="38" customFormat="false" ht="15" hidden="false" customHeight="true" outlineLevel="0" collapsed="false">
      <c r="A38" s="16" t="s">
        <v>104</v>
      </c>
      <c r="B38" s="17" t="n">
        <f aca="false">COUNTIF(MDT!$F$5:$F$104,"הערכה דנטלית")</f>
        <v>0</v>
      </c>
      <c r="C38" s="18"/>
      <c r="D38" s="18"/>
    </row>
    <row r="39" customFormat="false" ht="15" hidden="false" customHeight="true" outlineLevel="0" collapsed="false">
      <c r="A39" s="16" t="s">
        <v>105</v>
      </c>
      <c r="B39" s="17" t="n">
        <f aca="false">COUNTIF(MDT!$F$5:$F$104,"הערכה קרדיולוגית / הרדמה")</f>
        <v>0</v>
      </c>
      <c r="C39" s="18"/>
      <c r="D39" s="18"/>
    </row>
    <row r="40" customFormat="false" ht="15" hidden="false" customHeight="true" outlineLevel="0" collapsed="false">
      <c r="A40" s="16" t="s">
        <v>106</v>
      </c>
      <c r="B40" s="17" t="n">
        <f aca="false">COUNTIF(MDT!$F$5:$F$104,"המטופל לא הגיע / לא אותר")</f>
        <v>0</v>
      </c>
      <c r="C40" s="18"/>
      <c r="D40" s="18"/>
    </row>
    <row r="41" customFormat="false" ht="15" hidden="false" customHeight="true" outlineLevel="0" collapsed="false">
      <c r="A41" s="16" t="s">
        <v>107</v>
      </c>
      <c r="B41" s="17" t="n">
        <f aca="false">COUNTIF(MDT!$F$5:$F$104,"חוות דעת נוספת")</f>
        <v>0</v>
      </c>
      <c r="C41" s="18"/>
      <c r="D41" s="18"/>
    </row>
    <row r="42" customFormat="false" ht="15" hidden="false" customHeight="true" outlineLevel="0" collapsed="false">
      <c r="A42" s="16" t="s">
        <v>108</v>
      </c>
      <c r="B42" s="17" t="n">
        <f aca="false">COUNTIF(MDT!$F$5:$F$104,"אחר")</f>
        <v>0</v>
      </c>
      <c r="C42" s="18"/>
      <c r="D42" s="18"/>
    </row>
    <row r="43" customFormat="false" ht="15" hidden="false" customHeight="true" outlineLevel="0" collapsed="false">
      <c r="A43" s="14" t="s">
        <v>109</v>
      </c>
      <c r="B43" s="15" t="s">
        <v>60</v>
      </c>
      <c r="C43" s="15"/>
      <c r="D43" s="15"/>
    </row>
    <row r="44" customFormat="false" ht="15" hidden="false" customHeight="true" outlineLevel="0" collapsed="false">
      <c r="A44" s="16" t="s">
        <v>110</v>
      </c>
      <c r="B44" s="17" t="n">
        <f aca="false">COUNT(Loops!$F$5:$F$304)</f>
        <v>0</v>
      </c>
      <c r="C44" s="18"/>
      <c r="D44" s="18"/>
    </row>
    <row r="45" customFormat="false" ht="15" hidden="false" customHeight="true" outlineLevel="0" collapsed="false">
      <c r="A45" s="16" t="s">
        <v>111</v>
      </c>
      <c r="B45" s="19" t="str">
        <f aca="false">IFERROR(COUNT(Loops!$I$5:$I$304)/COUNT(Loops!$F$5:$F$304),"")</f>
        <v/>
      </c>
      <c r="C45" s="18"/>
      <c r="D45" s="18"/>
    </row>
    <row r="46" customFormat="false" ht="15" hidden="false" customHeight="true" outlineLevel="0" collapsed="false">
      <c r="A46" s="16" t="s">
        <v>112</v>
      </c>
      <c r="B46" s="19" t="str">
        <f aca="false">IFERROR(COUNTIF(Loops!$J$5:$J$304,"כן")/COUNT(Loops!$I$5:$I$304),"")</f>
        <v/>
      </c>
      <c r="C46" s="18"/>
      <c r="D46" s="20" t="s">
        <v>113</v>
      </c>
    </row>
    <row r="47" customFormat="false" ht="15" hidden="false" customHeight="true" outlineLevel="0" collapsed="false">
      <c r="A47" s="16" t="s">
        <v>114</v>
      </c>
      <c r="B47" s="21" t="n">
        <f aca="false">IFERROR(COUNT(Loops!$F$5:$F$304)/B5,"")</f>
        <v>0</v>
      </c>
      <c r="C47" s="18"/>
      <c r="D47" s="18"/>
    </row>
    <row r="48" customFormat="false" ht="15" hidden="false" customHeight="true" outlineLevel="0" collapsed="false">
      <c r="A48" s="16" t="s">
        <v>115</v>
      </c>
      <c r="B48" s="21" t="str">
        <f aca="false">IFERROR(MEDIAN(Loops!$L$5:$L$304),"")</f>
        <v/>
      </c>
      <c r="C48" s="18"/>
      <c r="D48" s="18"/>
    </row>
    <row r="49" customFormat="false" ht="15" hidden="false" customHeight="true" outlineLevel="0" collapsed="false">
      <c r="A49" s="16" t="s">
        <v>116</v>
      </c>
      <c r="B49" s="21" t="str">
        <f aca="false">IFERROR(MEDIAN(Loops!$M$5:$M$304),"")</f>
        <v/>
      </c>
      <c r="C49" s="18"/>
      <c r="D49" s="18"/>
    </row>
    <row r="50" customFormat="false" ht="15" hidden="false" customHeight="true" outlineLevel="0" collapsed="false">
      <c r="A50" s="14" t="s">
        <v>117</v>
      </c>
      <c r="B50" s="15" t="s">
        <v>66</v>
      </c>
      <c r="C50" s="15" t="s">
        <v>118</v>
      </c>
      <c r="D50" s="15"/>
    </row>
    <row r="51" customFormat="false" ht="15" hidden="false" customHeight="true" outlineLevel="0" collapsed="false">
      <c r="A51" s="16" t="s">
        <v>119</v>
      </c>
      <c r="B51" s="21" t="str">
        <f aca="false" t="array" ref="B51:B51">IFERROR(MEDIAN(IF(Loops!$D$5:$D$304="פתולוגיה",IF(ISNUMBER(Loops!$M$5:$M$304),Loops!$M$5:$M$304))),"")</f>
        <v/>
      </c>
      <c r="C51" s="17" t="n">
        <f aca="false">COUNTIF(Loops!$D$5:$D$304,"פתולוגיה")</f>
        <v>0</v>
      </c>
      <c r="D51" s="18"/>
    </row>
    <row r="52" customFormat="false" ht="15" hidden="false" customHeight="true" outlineLevel="0" collapsed="false">
      <c r="A52" s="16" t="s">
        <v>120</v>
      </c>
      <c r="B52" s="21" t="str">
        <f aca="false" t="array" ref="B52:B52">IFERROR(MEDIAN(IF(Loops!$D$5:$D$304="רדיולוגיה",IF(ISNUMBER(Loops!$M$5:$M$304),Loops!$M$5:$M$304))),"")</f>
        <v/>
      </c>
      <c r="C52" s="17" t="n">
        <f aca="false">COUNTIF(Loops!$D$5:$D$304,"רדיולוגיה")</f>
        <v>0</v>
      </c>
      <c r="D52" s="18"/>
    </row>
    <row r="53" customFormat="false" ht="15" hidden="false" customHeight="true" outlineLevel="0" collapsed="false">
      <c r="A53" s="16" t="s">
        <v>121</v>
      </c>
      <c r="B53" s="21" t="str">
        <f aca="false" t="array" ref="B53:B53">IFERROR(MEDIAN(IF(Loops!$D$5:$D$304="רפואה גרעינית",IF(ISNUMBER(Loops!$M$5:$M$304),Loops!$M$5:$M$304))),"")</f>
        <v/>
      </c>
      <c r="C53" s="17" t="n">
        <f aca="false">COUNTIF(Loops!$D$5:$D$304,"רפואה גרעינית")</f>
        <v>0</v>
      </c>
      <c r="D53" s="18"/>
    </row>
    <row r="54" customFormat="false" ht="15" hidden="false" customHeight="true" outlineLevel="0" collapsed="false">
      <c r="A54" s="16" t="s">
        <v>122</v>
      </c>
      <c r="B54" s="21" t="str">
        <f aca="false" t="array" ref="B54:B54">IFERROR(MEDIAN(IF(Loops!$D$5:$D$304="אונקולוגיה קרינתית",IF(ISNUMBER(Loops!$M$5:$M$304),Loops!$M$5:$M$304))),"")</f>
        <v/>
      </c>
      <c r="C54" s="17" t="n">
        <f aca="false">COUNTIF(Loops!$D$5:$D$304,"אונקולוגיה קרינתית")</f>
        <v>0</v>
      </c>
      <c r="D54" s="18"/>
    </row>
    <row r="55" customFormat="false" ht="15" hidden="false" customHeight="true" outlineLevel="0" collapsed="false">
      <c r="A55" s="16" t="s">
        <v>123</v>
      </c>
      <c r="B55" s="21" t="str">
        <f aca="false" t="array" ref="B55:B55">IFERROR(MEDIAN(IF(Loops!$D$5:$D$304="אונקולוגיה",IF(ISNUMBER(Loops!$M$5:$M$304),Loops!$M$5:$M$304))),"")</f>
        <v/>
      </c>
      <c r="C55" s="17" t="n">
        <f aca="false">COUNTIF(Loops!$D$5:$D$304,"אונקולוגיה")</f>
        <v>0</v>
      </c>
      <c r="D55" s="18"/>
    </row>
    <row r="56" customFormat="false" ht="15" hidden="false" customHeight="true" outlineLevel="0" collapsed="false">
      <c r="A56" s="16" t="s">
        <v>124</v>
      </c>
      <c r="B56" s="21" t="str">
        <f aca="false" t="array" ref="B56:B56">IFERROR(MEDIAN(IF(Loops!$D$5:$D$304="כירורגיית ראש-צוואר",IF(ISNUMBER(Loops!$M$5:$M$304),Loops!$M$5:$M$304))),"")</f>
        <v/>
      </c>
      <c r="C56" s="17" t="n">
        <f aca="false">COUNTIF(Loops!$D$5:$D$304,"כירורגיית ראש-צוואר")</f>
        <v>0</v>
      </c>
      <c r="D56" s="18"/>
    </row>
    <row r="57" customFormat="false" ht="15" hidden="false" customHeight="true" outlineLevel="0" collapsed="false">
      <c r="A57" s="16" t="s">
        <v>125</v>
      </c>
      <c r="B57" s="21" t="str">
        <f aca="false" t="array" ref="B57:B57">IFERROR(MEDIAN(IF(Loops!$D$5:$D$304="רפואת שיניים",IF(ISNUMBER(Loops!$M$5:$M$304),Loops!$M$5:$M$304))),"")</f>
        <v/>
      </c>
      <c r="C57" s="17" t="n">
        <f aca="false">COUNTIF(Loops!$D$5:$D$304,"רפואת שיניים")</f>
        <v>0</v>
      </c>
      <c r="D57" s="18"/>
    </row>
    <row r="58" customFormat="false" ht="15" hidden="false" customHeight="true" outlineLevel="0" collapsed="false">
      <c r="A58" s="16" t="s">
        <v>126</v>
      </c>
      <c r="B58" s="21" t="str">
        <f aca="false" t="array" ref="B58:B58">IFERROR(MEDIAN(IF(Loops!$D$5:$D$304="הרדמה / קרדיולוגיה",IF(ISNUMBER(Loops!$M$5:$M$304),Loops!$M$5:$M$304))),"")</f>
        <v/>
      </c>
      <c r="C58" s="17" t="n">
        <f aca="false">COUNTIF(Loops!$D$5:$D$304,"הרדמה / קרדיולוגיה")</f>
        <v>0</v>
      </c>
      <c r="D58" s="18"/>
    </row>
    <row r="59" customFormat="false" ht="15" hidden="false" customHeight="true" outlineLevel="0" collapsed="false">
      <c r="A59" s="16" t="s">
        <v>127</v>
      </c>
      <c r="B59" s="21" t="str">
        <f aca="false" t="array" ref="B59:B59">IFERROR(MEDIAN(IF(Loops!$D$5:$D$304="תזונה / דיבור ובליעה",IF(ISNUMBER(Loops!$M$5:$M$304),Loops!$M$5:$M$304))),"")</f>
        <v/>
      </c>
      <c r="C59" s="17" t="n">
        <f aca="false">COUNTIF(Loops!$D$5:$D$304,"תזונה / דיבור ובליעה")</f>
        <v>0</v>
      </c>
      <c r="D59" s="18"/>
    </row>
    <row r="60" customFormat="false" ht="15" hidden="false" customHeight="true" outlineLevel="0" collapsed="false">
      <c r="A60" s="16" t="s">
        <v>128</v>
      </c>
      <c r="B60" s="21" t="str">
        <f aca="false" t="array" ref="B60:B60">IFERROR(MEDIAN(IF(Loops!$D$5:$D$304="מתאמת / אחות",IF(ISNUMBER(Loops!$M$5:$M$304),Loops!$M$5:$M$304))),"")</f>
        <v/>
      </c>
      <c r="C60" s="17" t="n">
        <f aca="false">COUNTIF(Loops!$D$5:$D$304,"מתאמת / אחות")</f>
        <v>0</v>
      </c>
      <c r="D60" s="18"/>
    </row>
    <row r="61" customFormat="false" ht="15" hidden="false" customHeight="true" outlineLevel="0" collapsed="false">
      <c r="A61" s="16" t="s">
        <v>129</v>
      </c>
      <c r="B61" s="21" t="str">
        <f aca="false" t="array" ref="B61:B61">IFERROR(MEDIAN(IF(Loops!$D$5:$D$304="עבודה סוציאלית",IF(ISNUMBER(Loops!$M$5:$M$304),Loops!$M$5:$M$304))),"")</f>
        <v/>
      </c>
      <c r="C61" s="17" t="n">
        <f aca="false">COUNTIF(Loops!$D$5:$D$304,"עבודה סוציאלית")</f>
        <v>0</v>
      </c>
      <c r="D61" s="18"/>
    </row>
    <row r="62" customFormat="false" ht="15" hidden="false" customHeight="true" outlineLevel="0" collapsed="false">
      <c r="A62" s="16" t="s">
        <v>108</v>
      </c>
      <c r="B62" s="21" t="str">
        <f aca="false" t="array" ref="B62:B62">IFERROR(MEDIAN(IF(Loops!$D$5:$D$304="אחר",IF(ISNUMBER(Loops!$M$5:$M$304),Loops!$M$5:$M$304))),"")</f>
        <v/>
      </c>
      <c r="C62" s="17" t="n">
        <f aca="false">COUNTIF(Loops!$D$5:$D$304,"אחר")</f>
        <v>0</v>
      </c>
      <c r="D62" s="18"/>
    </row>
    <row r="63" customFormat="false" ht="15" hidden="false" customHeight="true" outlineLevel="0" collapsed="false">
      <c r="A63" s="14" t="s">
        <v>130</v>
      </c>
      <c r="B63" s="15" t="s">
        <v>131</v>
      </c>
      <c r="C63" s="15" t="s">
        <v>132</v>
      </c>
      <c r="D63" s="15"/>
    </row>
    <row r="64" customFormat="false" ht="15" hidden="false" customHeight="true" outlineLevel="0" collapsed="false">
      <c r="A64" s="16" t="s">
        <v>133</v>
      </c>
      <c r="B64" s="17" t="n">
        <f aca="false">COUNTIF(Screening!$B$5:$B$84,"&gt;0")</f>
        <v>0</v>
      </c>
      <c r="C64" s="18"/>
      <c r="D64" s="18"/>
    </row>
    <row r="65" customFormat="false" ht="15" hidden="false" customHeight="true" outlineLevel="0" collapsed="false">
      <c r="A65" s="16" t="s">
        <v>134</v>
      </c>
      <c r="B65" s="17" t="n">
        <f aca="false">COUNTIF(Screening!$F$5:$F$84,"כן")</f>
        <v>0</v>
      </c>
      <c r="C65" s="18"/>
      <c r="D65" s="18"/>
    </row>
    <row r="66" customFormat="false" ht="15" hidden="false" customHeight="true" outlineLevel="0" collapsed="false">
      <c r="A66" s="16" t="s">
        <v>135</v>
      </c>
      <c r="B66" s="17" t="n">
        <f aca="false">COUNTIF(Screening!$I$5:$I$84,"כן")</f>
        <v>0</v>
      </c>
      <c r="C66" s="18"/>
      <c r="D66" s="18"/>
    </row>
    <row r="67" customFormat="false" ht="15" hidden="false" customHeight="true" outlineLevel="0" collapsed="false">
      <c r="A67" s="16" t="s">
        <v>136</v>
      </c>
      <c r="B67" s="19" t="str">
        <f aca="false">IFERROR(B66/B65,"")</f>
        <v/>
      </c>
      <c r="C67" s="18"/>
      <c r="D67" s="18"/>
    </row>
    <row r="68" customFormat="false" ht="15" hidden="false" customHeight="true" outlineLevel="0" collapsed="false">
      <c r="A68" s="16" t="s">
        <v>137</v>
      </c>
      <c r="B68" s="19" t="str">
        <f aca="false">IFERROR(COUNTIFS(Screening!$D$5:$D$84,"כן",Screening!$E$5:$E$84,"כן")/COUNTIF(Screening!$D$5:$D$84,"כן"),"")</f>
        <v/>
      </c>
      <c r="C68" s="22" t="n">
        <v>0.6</v>
      </c>
      <c r="D68" s="20" t="s">
        <v>138</v>
      </c>
    </row>
    <row r="69" customFormat="false" ht="15" hidden="false" customHeight="true" outlineLevel="0" collapsed="false">
      <c r="A69" s="16" t="s">
        <v>139</v>
      </c>
      <c r="B69" s="23" t="str">
        <f aca="false">IF(B68="","",IF(B68&lt;C68,"מתחת לסף — לדווח","מעל הסף"))</f>
        <v/>
      </c>
      <c r="C69" s="18"/>
      <c r="D69" s="18"/>
    </row>
    <row r="70" customFormat="false" ht="15" hidden="false" customHeight="true" outlineLevel="0" collapsed="false">
      <c r="A70" s="16" t="s">
        <v>140</v>
      </c>
      <c r="B70" s="19" t="str">
        <f aca="false">IFERROR(AVERAGE(Staff!$E$5:$E$76),"")</f>
        <v/>
      </c>
      <c r="C70" s="18"/>
      <c r="D70" s="1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I25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5"/>
    <col collapsed="false" customWidth="true" hidden="false" outlineLevel="0" max="2" min="2" style="1" width="8"/>
    <col collapsed="false" customWidth="true" hidden="false" outlineLevel="0" max="3" min="3" style="1" width="9"/>
    <col collapsed="false" customWidth="true" hidden="false" outlineLevel="0" max="4" min="4" style="1" width="6"/>
    <col collapsed="false" customWidth="true" hidden="false" outlineLevel="0" max="5" min="5" style="1" width="12"/>
    <col collapsed="false" customWidth="true" hidden="false" outlineLevel="0" max="6" min="6" style="1" width="10"/>
    <col collapsed="false" customWidth="true" hidden="false" outlineLevel="0" max="7" min="7" style="1" width="8"/>
    <col collapsed="false" customWidth="true" hidden="false" outlineLevel="0" max="8" min="8" style="1" width="6"/>
    <col collapsed="false" customWidth="true" hidden="false" outlineLevel="0" max="9" min="9" style="1" width="7"/>
    <col collapsed="false" customWidth="true" hidden="false" outlineLevel="0" max="10" min="10" style="1" width="11"/>
    <col collapsed="false" customWidth="true" hidden="false" outlineLevel="0" max="11" min="11" style="1" width="8"/>
    <col collapsed="false" customWidth="true" hidden="false" outlineLevel="0" max="12" min="12" style="1" width="9"/>
    <col collapsed="false" customWidth="true" hidden="false" outlineLevel="0" max="13" min="13" style="1" width="11"/>
    <col collapsed="false" customWidth="true" hidden="false" outlineLevel="0" max="14" min="14" style="1" width="12"/>
    <col collapsed="false" customWidth="true" hidden="false" outlineLevel="0" max="15" min="15" style="1" width="20"/>
    <col collapsed="false" customWidth="true" hidden="false" outlineLevel="0" max="18" min="16" style="1" width="6"/>
    <col collapsed="false" customWidth="true" hidden="false" outlineLevel="0" max="19" min="19" style="1" width="7"/>
    <col collapsed="false" customWidth="true" hidden="false" outlineLevel="0" max="21" min="20" style="1" width="9"/>
    <col collapsed="false" customWidth="true" hidden="false" outlineLevel="0" max="23" min="22" style="1" width="6"/>
    <col collapsed="false" customWidth="true" hidden="false" outlineLevel="0" max="25" min="24" style="1" width="12"/>
    <col collapsed="false" customWidth="true" hidden="false" outlineLevel="0" max="26" min="26" style="1" width="13"/>
    <col collapsed="false" customWidth="true" hidden="false" outlineLevel="0" max="30" min="27" style="1" width="12"/>
    <col collapsed="false" customWidth="true" hidden="false" outlineLevel="0" max="31" min="31" style="1" width="13"/>
    <col collapsed="false" customWidth="true" hidden="false" outlineLevel="0" max="32" min="32" style="1" width="10"/>
    <col collapsed="false" customWidth="true" hidden="false" outlineLevel="0" max="34" min="33" style="1" width="12"/>
    <col collapsed="false" customWidth="true" hidden="false" outlineLevel="0" max="36" min="35" style="1" width="13"/>
    <col collapsed="false" customWidth="true" hidden="false" outlineLevel="0" max="37" min="37" style="1" width="8"/>
    <col collapsed="false" customWidth="true" hidden="false" outlineLevel="0" max="38" min="38" style="1" width="15"/>
    <col collapsed="false" customWidth="true" hidden="false" outlineLevel="0" max="41" min="39" style="1" width="12"/>
    <col collapsed="false" customWidth="true" hidden="false" outlineLevel="0" max="42" min="42" style="1" width="9"/>
    <col collapsed="false" customWidth="true" hidden="false" outlineLevel="0" max="43" min="43" style="1" width="8"/>
    <col collapsed="false" customWidth="true" hidden="false" outlineLevel="0" max="45" min="44" style="1" width="9"/>
    <col collapsed="false" customWidth="true" hidden="false" outlineLevel="0" max="46" min="46" style="1" width="12"/>
    <col collapsed="false" customWidth="true" hidden="false" outlineLevel="0" max="47" min="47" style="1" width="13"/>
    <col collapsed="false" customWidth="true" hidden="false" outlineLevel="0" max="50" min="48" style="1" width="9"/>
    <col collapsed="false" customWidth="true" hidden="false" outlineLevel="0" max="51" min="51" style="1" width="11"/>
    <col collapsed="false" customWidth="true" hidden="false" outlineLevel="0" max="54" min="52" style="1" width="8"/>
    <col collapsed="false" customWidth="true" hidden="false" outlineLevel="0" max="55" min="55" style="1" width="11"/>
    <col collapsed="false" customWidth="true" hidden="false" outlineLevel="0" max="59" min="56" style="1" width="9"/>
    <col collapsed="false" customWidth="true" hidden="false" outlineLevel="0" max="60" min="60" style="1" width="8"/>
    <col collapsed="false" customWidth="true" hidden="false" outlineLevel="0" max="61" min="61" style="1" width="28"/>
  </cols>
  <sheetData>
    <row r="1" customFormat="false" ht="15" hidden="false" customHeight="true" outlineLevel="0" collapsed="false">
      <c r="A1" s="24" t="s">
        <v>141</v>
      </c>
      <c r="H1" s="13" t="s">
        <v>142</v>
      </c>
    </row>
    <row r="2" customFormat="false" ht="15.75" hidden="false" customHeight="true" outlineLevel="0" collapsed="false">
      <c r="A2" s="25" t="s">
        <v>143</v>
      </c>
      <c r="B2" s="25"/>
      <c r="C2" s="25"/>
      <c r="D2" s="25"/>
      <c r="E2" s="25" t="s">
        <v>144</v>
      </c>
      <c r="F2" s="25"/>
      <c r="G2" s="25" t="s">
        <v>145</v>
      </c>
      <c r="H2" s="25"/>
      <c r="I2" s="25"/>
      <c r="J2" s="25"/>
      <c r="K2" s="25"/>
      <c r="L2" s="25"/>
      <c r="M2" s="25"/>
      <c r="N2" s="25"/>
      <c r="O2" s="25" t="s">
        <v>146</v>
      </c>
      <c r="P2" s="25"/>
      <c r="Q2" s="25"/>
      <c r="R2" s="25"/>
      <c r="S2" s="25"/>
      <c r="T2" s="25"/>
      <c r="U2" s="25"/>
      <c r="V2" s="25"/>
      <c r="W2" s="25"/>
      <c r="X2" s="25" t="s">
        <v>147</v>
      </c>
      <c r="Y2" s="25"/>
      <c r="Z2" s="25"/>
      <c r="AA2" s="25"/>
      <c r="AB2" s="25"/>
      <c r="AC2" s="25"/>
      <c r="AD2" s="25"/>
      <c r="AE2" s="25"/>
      <c r="AF2" s="25"/>
      <c r="AG2" s="25" t="s">
        <v>148</v>
      </c>
      <c r="AH2" s="25"/>
      <c r="AI2" s="25" t="s">
        <v>147</v>
      </c>
      <c r="AJ2" s="25"/>
      <c r="AK2" s="25"/>
      <c r="AL2" s="25"/>
      <c r="AM2" s="25" t="s">
        <v>149</v>
      </c>
      <c r="AN2" s="25"/>
      <c r="AO2" s="25"/>
      <c r="AP2" s="25" t="s">
        <v>150</v>
      </c>
      <c r="AQ2" s="25"/>
      <c r="AR2" s="25" t="s">
        <v>151</v>
      </c>
      <c r="AS2" s="25"/>
      <c r="AT2" s="25"/>
      <c r="AU2" s="25"/>
      <c r="AV2" s="25" t="s">
        <v>152</v>
      </c>
      <c r="AW2" s="25"/>
      <c r="AX2" s="25"/>
      <c r="AY2" s="25"/>
      <c r="AZ2" s="25"/>
      <c r="BA2" s="25"/>
      <c r="BB2" s="25"/>
      <c r="BC2" s="25"/>
      <c r="BD2" s="25"/>
      <c r="BE2" s="25"/>
      <c r="BF2" s="25"/>
      <c r="BG2" s="25"/>
      <c r="BH2" s="25"/>
      <c r="BI2" s="25" t="s">
        <v>153</v>
      </c>
    </row>
    <row r="3" customFormat="false" ht="48" hidden="false" customHeight="true" outlineLevel="0" collapsed="false">
      <c r="A3" s="26" t="s">
        <v>3</v>
      </c>
      <c r="B3" s="26" t="s">
        <v>154</v>
      </c>
      <c r="C3" s="26" t="s">
        <v>155</v>
      </c>
      <c r="D3" s="26" t="s">
        <v>156</v>
      </c>
      <c r="E3" s="26" t="s">
        <v>157</v>
      </c>
      <c r="F3" s="26" t="s">
        <v>158</v>
      </c>
      <c r="G3" s="26" t="s">
        <v>159</v>
      </c>
      <c r="H3" s="26" t="s">
        <v>160</v>
      </c>
      <c r="I3" s="26" t="s">
        <v>161</v>
      </c>
      <c r="J3" s="26" t="s">
        <v>162</v>
      </c>
      <c r="K3" s="26" t="s">
        <v>163</v>
      </c>
      <c r="L3" s="26" t="s">
        <v>164</v>
      </c>
      <c r="M3" s="26" t="s">
        <v>165</v>
      </c>
      <c r="N3" s="26" t="s">
        <v>166</v>
      </c>
      <c r="O3" s="26" t="s">
        <v>167</v>
      </c>
      <c r="P3" s="26" t="s">
        <v>168</v>
      </c>
      <c r="Q3" s="26" t="s">
        <v>169</v>
      </c>
      <c r="R3" s="26" t="s">
        <v>170</v>
      </c>
      <c r="S3" s="26" t="s">
        <v>171</v>
      </c>
      <c r="T3" s="26" t="s">
        <v>172</v>
      </c>
      <c r="U3" s="26" t="s">
        <v>173</v>
      </c>
      <c r="V3" s="26" t="s">
        <v>174</v>
      </c>
      <c r="W3" s="26" t="s">
        <v>175</v>
      </c>
      <c r="X3" s="26" t="s">
        <v>176</v>
      </c>
      <c r="Y3" s="26" t="s">
        <v>177</v>
      </c>
      <c r="Z3" s="26" t="s">
        <v>178</v>
      </c>
      <c r="AA3" s="26" t="s">
        <v>179</v>
      </c>
      <c r="AB3" s="26" t="s">
        <v>180</v>
      </c>
      <c r="AC3" s="26" t="s">
        <v>181</v>
      </c>
      <c r="AD3" s="26" t="s">
        <v>182</v>
      </c>
      <c r="AE3" s="26" t="s">
        <v>183</v>
      </c>
      <c r="AF3" s="26" t="s">
        <v>184</v>
      </c>
      <c r="AG3" s="26" t="s">
        <v>185</v>
      </c>
      <c r="AH3" s="26" t="s">
        <v>186</v>
      </c>
      <c r="AI3" s="26" t="s">
        <v>187</v>
      </c>
      <c r="AJ3" s="26" t="s">
        <v>188</v>
      </c>
      <c r="AK3" s="26" t="s">
        <v>189</v>
      </c>
      <c r="AL3" s="26" t="s">
        <v>190</v>
      </c>
      <c r="AM3" s="26" t="s">
        <v>191</v>
      </c>
      <c r="AN3" s="26" t="s">
        <v>192</v>
      </c>
      <c r="AO3" s="26" t="s">
        <v>193</v>
      </c>
      <c r="AP3" s="26" t="s">
        <v>194</v>
      </c>
      <c r="AQ3" s="26" t="s">
        <v>195</v>
      </c>
      <c r="AR3" s="26" t="s">
        <v>196</v>
      </c>
      <c r="AS3" s="26" t="s">
        <v>197</v>
      </c>
      <c r="AT3" s="26" t="s">
        <v>198</v>
      </c>
      <c r="AU3" s="26" t="s">
        <v>199</v>
      </c>
      <c r="AV3" s="26" t="s">
        <v>78</v>
      </c>
      <c r="AW3" s="26" t="s">
        <v>79</v>
      </c>
      <c r="AX3" s="26" t="s">
        <v>80</v>
      </c>
      <c r="AY3" s="26" t="s">
        <v>200</v>
      </c>
      <c r="AZ3" s="26" t="s">
        <v>201</v>
      </c>
      <c r="BA3" s="26" t="s">
        <v>202</v>
      </c>
      <c r="BB3" s="26" t="s">
        <v>203</v>
      </c>
      <c r="BC3" s="26" t="s">
        <v>83</v>
      </c>
      <c r="BD3" s="26" t="s">
        <v>204</v>
      </c>
      <c r="BE3" s="26" t="s">
        <v>205</v>
      </c>
      <c r="BF3" s="26" t="s">
        <v>81</v>
      </c>
      <c r="BG3" s="26" t="s">
        <v>82</v>
      </c>
      <c r="BH3" s="26" t="s">
        <v>206</v>
      </c>
      <c r="BI3" s="26" t="s">
        <v>207</v>
      </c>
    </row>
    <row r="4" customFormat="false" ht="15" hidden="false" customHeight="true" outlineLevel="0" collapsed="false">
      <c r="A4" s="27" t="s">
        <v>208</v>
      </c>
      <c r="B4" s="27" t="s">
        <v>209</v>
      </c>
      <c r="C4" s="27" t="s">
        <v>210</v>
      </c>
      <c r="D4" s="27" t="s">
        <v>211</v>
      </c>
      <c r="E4" s="27" t="s">
        <v>212</v>
      </c>
      <c r="F4" s="27" t="s">
        <v>213</v>
      </c>
      <c r="G4" s="27" t="s">
        <v>214</v>
      </c>
      <c r="H4" s="27" t="s">
        <v>215</v>
      </c>
      <c r="I4" s="27" t="s">
        <v>216</v>
      </c>
      <c r="J4" s="27" t="s">
        <v>217</v>
      </c>
      <c r="K4" s="27" t="s">
        <v>218</v>
      </c>
      <c r="L4" s="27" t="s">
        <v>219</v>
      </c>
      <c r="M4" s="27" t="s">
        <v>220</v>
      </c>
      <c r="N4" s="27" t="s">
        <v>221</v>
      </c>
      <c r="O4" s="27" t="s">
        <v>222</v>
      </c>
      <c r="P4" s="27" t="s">
        <v>168</v>
      </c>
      <c r="Q4" s="27" t="s">
        <v>169</v>
      </c>
      <c r="R4" s="27" t="s">
        <v>170</v>
      </c>
      <c r="S4" s="27" t="s">
        <v>223</v>
      </c>
      <c r="T4" s="27" t="s">
        <v>224</v>
      </c>
      <c r="U4" s="27" t="s">
        <v>225</v>
      </c>
      <c r="V4" s="27" t="s">
        <v>174</v>
      </c>
      <c r="W4" s="27" t="s">
        <v>175</v>
      </c>
      <c r="X4" s="27" t="s">
        <v>226</v>
      </c>
      <c r="Y4" s="27" t="s">
        <v>227</v>
      </c>
      <c r="Z4" s="27" t="s">
        <v>228</v>
      </c>
      <c r="AA4" s="27" t="s">
        <v>229</v>
      </c>
      <c r="AB4" s="27" t="s">
        <v>230</v>
      </c>
      <c r="AC4" s="27" t="s">
        <v>231</v>
      </c>
      <c r="AD4" s="27" t="s">
        <v>232</v>
      </c>
      <c r="AE4" s="27" t="s">
        <v>233</v>
      </c>
      <c r="AF4" s="27" t="s">
        <v>234</v>
      </c>
      <c r="AG4" s="27" t="s">
        <v>235</v>
      </c>
      <c r="AH4" s="27" t="s">
        <v>236</v>
      </c>
      <c r="AI4" s="27" t="s">
        <v>237</v>
      </c>
      <c r="AJ4" s="27" t="s">
        <v>238</v>
      </c>
      <c r="AK4" s="27" t="s">
        <v>239</v>
      </c>
      <c r="AL4" s="27" t="s">
        <v>240</v>
      </c>
      <c r="AM4" s="27" t="s">
        <v>241</v>
      </c>
      <c r="AN4" s="27" t="s">
        <v>242</v>
      </c>
      <c r="AO4" s="27" t="s">
        <v>243</v>
      </c>
      <c r="AP4" s="27" t="s">
        <v>244</v>
      </c>
      <c r="AQ4" s="27" t="s">
        <v>245</v>
      </c>
      <c r="AR4" s="27" t="s">
        <v>246</v>
      </c>
      <c r="AS4" s="27" t="s">
        <v>247</v>
      </c>
      <c r="AT4" s="27" t="s">
        <v>248</v>
      </c>
      <c r="AU4" s="27" t="s">
        <v>249</v>
      </c>
      <c r="AV4" s="27" t="s">
        <v>250</v>
      </c>
      <c r="AW4" s="27" t="s">
        <v>251</v>
      </c>
      <c r="AX4" s="27" t="s">
        <v>252</v>
      </c>
      <c r="AY4" s="27" t="s">
        <v>253</v>
      </c>
      <c r="AZ4" s="27" t="s">
        <v>254</v>
      </c>
      <c r="BA4" s="27" t="s">
        <v>255</v>
      </c>
      <c r="BB4" s="27" t="s">
        <v>256</v>
      </c>
      <c r="BC4" s="27" t="s">
        <v>257</v>
      </c>
      <c r="BD4" s="27" t="s">
        <v>258</v>
      </c>
      <c r="BE4" s="27" t="s">
        <v>259</v>
      </c>
      <c r="BF4" s="27" t="s">
        <v>260</v>
      </c>
      <c r="BG4" s="27" t="s">
        <v>261</v>
      </c>
      <c r="BH4" s="27" t="s">
        <v>262</v>
      </c>
      <c r="BI4" s="27" t="s">
        <v>263</v>
      </c>
    </row>
    <row r="5" customFormat="false" ht="23.25" hidden="false" customHeight="true" outlineLevel="0" collapsed="false">
      <c r="A5" s="28" t="str">
        <f aca="false">IF(OR(B5="",C5="",D5="",Z5=""),"","ENT-"&amp;RIGHT(YEAR(Z5),2)&amp;"-"&amp;TEXT(B5,"000")&amp;"-"&amp;C5&amp;"-"&amp;D5&amp;"-"&amp;TEXT(MONTH(Z5),"00"))</f>
        <v>ENT-26-000-NPC-M-09</v>
      </c>
      <c r="B5" s="29" t="n">
        <v>0</v>
      </c>
      <c r="C5" s="28" t="s">
        <v>11</v>
      </c>
      <c r="D5" s="28" t="s">
        <v>13</v>
      </c>
      <c r="E5" s="30" t="n">
        <v>46282</v>
      </c>
      <c r="F5" s="28" t="s">
        <v>264</v>
      </c>
      <c r="G5" s="28" t="n">
        <v>54</v>
      </c>
      <c r="H5" s="28" t="s">
        <v>265</v>
      </c>
      <c r="I5" s="28" t="s">
        <v>20</v>
      </c>
      <c r="J5" s="28" t="s">
        <v>266</v>
      </c>
      <c r="K5" s="28" t="n">
        <v>20</v>
      </c>
      <c r="L5" s="28" t="s">
        <v>267</v>
      </c>
      <c r="M5" s="28" t="s">
        <v>268</v>
      </c>
      <c r="N5" s="28" t="s">
        <v>269</v>
      </c>
      <c r="O5" s="28" t="s">
        <v>270</v>
      </c>
      <c r="P5" s="28" t="s">
        <v>271</v>
      </c>
      <c r="Q5" s="28" t="s">
        <v>272</v>
      </c>
      <c r="R5" s="28" t="s">
        <v>273</v>
      </c>
      <c r="S5" s="28" t="s">
        <v>274</v>
      </c>
      <c r="T5" s="28" t="s">
        <v>275</v>
      </c>
      <c r="U5" s="28" t="s">
        <v>276</v>
      </c>
      <c r="V5" s="28"/>
      <c r="W5" s="28"/>
      <c r="X5" s="30" t="n">
        <v>46264</v>
      </c>
      <c r="Y5" s="30" t="n">
        <v>46268</v>
      </c>
      <c r="Z5" s="30" t="n">
        <v>46275</v>
      </c>
      <c r="AA5" s="30" t="n">
        <v>46279</v>
      </c>
      <c r="AB5" s="30" t="n">
        <v>46286</v>
      </c>
      <c r="AC5" s="30" t="n">
        <v>46289</v>
      </c>
      <c r="AD5" s="30" t="n">
        <v>46289</v>
      </c>
      <c r="AE5" s="28" t="s">
        <v>277</v>
      </c>
      <c r="AF5" s="28" t="s">
        <v>278</v>
      </c>
      <c r="AG5" s="30"/>
      <c r="AH5" s="30" t="n">
        <v>46290</v>
      </c>
      <c r="AI5" s="30" t="n">
        <v>46315</v>
      </c>
      <c r="AJ5" s="28" t="s">
        <v>277</v>
      </c>
      <c r="AK5" s="28" t="s">
        <v>279</v>
      </c>
      <c r="AL5" s="28"/>
      <c r="AM5" s="30"/>
      <c r="AN5" s="30"/>
      <c r="AO5" s="30"/>
      <c r="AP5" s="28" t="s">
        <v>279</v>
      </c>
      <c r="AQ5" s="28" t="s">
        <v>280</v>
      </c>
      <c r="AR5" s="28" t="n">
        <f aca="false">IF(A5="","",COUNTIF(MDT!$B$5:$B$104,A5))</f>
        <v>0</v>
      </c>
      <c r="AS5" s="28" t="n">
        <f aca="false">IF(A5="","",COUNTIFS(MDT!$B$5:$B$104,A5,MDT!$E$5:$E$104,"נדחה — מידע חסר"))</f>
        <v>0</v>
      </c>
      <c r="AT5" s="30" t="n">
        <v>46315</v>
      </c>
      <c r="AU5" s="28" t="s">
        <v>281</v>
      </c>
      <c r="AV5" s="31" t="n">
        <f aca="false">IF(OR(X5="",Z5=""),"",Z5-X5)</f>
        <v>11</v>
      </c>
      <c r="AW5" s="31" t="n">
        <f aca="false">IF(OR(Z5="",AC5=""),"",AC5-Z5)</f>
        <v>14</v>
      </c>
      <c r="AX5" s="31" t="n">
        <f aca="false">IF(OR(AD5="",AI5=""),"",AI5-AD5)</f>
        <v>26</v>
      </c>
      <c r="AY5" s="31" t="n">
        <f aca="false">IF(OR(Z5="",AI5=""),"",AI5-Z5)</f>
        <v>40</v>
      </c>
      <c r="AZ5" s="32" t="n">
        <f aca="false">IF(AY5="","",IF(AY5&lt;=30,1,0))</f>
        <v>0</v>
      </c>
      <c r="BA5" s="32" t="n">
        <f aca="false">IF(AY5="","",IF(AY5&gt;60,1,0))</f>
        <v>0</v>
      </c>
      <c r="BB5" s="32" t="n">
        <f aca="false">IF(AY5="","",IF(AY5&gt;67,1,0))</f>
        <v>0</v>
      </c>
      <c r="BC5" s="32" t="str">
        <f aca="false">IF(OR(AJ5&lt;&gt;"ניתוח",AX5=""),"",IF(AX5&lt;=30,1,0))</f>
        <v/>
      </c>
      <c r="BD5" s="28" t="str">
        <f aca="false">IF(OR(AG5="",AI5="",AJ5&lt;&gt;"ניתוח"),"",AI5-AG5)</f>
        <v/>
      </c>
      <c r="BE5" s="31" t="n">
        <f aca="false">IF(OR(AH5="",AI5="",AND(AJ5&lt;&gt;"הקרנות",AJ5&lt;&gt;"כימו-הקרנות")),"",AI5-AH5)</f>
        <v>25</v>
      </c>
      <c r="BF5" s="28" t="str">
        <f aca="false">IF(OR(AJ5&lt;&gt;"ניתוח",AI5="",AN5=""),"",AN5-AI5)</f>
        <v/>
      </c>
      <c r="BG5" s="28" t="str">
        <f aca="false">IF(OR(AJ5&lt;&gt;"ניתוח",AI5="",AO5=""),"",AO5-AI5)</f>
        <v/>
      </c>
      <c r="BH5" s="32" t="str">
        <f aca="false">IF(BG5="","",IF(BG5&lt;=42,1,0))</f>
        <v/>
      </c>
      <c r="BI5" s="28" t="s">
        <v>282</v>
      </c>
    </row>
    <row r="6" customFormat="false" ht="15" hidden="false" customHeight="true" outlineLevel="0" collapsed="false">
      <c r="A6" s="33" t="str">
        <f aca="false">IF(OR(B6="",C6="",D6="",Z6=""),"","ENT-"&amp;RIGHT(YEAR(Z6),2)&amp;"-"&amp;TEXT(B6,"000")&amp;"-"&amp;C6&amp;"-"&amp;D6&amp;"-"&amp;TEXT(MONTH(Z6),"00"))</f>
        <v>ENT-26-001-OT-L-06</v>
      </c>
      <c r="B6" s="34" t="n">
        <v>1</v>
      </c>
      <c r="C6" s="35" t="s">
        <v>283</v>
      </c>
      <c r="D6" s="35" t="s">
        <v>284</v>
      </c>
      <c r="E6" s="36"/>
      <c r="F6" s="35"/>
      <c r="G6" s="35" t="n">
        <v>61</v>
      </c>
      <c r="H6" s="35" t="s">
        <v>265</v>
      </c>
      <c r="I6" s="35" t="s">
        <v>285</v>
      </c>
      <c r="J6" s="35"/>
      <c r="K6" s="35"/>
      <c r="L6" s="35"/>
      <c r="M6" s="35"/>
      <c r="N6" s="35"/>
      <c r="O6" s="35"/>
      <c r="P6" s="35" t="s">
        <v>271</v>
      </c>
      <c r="Q6" s="35" t="s">
        <v>286</v>
      </c>
      <c r="R6" s="35" t="s">
        <v>273</v>
      </c>
      <c r="S6" s="35" t="s">
        <v>274</v>
      </c>
      <c r="T6" s="35" t="s">
        <v>275</v>
      </c>
      <c r="U6" s="35"/>
      <c r="V6" s="35"/>
      <c r="W6" s="35"/>
      <c r="X6" s="36"/>
      <c r="Y6" s="36"/>
      <c r="Z6" s="36" t="n">
        <v>46174</v>
      </c>
      <c r="AA6" s="36"/>
      <c r="AB6" s="36"/>
      <c r="AC6" s="36" t="n">
        <v>46184</v>
      </c>
      <c r="AD6" s="36" t="n">
        <v>46184</v>
      </c>
      <c r="AE6" s="35" t="s">
        <v>287</v>
      </c>
      <c r="AF6" s="35"/>
      <c r="AG6" s="36" t="n">
        <v>46185</v>
      </c>
      <c r="AH6" s="36"/>
      <c r="AI6" s="36" t="n">
        <v>46200</v>
      </c>
      <c r="AJ6" s="35" t="s">
        <v>287</v>
      </c>
      <c r="AK6" s="35"/>
      <c r="AL6" s="35"/>
      <c r="AM6" s="36"/>
      <c r="AN6" s="36" t="n">
        <v>46212</v>
      </c>
      <c r="AO6" s="36" t="n">
        <v>46240</v>
      </c>
      <c r="AP6" s="35" t="s">
        <v>279</v>
      </c>
      <c r="AQ6" s="35" t="s">
        <v>280</v>
      </c>
      <c r="AR6" s="37" t="n">
        <f aca="false">IF(A6="","",COUNTIF(MDT!$B$5:$B$104,A6))</f>
        <v>2</v>
      </c>
      <c r="AS6" s="37" t="n">
        <f aca="false">IF(A6="","",COUNTIFS(MDT!$B$5:$B$104,A6,MDT!$E$5:$E$104,"נדחה — מידע חסר"))</f>
        <v>0</v>
      </c>
      <c r="AT6" s="36"/>
      <c r="AU6" s="35"/>
      <c r="AV6" s="33" t="str">
        <f aca="false">IF(OR(X6="",Z6=""),"",Z6-X6)</f>
        <v/>
      </c>
      <c r="AW6" s="37" t="n">
        <f aca="false">IF(OR(Z6="",AC6=""),"",AC6-Z6)</f>
        <v>10</v>
      </c>
      <c r="AX6" s="37" t="n">
        <f aca="false">IF(OR(AD6="",AI6=""),"",AI6-AD6)</f>
        <v>16</v>
      </c>
      <c r="AY6" s="37" t="n">
        <f aca="false">IF(OR(Z6="",AI6=""),"",AI6-Z6)</f>
        <v>26</v>
      </c>
      <c r="AZ6" s="38" t="n">
        <f aca="false">IF(AY6="","",IF(AY6&lt;=30,1,0))</f>
        <v>1</v>
      </c>
      <c r="BA6" s="38" t="n">
        <f aca="false">IF(AY6="","",IF(AY6&gt;60,1,0))</f>
        <v>0</v>
      </c>
      <c r="BB6" s="38" t="n">
        <f aca="false">IF(AY6="","",IF(AY6&gt;67,1,0))</f>
        <v>0</v>
      </c>
      <c r="BC6" s="38" t="n">
        <f aca="false">IF(OR(AJ6&lt;&gt;"ניתוח",AX6=""),"",IF(AX6&lt;=30,1,0))</f>
        <v>1</v>
      </c>
      <c r="BD6" s="37" t="n">
        <f aca="false">IF(OR(AG6="",AI6="",AJ6&lt;&gt;"ניתוח"),"",AI6-AG6)</f>
        <v>15</v>
      </c>
      <c r="BE6" s="33" t="str">
        <f aca="false">IF(OR(AH6="",AI6="",AND(AJ6&lt;&gt;"הקרנות",AJ6&lt;&gt;"כימו-הקרנות")),"",AI6-AH6)</f>
        <v/>
      </c>
      <c r="BF6" s="37" t="n">
        <f aca="false">IF(OR(AJ6&lt;&gt;"ניתוח",AI6="",AN6=""),"",AN6-AI6)</f>
        <v>12</v>
      </c>
      <c r="BG6" s="37" t="n">
        <f aca="false">IF(OR(AJ6&lt;&gt;"ניתוח",AI6="",AO6=""),"",AO6-AI6)</f>
        <v>40</v>
      </c>
      <c r="BH6" s="38" t="n">
        <f aca="false">IF(BG6="","",IF(BG6&lt;=42,1,0))</f>
        <v>1</v>
      </c>
      <c r="BI6" s="35"/>
    </row>
    <row r="7" customFormat="false" ht="15" hidden="false" customHeight="true" outlineLevel="0" collapsed="false">
      <c r="A7" s="33" t="str">
        <f aca="false">IF(OR(B7="",C7="",D7="",Z7=""),"","ENT-"&amp;RIGHT(YEAR(Z7),2)&amp;"-"&amp;TEXT(B7,"000")&amp;"-"&amp;C7&amp;"-"&amp;D7&amp;"-"&amp;TEXT(MONTH(Z7),"00"))</f>
        <v>ENT-26-002-NPC-M-06</v>
      </c>
      <c r="B7" s="34" t="n">
        <v>2</v>
      </c>
      <c r="C7" s="35" t="s">
        <v>11</v>
      </c>
      <c r="D7" s="35" t="s">
        <v>13</v>
      </c>
      <c r="E7" s="36"/>
      <c r="F7" s="35"/>
      <c r="G7" s="35" t="n">
        <v>48</v>
      </c>
      <c r="H7" s="35" t="s">
        <v>265</v>
      </c>
      <c r="I7" s="35" t="s">
        <v>285</v>
      </c>
      <c r="J7" s="35"/>
      <c r="K7" s="35"/>
      <c r="L7" s="35"/>
      <c r="M7" s="35"/>
      <c r="N7" s="35"/>
      <c r="O7" s="35"/>
      <c r="P7" s="35" t="s">
        <v>271</v>
      </c>
      <c r="Q7" s="35" t="s">
        <v>272</v>
      </c>
      <c r="R7" s="35" t="s">
        <v>273</v>
      </c>
      <c r="S7" s="35" t="s">
        <v>274</v>
      </c>
      <c r="T7" s="35" t="s">
        <v>275</v>
      </c>
      <c r="U7" s="35"/>
      <c r="V7" s="35"/>
      <c r="W7" s="35"/>
      <c r="X7" s="36"/>
      <c r="Y7" s="36"/>
      <c r="Z7" s="36" t="n">
        <v>46175</v>
      </c>
      <c r="AA7" s="36"/>
      <c r="AB7" s="36"/>
      <c r="AC7" s="36" t="n">
        <v>46191</v>
      </c>
      <c r="AD7" s="36" t="n">
        <v>46191</v>
      </c>
      <c r="AE7" s="35" t="s">
        <v>277</v>
      </c>
      <c r="AF7" s="35"/>
      <c r="AG7" s="36"/>
      <c r="AH7" s="36" t="n">
        <v>46192</v>
      </c>
      <c r="AI7" s="36" t="n">
        <v>46224</v>
      </c>
      <c r="AJ7" s="35" t="s">
        <v>277</v>
      </c>
      <c r="AK7" s="35"/>
      <c r="AL7" s="35"/>
      <c r="AM7" s="36"/>
      <c r="AN7" s="36"/>
      <c r="AO7" s="36"/>
      <c r="AP7" s="35" t="s">
        <v>279</v>
      </c>
      <c r="AQ7" s="35" t="s">
        <v>279</v>
      </c>
      <c r="AR7" s="37" t="n">
        <f aca="false">IF(A7="","",COUNTIF(MDT!$B$5:$B$104,A7))</f>
        <v>1</v>
      </c>
      <c r="AS7" s="37" t="n">
        <f aca="false">IF(A7="","",COUNTIFS(MDT!$B$5:$B$104,A7,MDT!$E$5:$E$104,"נדחה — מידע חסר"))</f>
        <v>0</v>
      </c>
      <c r="AT7" s="36"/>
      <c r="AU7" s="35"/>
      <c r="AV7" s="33" t="str">
        <f aca="false">IF(OR(X7="",Z7=""),"",Z7-X7)</f>
        <v/>
      </c>
      <c r="AW7" s="37" t="n">
        <f aca="false">IF(OR(Z7="",AC7=""),"",AC7-Z7)</f>
        <v>16</v>
      </c>
      <c r="AX7" s="37" t="n">
        <f aca="false">IF(OR(AD7="",AI7=""),"",AI7-AD7)</f>
        <v>33</v>
      </c>
      <c r="AY7" s="37" t="n">
        <f aca="false">IF(OR(Z7="",AI7=""),"",AI7-Z7)</f>
        <v>49</v>
      </c>
      <c r="AZ7" s="38" t="n">
        <f aca="false">IF(AY7="","",IF(AY7&lt;=30,1,0))</f>
        <v>0</v>
      </c>
      <c r="BA7" s="38" t="n">
        <f aca="false">IF(AY7="","",IF(AY7&gt;60,1,0))</f>
        <v>0</v>
      </c>
      <c r="BB7" s="38" t="n">
        <f aca="false">IF(AY7="","",IF(AY7&gt;67,1,0))</f>
        <v>0</v>
      </c>
      <c r="BC7" s="38" t="str">
        <f aca="false">IF(OR(AJ7&lt;&gt;"ניתוח",AX7=""),"",IF(AX7&lt;=30,1,0))</f>
        <v/>
      </c>
      <c r="BD7" s="37" t="str">
        <f aca="false">IF(OR(AG7="",AI7="",AJ7&lt;&gt;"ניתוח"),"",AI7-AG7)</f>
        <v/>
      </c>
      <c r="BE7" s="33" t="n">
        <f aca="false">IF(OR(AH7="",AI7="",AND(AJ7&lt;&gt;"הקרנות",AJ7&lt;&gt;"כימו-הקרנות")),"",AI7-AH7)</f>
        <v>32</v>
      </c>
      <c r="BF7" s="37" t="str">
        <f aca="false">IF(OR(AJ7&lt;&gt;"ניתוח",AI7="",AN7=""),"",AN7-AI7)</f>
        <v/>
      </c>
      <c r="BG7" s="37" t="str">
        <f aca="false">IF(OR(AJ7&lt;&gt;"ניתוח",AI7="",AO7=""),"",AO7-AI7)</f>
        <v/>
      </c>
      <c r="BH7" s="38" t="str">
        <f aca="false">IF(BG7="","",IF(BG7&lt;=42,1,0))</f>
        <v/>
      </c>
      <c r="BI7" s="35"/>
    </row>
    <row r="8" customFormat="false" ht="15" hidden="false" customHeight="true" outlineLevel="0" collapsed="false">
      <c r="A8" s="33" t="str">
        <f aca="false">IF(OR(B8="",C8="",D8="",Z8=""),"","ENT-"&amp;RIGHT(YEAR(Z8),2)&amp;"-"&amp;TEXT(B8,"000")&amp;"-"&amp;C8&amp;"-"&amp;D8&amp;"-"&amp;TEXT(MONTH(Z8),"00"))</f>
        <v>ENT-26-003-FOM-M-06</v>
      </c>
      <c r="B8" s="34" t="n">
        <v>3</v>
      </c>
      <c r="C8" s="35" t="s">
        <v>288</v>
      </c>
      <c r="D8" s="35" t="s">
        <v>13</v>
      </c>
      <c r="E8" s="36"/>
      <c r="F8" s="35"/>
      <c r="G8" s="35" t="n">
        <v>57</v>
      </c>
      <c r="H8" s="35" t="s">
        <v>289</v>
      </c>
      <c r="I8" s="35" t="s">
        <v>285</v>
      </c>
      <c r="J8" s="35"/>
      <c r="K8" s="35"/>
      <c r="L8" s="35"/>
      <c r="M8" s="35"/>
      <c r="N8" s="35"/>
      <c r="O8" s="35"/>
      <c r="P8" s="35" t="s">
        <v>271</v>
      </c>
      <c r="Q8" s="35" t="s">
        <v>290</v>
      </c>
      <c r="R8" s="35" t="s">
        <v>273</v>
      </c>
      <c r="S8" s="35" t="s">
        <v>291</v>
      </c>
      <c r="T8" s="35" t="s">
        <v>275</v>
      </c>
      <c r="U8" s="35"/>
      <c r="V8" s="35"/>
      <c r="W8" s="35"/>
      <c r="X8" s="36"/>
      <c r="Y8" s="36"/>
      <c r="Z8" s="36" t="n">
        <v>46176</v>
      </c>
      <c r="AA8" s="36"/>
      <c r="AB8" s="36"/>
      <c r="AC8" s="36" t="n">
        <v>46184</v>
      </c>
      <c r="AD8" s="36" t="n">
        <v>46184</v>
      </c>
      <c r="AE8" s="35" t="s">
        <v>287</v>
      </c>
      <c r="AF8" s="35"/>
      <c r="AG8" s="36" t="n">
        <v>46185</v>
      </c>
      <c r="AH8" s="36"/>
      <c r="AI8" s="36" t="n">
        <v>46198</v>
      </c>
      <c r="AJ8" s="35" t="s">
        <v>287</v>
      </c>
      <c r="AK8" s="35"/>
      <c r="AL8" s="35"/>
      <c r="AM8" s="36"/>
      <c r="AN8" s="36"/>
      <c r="AO8" s="36"/>
      <c r="AP8" s="35" t="s">
        <v>280</v>
      </c>
      <c r="AQ8" s="35" t="s">
        <v>280</v>
      </c>
      <c r="AR8" s="37" t="n">
        <f aca="false">IF(A8="","",COUNTIF(MDT!$B$5:$B$104,A8))</f>
        <v>1</v>
      </c>
      <c r="AS8" s="37" t="n">
        <f aca="false">IF(A8="","",COUNTIFS(MDT!$B$5:$B$104,A8,MDT!$E$5:$E$104,"נדחה — מידע חסר"))</f>
        <v>0</v>
      </c>
      <c r="AT8" s="36"/>
      <c r="AU8" s="35"/>
      <c r="AV8" s="33" t="str">
        <f aca="false">IF(OR(X8="",Z8=""),"",Z8-X8)</f>
        <v/>
      </c>
      <c r="AW8" s="37" t="n">
        <f aca="false">IF(OR(Z8="",AC8=""),"",AC8-Z8)</f>
        <v>8</v>
      </c>
      <c r="AX8" s="37" t="n">
        <f aca="false">IF(OR(AD8="",AI8=""),"",AI8-AD8)</f>
        <v>14</v>
      </c>
      <c r="AY8" s="37" t="n">
        <f aca="false">IF(OR(Z8="",AI8=""),"",AI8-Z8)</f>
        <v>22</v>
      </c>
      <c r="AZ8" s="38" t="n">
        <f aca="false">IF(AY8="","",IF(AY8&lt;=30,1,0))</f>
        <v>1</v>
      </c>
      <c r="BA8" s="38" t="n">
        <f aca="false">IF(AY8="","",IF(AY8&gt;60,1,0))</f>
        <v>0</v>
      </c>
      <c r="BB8" s="38" t="n">
        <f aca="false">IF(AY8="","",IF(AY8&gt;67,1,0))</f>
        <v>0</v>
      </c>
      <c r="BC8" s="38" t="n">
        <f aca="false">IF(OR(AJ8&lt;&gt;"ניתוח",AX8=""),"",IF(AX8&lt;=30,1,0))</f>
        <v>1</v>
      </c>
      <c r="BD8" s="37" t="n">
        <f aca="false">IF(OR(AG8="",AI8="",AJ8&lt;&gt;"ניתוח"),"",AI8-AG8)</f>
        <v>13</v>
      </c>
      <c r="BE8" s="33" t="str">
        <f aca="false">IF(OR(AH8="",AI8="",AND(AJ8&lt;&gt;"הקרנות",AJ8&lt;&gt;"כימו-הקרנות")),"",AI8-AH8)</f>
        <v/>
      </c>
      <c r="BF8" s="37" t="str">
        <f aca="false">IF(OR(AJ8&lt;&gt;"ניתוח",AI8="",AN8=""),"",AN8-AI8)</f>
        <v/>
      </c>
      <c r="BG8" s="37" t="str">
        <f aca="false">IF(OR(AJ8&lt;&gt;"ניתוח",AI8="",AO8=""),"",AO8-AI8)</f>
        <v/>
      </c>
      <c r="BH8" s="38" t="str">
        <f aca="false">IF(BG8="","",IF(BG8&lt;=42,1,0))</f>
        <v/>
      </c>
      <c r="BI8" s="35"/>
    </row>
    <row r="9" customFormat="false" ht="15" hidden="false" customHeight="true" outlineLevel="0" collapsed="false">
      <c r="A9" s="33" t="str">
        <f aca="false">IF(OR(B9="",C9="",D9="",Z9=""),"","ENT-"&amp;RIGHT(YEAR(Z9),2)&amp;"-"&amp;TEXT(B9,"000")&amp;"-"&amp;C9&amp;"-"&amp;D9&amp;"-"&amp;TEXT(MONTH(Z9),"00"))</f>
        <v>ENT-26-004-BOT-L-06</v>
      </c>
      <c r="B9" s="34" t="n">
        <v>4</v>
      </c>
      <c r="C9" s="35" t="s">
        <v>292</v>
      </c>
      <c r="D9" s="35" t="s">
        <v>284</v>
      </c>
      <c r="E9" s="36"/>
      <c r="F9" s="35"/>
      <c r="G9" s="35" t="n">
        <v>62</v>
      </c>
      <c r="H9" s="35" t="s">
        <v>289</v>
      </c>
      <c r="I9" s="35" t="s">
        <v>20</v>
      </c>
      <c r="J9" s="35"/>
      <c r="K9" s="35"/>
      <c r="L9" s="35"/>
      <c r="M9" s="35"/>
      <c r="N9" s="35"/>
      <c r="O9" s="35"/>
      <c r="P9" s="35" t="s">
        <v>293</v>
      </c>
      <c r="Q9" s="35" t="s">
        <v>272</v>
      </c>
      <c r="R9" s="35" t="s">
        <v>273</v>
      </c>
      <c r="S9" s="35" t="s">
        <v>274</v>
      </c>
      <c r="T9" s="35" t="s">
        <v>276</v>
      </c>
      <c r="U9" s="35"/>
      <c r="V9" s="35"/>
      <c r="W9" s="35"/>
      <c r="X9" s="36"/>
      <c r="Y9" s="36"/>
      <c r="Z9" s="36" t="n">
        <v>46177</v>
      </c>
      <c r="AA9" s="36"/>
      <c r="AB9" s="36"/>
      <c r="AC9" s="36" t="n">
        <v>46191</v>
      </c>
      <c r="AD9" s="36" t="n">
        <v>46191</v>
      </c>
      <c r="AE9" s="35" t="s">
        <v>277</v>
      </c>
      <c r="AF9" s="35"/>
      <c r="AG9" s="36"/>
      <c r="AH9" s="36" t="n">
        <v>46192</v>
      </c>
      <c r="AI9" s="36" t="n">
        <v>46232</v>
      </c>
      <c r="AJ9" s="35" t="s">
        <v>277</v>
      </c>
      <c r="AK9" s="35"/>
      <c r="AL9" s="35"/>
      <c r="AM9" s="36"/>
      <c r="AN9" s="36"/>
      <c r="AO9" s="36"/>
      <c r="AP9" s="35" t="s">
        <v>279</v>
      </c>
      <c r="AQ9" s="35" t="s">
        <v>279</v>
      </c>
      <c r="AR9" s="37" t="n">
        <f aca="false">IF(A9="","",COUNTIF(MDT!$B$5:$B$104,A9))</f>
        <v>1</v>
      </c>
      <c r="AS9" s="37" t="n">
        <f aca="false">IF(A9="","",COUNTIFS(MDT!$B$5:$B$104,A9,MDT!$E$5:$E$104,"נדחה — מידע חסר"))</f>
        <v>0</v>
      </c>
      <c r="AT9" s="36"/>
      <c r="AU9" s="35"/>
      <c r="AV9" s="33" t="str">
        <f aca="false">IF(OR(X9="",Z9=""),"",Z9-X9)</f>
        <v/>
      </c>
      <c r="AW9" s="37" t="n">
        <f aca="false">IF(OR(Z9="",AC9=""),"",AC9-Z9)</f>
        <v>14</v>
      </c>
      <c r="AX9" s="37" t="n">
        <f aca="false">IF(OR(AD9="",AI9=""),"",AI9-AD9)</f>
        <v>41</v>
      </c>
      <c r="AY9" s="37" t="n">
        <f aca="false">IF(OR(Z9="",AI9=""),"",AI9-Z9)</f>
        <v>55</v>
      </c>
      <c r="AZ9" s="38" t="n">
        <f aca="false">IF(AY9="","",IF(AY9&lt;=30,1,0))</f>
        <v>0</v>
      </c>
      <c r="BA9" s="38" t="n">
        <f aca="false">IF(AY9="","",IF(AY9&gt;60,1,0))</f>
        <v>0</v>
      </c>
      <c r="BB9" s="38" t="n">
        <f aca="false">IF(AY9="","",IF(AY9&gt;67,1,0))</f>
        <v>0</v>
      </c>
      <c r="BC9" s="38" t="str">
        <f aca="false">IF(OR(AJ9&lt;&gt;"ניתוח",AX9=""),"",IF(AX9&lt;=30,1,0))</f>
        <v/>
      </c>
      <c r="BD9" s="37" t="str">
        <f aca="false">IF(OR(AG9="",AI9="",AJ9&lt;&gt;"ניתוח"),"",AI9-AG9)</f>
        <v/>
      </c>
      <c r="BE9" s="33" t="n">
        <f aca="false">IF(OR(AH9="",AI9="",AND(AJ9&lt;&gt;"הקרנות",AJ9&lt;&gt;"כימו-הקרנות")),"",AI9-AH9)</f>
        <v>40</v>
      </c>
      <c r="BF9" s="37" t="str">
        <f aca="false">IF(OR(AJ9&lt;&gt;"ניתוח",AI9="",AN9=""),"",AN9-AI9)</f>
        <v/>
      </c>
      <c r="BG9" s="37" t="str">
        <f aca="false">IF(OR(AJ9&lt;&gt;"ניתוח",AI9="",AO9=""),"",AO9-AI9)</f>
        <v/>
      </c>
      <c r="BH9" s="38" t="str">
        <f aca="false">IF(BG9="","",IF(BG9&lt;=42,1,0))</f>
        <v/>
      </c>
      <c r="BI9" s="35"/>
    </row>
    <row r="10" customFormat="false" ht="15" hidden="false" customHeight="true" outlineLevel="0" collapsed="false">
      <c r="A10" s="33" t="str">
        <f aca="false">IF(OR(B10="",C10="",D10="",Z10=""),"","ENT-"&amp;RIGHT(YEAR(Z10),2)&amp;"-"&amp;TEXT(B10,"000")&amp;"-"&amp;C10&amp;"-"&amp;D10&amp;"-"&amp;TEXT(MONTH(Z10),"00"))</f>
        <v>ENT-26-005-GLT-R-06</v>
      </c>
      <c r="B10" s="34" t="n">
        <v>5</v>
      </c>
      <c r="C10" s="35" t="s">
        <v>294</v>
      </c>
      <c r="D10" s="35" t="s">
        <v>295</v>
      </c>
      <c r="E10" s="36"/>
      <c r="F10" s="35"/>
      <c r="G10" s="35" t="n">
        <v>68</v>
      </c>
      <c r="H10" s="35" t="s">
        <v>265</v>
      </c>
      <c r="I10" s="35" t="s">
        <v>20</v>
      </c>
      <c r="J10" s="35"/>
      <c r="K10" s="35"/>
      <c r="L10" s="35"/>
      <c r="M10" s="35"/>
      <c r="N10" s="35"/>
      <c r="O10" s="35"/>
      <c r="P10" s="35" t="s">
        <v>296</v>
      </c>
      <c r="Q10" s="35" t="s">
        <v>290</v>
      </c>
      <c r="R10" s="35" t="s">
        <v>273</v>
      </c>
      <c r="S10" s="35" t="s">
        <v>297</v>
      </c>
      <c r="T10" s="35" t="s">
        <v>275</v>
      </c>
      <c r="U10" s="35"/>
      <c r="V10" s="35"/>
      <c r="W10" s="35"/>
      <c r="X10" s="36"/>
      <c r="Y10" s="36"/>
      <c r="Z10" s="36" t="n">
        <v>46178</v>
      </c>
      <c r="AA10" s="36"/>
      <c r="AB10" s="36"/>
      <c r="AC10" s="36" t="n">
        <v>46184</v>
      </c>
      <c r="AD10" s="36" t="n">
        <v>46184</v>
      </c>
      <c r="AE10" s="35" t="s">
        <v>287</v>
      </c>
      <c r="AF10" s="35"/>
      <c r="AG10" s="36" t="n">
        <v>46185</v>
      </c>
      <c r="AH10" s="36"/>
      <c r="AI10" s="36" t="n">
        <v>46196</v>
      </c>
      <c r="AJ10" s="35" t="s">
        <v>287</v>
      </c>
      <c r="AK10" s="35"/>
      <c r="AL10" s="35"/>
      <c r="AM10" s="36"/>
      <c r="AN10" s="36"/>
      <c r="AO10" s="36"/>
      <c r="AP10" s="35" t="s">
        <v>280</v>
      </c>
      <c r="AQ10" s="35" t="s">
        <v>280</v>
      </c>
      <c r="AR10" s="37" t="n">
        <f aca="false">IF(A10="","",COUNTIF(MDT!$B$5:$B$104,A10))</f>
        <v>1</v>
      </c>
      <c r="AS10" s="37" t="n">
        <f aca="false">IF(A10="","",COUNTIFS(MDT!$B$5:$B$104,A10,MDT!$E$5:$E$104,"נדחה — מידע חסר"))</f>
        <v>0</v>
      </c>
      <c r="AT10" s="36"/>
      <c r="AU10" s="35"/>
      <c r="AV10" s="33" t="str">
        <f aca="false">IF(OR(X10="",Z10=""),"",Z10-X10)</f>
        <v/>
      </c>
      <c r="AW10" s="37" t="n">
        <f aca="false">IF(OR(Z10="",AC10=""),"",AC10-Z10)</f>
        <v>6</v>
      </c>
      <c r="AX10" s="37" t="n">
        <f aca="false">IF(OR(AD10="",AI10=""),"",AI10-AD10)</f>
        <v>12</v>
      </c>
      <c r="AY10" s="37" t="n">
        <f aca="false">IF(OR(Z10="",AI10=""),"",AI10-Z10)</f>
        <v>18</v>
      </c>
      <c r="AZ10" s="38" t="n">
        <f aca="false">IF(AY10="","",IF(AY10&lt;=30,1,0))</f>
        <v>1</v>
      </c>
      <c r="BA10" s="38" t="n">
        <f aca="false">IF(AY10="","",IF(AY10&gt;60,1,0))</f>
        <v>0</v>
      </c>
      <c r="BB10" s="38" t="n">
        <f aca="false">IF(AY10="","",IF(AY10&gt;67,1,0))</f>
        <v>0</v>
      </c>
      <c r="BC10" s="38" t="n">
        <f aca="false">IF(OR(AJ10&lt;&gt;"ניתוח",AX10=""),"",IF(AX10&lt;=30,1,0))</f>
        <v>1</v>
      </c>
      <c r="BD10" s="37" t="n">
        <f aca="false">IF(OR(AG10="",AI10="",AJ10&lt;&gt;"ניתוח"),"",AI10-AG10)</f>
        <v>11</v>
      </c>
      <c r="BE10" s="33" t="str">
        <f aca="false">IF(OR(AH10="",AI10="",AND(AJ10&lt;&gt;"הקרנות",AJ10&lt;&gt;"כימו-הקרנות")),"",AI10-AH10)</f>
        <v/>
      </c>
      <c r="BF10" s="37" t="str">
        <f aca="false">IF(OR(AJ10&lt;&gt;"ניתוח",AI10="",AN10=""),"",AN10-AI10)</f>
        <v/>
      </c>
      <c r="BG10" s="37" t="str">
        <f aca="false">IF(OR(AJ10&lt;&gt;"ניתוח",AI10="",AO10=""),"",AO10-AI10)</f>
        <v/>
      </c>
      <c r="BH10" s="38" t="str">
        <f aca="false">IF(BG10="","",IF(BG10&lt;=42,1,0))</f>
        <v/>
      </c>
      <c r="BI10" s="35"/>
    </row>
    <row r="11" customFormat="false" ht="15" hidden="false" customHeight="true" outlineLevel="0" collapsed="false">
      <c r="A11" s="33" t="str">
        <f aca="false">IF(OR(B11="",C11="",D11="",Z11=""),"","ENT-"&amp;RIGHT(YEAR(Z11),2)&amp;"-"&amp;TEXT(B11,"000")&amp;"-"&amp;C11&amp;"-"&amp;D11&amp;"-"&amp;TEXT(MONTH(Z11),"00"))</f>
        <v>ENT-26-006-GLT-L-06</v>
      </c>
      <c r="B11" s="34" t="n">
        <v>6</v>
      </c>
      <c r="C11" s="35" t="s">
        <v>294</v>
      </c>
      <c r="D11" s="35" t="s">
        <v>284</v>
      </c>
      <c r="E11" s="36"/>
      <c r="F11" s="35"/>
      <c r="G11" s="35" t="n">
        <v>71</v>
      </c>
      <c r="H11" s="35" t="s">
        <v>265</v>
      </c>
      <c r="I11" s="35" t="s">
        <v>20</v>
      </c>
      <c r="J11" s="35"/>
      <c r="K11" s="35"/>
      <c r="L11" s="35"/>
      <c r="M11" s="35"/>
      <c r="N11" s="35"/>
      <c r="O11" s="35"/>
      <c r="P11" s="35" t="s">
        <v>271</v>
      </c>
      <c r="Q11" s="35" t="s">
        <v>290</v>
      </c>
      <c r="R11" s="35" t="s">
        <v>273</v>
      </c>
      <c r="S11" s="35" t="s">
        <v>291</v>
      </c>
      <c r="T11" s="35" t="s">
        <v>275</v>
      </c>
      <c r="U11" s="35"/>
      <c r="V11" s="35"/>
      <c r="W11" s="35"/>
      <c r="X11" s="36"/>
      <c r="Y11" s="36"/>
      <c r="Z11" s="36" t="n">
        <v>46178</v>
      </c>
      <c r="AA11" s="36"/>
      <c r="AB11" s="36"/>
      <c r="AC11" s="36" t="n">
        <v>46191</v>
      </c>
      <c r="AD11" s="36" t="n">
        <v>46191</v>
      </c>
      <c r="AE11" s="35" t="s">
        <v>298</v>
      </c>
      <c r="AF11" s="35"/>
      <c r="AG11" s="36"/>
      <c r="AH11" s="36" t="n">
        <v>46192</v>
      </c>
      <c r="AI11" s="36" t="n">
        <v>46213</v>
      </c>
      <c r="AJ11" s="35" t="s">
        <v>298</v>
      </c>
      <c r="AK11" s="35"/>
      <c r="AL11" s="35"/>
      <c r="AM11" s="36"/>
      <c r="AN11" s="36"/>
      <c r="AO11" s="36"/>
      <c r="AP11" s="35" t="s">
        <v>280</v>
      </c>
      <c r="AQ11" s="35" t="s">
        <v>280</v>
      </c>
      <c r="AR11" s="37" t="n">
        <f aca="false">IF(A11="","",COUNTIF(MDT!$B$5:$B$104,A11))</f>
        <v>1</v>
      </c>
      <c r="AS11" s="37" t="n">
        <f aca="false">IF(A11="","",COUNTIFS(MDT!$B$5:$B$104,A11,MDT!$E$5:$E$104,"נדחה — מידע חסר"))</f>
        <v>0</v>
      </c>
      <c r="AT11" s="36"/>
      <c r="AU11" s="35"/>
      <c r="AV11" s="33" t="str">
        <f aca="false">IF(OR(X11="",Z11=""),"",Z11-X11)</f>
        <v/>
      </c>
      <c r="AW11" s="37" t="n">
        <f aca="false">IF(OR(Z11="",AC11=""),"",AC11-Z11)</f>
        <v>13</v>
      </c>
      <c r="AX11" s="37" t="n">
        <f aca="false">IF(OR(AD11="",AI11=""),"",AI11-AD11)</f>
        <v>22</v>
      </c>
      <c r="AY11" s="37" t="n">
        <f aca="false">IF(OR(Z11="",AI11=""),"",AI11-Z11)</f>
        <v>35</v>
      </c>
      <c r="AZ11" s="38" t="n">
        <f aca="false">IF(AY11="","",IF(AY11&lt;=30,1,0))</f>
        <v>0</v>
      </c>
      <c r="BA11" s="38" t="n">
        <f aca="false">IF(AY11="","",IF(AY11&gt;60,1,0))</f>
        <v>0</v>
      </c>
      <c r="BB11" s="38" t="n">
        <f aca="false">IF(AY11="","",IF(AY11&gt;67,1,0))</f>
        <v>0</v>
      </c>
      <c r="BC11" s="38" t="str">
        <f aca="false">IF(OR(AJ11&lt;&gt;"ניתוח",AX11=""),"",IF(AX11&lt;=30,1,0))</f>
        <v/>
      </c>
      <c r="BD11" s="37" t="str">
        <f aca="false">IF(OR(AG11="",AI11="",AJ11&lt;&gt;"ניתוח"),"",AI11-AG11)</f>
        <v/>
      </c>
      <c r="BE11" s="33" t="n">
        <f aca="false">IF(OR(AH11="",AI11="",AND(AJ11&lt;&gt;"הקרנות",AJ11&lt;&gt;"כימו-הקרנות")),"",AI11-AH11)</f>
        <v>21</v>
      </c>
      <c r="BF11" s="37" t="str">
        <f aca="false">IF(OR(AJ11&lt;&gt;"ניתוח",AI11="",AN11=""),"",AN11-AI11)</f>
        <v/>
      </c>
      <c r="BG11" s="37" t="str">
        <f aca="false">IF(OR(AJ11&lt;&gt;"ניתוח",AI11="",AO11=""),"",AO11-AI11)</f>
        <v/>
      </c>
      <c r="BH11" s="38" t="str">
        <f aca="false">IF(BG11="","",IF(BG11&lt;=42,1,0))</f>
        <v/>
      </c>
      <c r="BI11" s="35"/>
    </row>
    <row r="12" customFormat="false" ht="15" hidden="false" customHeight="true" outlineLevel="0" collapsed="false">
      <c r="A12" s="33" t="str">
        <f aca="false">IF(OR(B12="",C12="",D12="",Z12=""),"","ENT-"&amp;RIGHT(YEAR(Z12),2)&amp;"-"&amp;TEXT(B12,"000")&amp;"-"&amp;C12&amp;"-"&amp;D12&amp;"-"&amp;TEXT(MONTH(Z12),"00"))</f>
        <v>ENT-26-007-HPX-R-06</v>
      </c>
      <c r="B12" s="34" t="n">
        <v>7</v>
      </c>
      <c r="C12" s="35" t="s">
        <v>299</v>
      </c>
      <c r="D12" s="35" t="s">
        <v>295</v>
      </c>
      <c r="E12" s="36"/>
      <c r="F12" s="35"/>
      <c r="G12" s="35" t="n">
        <v>66</v>
      </c>
      <c r="H12" s="35" t="s">
        <v>265</v>
      </c>
      <c r="I12" s="35" t="s">
        <v>20</v>
      </c>
      <c r="J12" s="35"/>
      <c r="K12" s="35"/>
      <c r="L12" s="35"/>
      <c r="M12" s="35"/>
      <c r="N12" s="35"/>
      <c r="O12" s="35"/>
      <c r="P12" s="35" t="s">
        <v>293</v>
      </c>
      <c r="Q12" s="35" t="s">
        <v>300</v>
      </c>
      <c r="R12" s="35" t="s">
        <v>273</v>
      </c>
      <c r="S12" s="35" t="s">
        <v>301</v>
      </c>
      <c r="T12" s="35" t="s">
        <v>275</v>
      </c>
      <c r="U12" s="35"/>
      <c r="V12" s="35"/>
      <c r="W12" s="35"/>
      <c r="X12" s="36"/>
      <c r="Y12" s="36"/>
      <c r="Z12" s="36" t="n">
        <v>46179</v>
      </c>
      <c r="AA12" s="36"/>
      <c r="AB12" s="36"/>
      <c r="AC12" s="36" t="n">
        <v>46198</v>
      </c>
      <c r="AD12" s="36" t="n">
        <v>46205</v>
      </c>
      <c r="AE12" s="35" t="s">
        <v>277</v>
      </c>
      <c r="AF12" s="35"/>
      <c r="AG12" s="36"/>
      <c r="AH12" s="36" t="n">
        <v>46206</v>
      </c>
      <c r="AI12" s="36" t="n">
        <v>46245</v>
      </c>
      <c r="AJ12" s="35" t="s">
        <v>277</v>
      </c>
      <c r="AK12" s="35"/>
      <c r="AL12" s="35"/>
      <c r="AM12" s="36"/>
      <c r="AN12" s="36"/>
      <c r="AO12" s="36"/>
      <c r="AP12" s="35" t="s">
        <v>279</v>
      </c>
      <c r="AQ12" s="35" t="s">
        <v>279</v>
      </c>
      <c r="AR12" s="37" t="n">
        <f aca="false">IF(A12="","",COUNTIF(MDT!$B$5:$B$104,A12))</f>
        <v>2</v>
      </c>
      <c r="AS12" s="37" t="n">
        <f aca="false">IF(A12="","",COUNTIFS(MDT!$B$5:$B$104,A12,MDT!$E$5:$E$104,"נדחה — מידע חסר"))</f>
        <v>1</v>
      </c>
      <c r="AT12" s="36"/>
      <c r="AU12" s="35"/>
      <c r="AV12" s="33" t="str">
        <f aca="false">IF(OR(X12="",Z12=""),"",Z12-X12)</f>
        <v/>
      </c>
      <c r="AW12" s="37" t="n">
        <f aca="false">IF(OR(Z12="",AC12=""),"",AC12-Z12)</f>
        <v>19</v>
      </c>
      <c r="AX12" s="37" t="n">
        <f aca="false">IF(OR(AD12="",AI12=""),"",AI12-AD12)</f>
        <v>40</v>
      </c>
      <c r="AY12" s="37" t="n">
        <f aca="false">IF(OR(Z12="",AI12=""),"",AI12-Z12)</f>
        <v>66</v>
      </c>
      <c r="AZ12" s="38" t="n">
        <f aca="false">IF(AY12="","",IF(AY12&lt;=30,1,0))</f>
        <v>0</v>
      </c>
      <c r="BA12" s="38" t="n">
        <f aca="false">IF(AY12="","",IF(AY12&gt;60,1,0))</f>
        <v>1</v>
      </c>
      <c r="BB12" s="38" t="n">
        <f aca="false">IF(AY12="","",IF(AY12&gt;67,1,0))</f>
        <v>0</v>
      </c>
      <c r="BC12" s="38" t="str">
        <f aca="false">IF(OR(AJ12&lt;&gt;"ניתוח",AX12=""),"",IF(AX12&lt;=30,1,0))</f>
        <v/>
      </c>
      <c r="BD12" s="37" t="str">
        <f aca="false">IF(OR(AG12="",AI12="",AJ12&lt;&gt;"ניתוח"),"",AI12-AG12)</f>
        <v/>
      </c>
      <c r="BE12" s="33" t="n">
        <f aca="false">IF(OR(AH12="",AI12="",AND(AJ12&lt;&gt;"הקרנות",AJ12&lt;&gt;"כימו-הקרנות")),"",AI12-AH12)</f>
        <v>39</v>
      </c>
      <c r="BF12" s="37" t="str">
        <f aca="false">IF(OR(AJ12&lt;&gt;"ניתוח",AI12="",AN12=""),"",AN12-AI12)</f>
        <v/>
      </c>
      <c r="BG12" s="37" t="str">
        <f aca="false">IF(OR(AJ12&lt;&gt;"ניתוח",AI12="",AO12=""),"",AO12-AI12)</f>
        <v/>
      </c>
      <c r="BH12" s="38" t="str">
        <f aca="false">IF(BG12="","",IF(BG12&lt;=42,1,0))</f>
        <v/>
      </c>
      <c r="BI12" s="35"/>
    </row>
    <row r="13" customFormat="false" ht="15" hidden="false" customHeight="true" outlineLevel="0" collapsed="false">
      <c r="A13" s="33" t="str">
        <f aca="false">IF(OR(B13="",C13="",D13="",Z13=""),"","ENT-"&amp;RIGHT(YEAR(Z13),2)&amp;"-"&amp;TEXT(B13,"000")&amp;"-"&amp;C13&amp;"-"&amp;D13&amp;"-"&amp;TEXT(MONTH(Z13),"00"))</f>
        <v>ENT-26-008-THY-B-06</v>
      </c>
      <c r="B13" s="34" t="n">
        <v>8</v>
      </c>
      <c r="C13" s="35" t="s">
        <v>302</v>
      </c>
      <c r="D13" s="35" t="s">
        <v>303</v>
      </c>
      <c r="E13" s="36"/>
      <c r="F13" s="35"/>
      <c r="G13" s="35" t="n">
        <v>49</v>
      </c>
      <c r="H13" s="35" t="s">
        <v>289</v>
      </c>
      <c r="I13" s="35" t="s">
        <v>285</v>
      </c>
      <c r="J13" s="35"/>
      <c r="K13" s="35"/>
      <c r="L13" s="35"/>
      <c r="M13" s="35"/>
      <c r="N13" s="35"/>
      <c r="O13" s="35"/>
      <c r="P13" s="35" t="s">
        <v>271</v>
      </c>
      <c r="Q13" s="35" t="s">
        <v>304</v>
      </c>
      <c r="R13" s="35" t="s">
        <v>273</v>
      </c>
      <c r="S13" s="35" t="s">
        <v>297</v>
      </c>
      <c r="T13" s="35" t="s">
        <v>275</v>
      </c>
      <c r="U13" s="35"/>
      <c r="V13" s="35"/>
      <c r="W13" s="35"/>
      <c r="X13" s="36"/>
      <c r="Y13" s="36"/>
      <c r="Z13" s="36" t="n">
        <v>46181</v>
      </c>
      <c r="AA13" s="36"/>
      <c r="AB13" s="36"/>
      <c r="AC13" s="36" t="n">
        <v>46191</v>
      </c>
      <c r="AD13" s="36" t="n">
        <v>46191</v>
      </c>
      <c r="AE13" s="35" t="s">
        <v>287</v>
      </c>
      <c r="AF13" s="35"/>
      <c r="AG13" s="36" t="n">
        <v>46192</v>
      </c>
      <c r="AH13" s="36"/>
      <c r="AI13" s="36" t="n">
        <v>46210</v>
      </c>
      <c r="AJ13" s="35" t="s">
        <v>287</v>
      </c>
      <c r="AK13" s="35"/>
      <c r="AL13" s="35"/>
      <c r="AM13" s="36"/>
      <c r="AN13" s="36"/>
      <c r="AO13" s="36"/>
      <c r="AP13" s="35" t="s">
        <v>280</v>
      </c>
      <c r="AQ13" s="35" t="s">
        <v>280</v>
      </c>
      <c r="AR13" s="37" t="n">
        <f aca="false">IF(A13="","",COUNTIF(MDT!$B$5:$B$104,A13))</f>
        <v>1</v>
      </c>
      <c r="AS13" s="37" t="n">
        <f aca="false">IF(A13="","",COUNTIFS(MDT!$B$5:$B$104,A13,MDT!$E$5:$E$104,"נדחה — מידע חסר"))</f>
        <v>0</v>
      </c>
      <c r="AT13" s="36"/>
      <c r="AU13" s="35"/>
      <c r="AV13" s="33" t="str">
        <f aca="false">IF(OR(X13="",Z13=""),"",Z13-X13)</f>
        <v/>
      </c>
      <c r="AW13" s="37" t="n">
        <f aca="false">IF(OR(Z13="",AC13=""),"",AC13-Z13)</f>
        <v>10</v>
      </c>
      <c r="AX13" s="37" t="n">
        <f aca="false">IF(OR(AD13="",AI13=""),"",AI13-AD13)</f>
        <v>19</v>
      </c>
      <c r="AY13" s="37" t="n">
        <f aca="false">IF(OR(Z13="",AI13=""),"",AI13-Z13)</f>
        <v>29</v>
      </c>
      <c r="AZ13" s="38" t="n">
        <f aca="false">IF(AY13="","",IF(AY13&lt;=30,1,0))</f>
        <v>1</v>
      </c>
      <c r="BA13" s="38" t="n">
        <f aca="false">IF(AY13="","",IF(AY13&gt;60,1,0))</f>
        <v>0</v>
      </c>
      <c r="BB13" s="38" t="n">
        <f aca="false">IF(AY13="","",IF(AY13&gt;67,1,0))</f>
        <v>0</v>
      </c>
      <c r="BC13" s="38" t="n">
        <f aca="false">IF(OR(AJ13&lt;&gt;"ניתוח",AX13=""),"",IF(AX13&lt;=30,1,0))</f>
        <v>1</v>
      </c>
      <c r="BD13" s="37" t="n">
        <f aca="false">IF(OR(AG13="",AI13="",AJ13&lt;&gt;"ניתוח"),"",AI13-AG13)</f>
        <v>18</v>
      </c>
      <c r="BE13" s="33" t="str">
        <f aca="false">IF(OR(AH13="",AI13="",AND(AJ13&lt;&gt;"הקרנות",AJ13&lt;&gt;"כימו-הקרנות")),"",AI13-AH13)</f>
        <v/>
      </c>
      <c r="BF13" s="37" t="str">
        <f aca="false">IF(OR(AJ13&lt;&gt;"ניתוח",AI13="",AN13=""),"",AN13-AI13)</f>
        <v/>
      </c>
      <c r="BG13" s="37" t="str">
        <f aca="false">IF(OR(AJ13&lt;&gt;"ניתוח",AI13="",AO13=""),"",AO13-AI13)</f>
        <v/>
      </c>
      <c r="BH13" s="38" t="str">
        <f aca="false">IF(BG13="","",IF(BG13&lt;=42,1,0))</f>
        <v/>
      </c>
      <c r="BI13" s="35"/>
    </row>
    <row r="14" customFormat="false" ht="15" hidden="false" customHeight="true" outlineLevel="0" collapsed="false">
      <c r="A14" s="33" t="str">
        <f aca="false">IF(OR(B14="",C14="",D14="",Z14=""),"","ENT-"&amp;RIGHT(YEAR(Z14),2)&amp;"-"&amp;TEXT(B14,"000")&amp;"-"&amp;C14&amp;"-"&amp;D14&amp;"-"&amp;TEXT(MONTH(Z14),"00"))</f>
        <v>ENT-26-009-HPX-L-06</v>
      </c>
      <c r="B14" s="34" t="n">
        <v>9</v>
      </c>
      <c r="C14" s="35" t="s">
        <v>299</v>
      </c>
      <c r="D14" s="35" t="s">
        <v>284</v>
      </c>
      <c r="E14" s="36"/>
      <c r="F14" s="35"/>
      <c r="G14" s="35" t="n">
        <v>77</v>
      </c>
      <c r="H14" s="35" t="s">
        <v>265</v>
      </c>
      <c r="I14" s="35" t="s">
        <v>22</v>
      </c>
      <c r="J14" s="35"/>
      <c r="K14" s="35"/>
      <c r="L14" s="35"/>
      <c r="M14" s="35"/>
      <c r="N14" s="35"/>
      <c r="O14" s="35"/>
      <c r="P14" s="35" t="s">
        <v>271</v>
      </c>
      <c r="Q14" s="35" t="s">
        <v>305</v>
      </c>
      <c r="R14" s="35" t="s">
        <v>273</v>
      </c>
      <c r="S14" s="35" t="s">
        <v>301</v>
      </c>
      <c r="T14" s="35" t="s">
        <v>275</v>
      </c>
      <c r="U14" s="35"/>
      <c r="V14" s="35"/>
      <c r="W14" s="35"/>
      <c r="X14" s="36"/>
      <c r="Y14" s="36"/>
      <c r="Z14" s="36" t="n">
        <v>46181</v>
      </c>
      <c r="AA14" s="36"/>
      <c r="AB14" s="36"/>
      <c r="AC14" s="36" t="n">
        <v>46198</v>
      </c>
      <c r="AD14" s="36" t="n">
        <v>46205</v>
      </c>
      <c r="AE14" s="35" t="s">
        <v>298</v>
      </c>
      <c r="AF14" s="35"/>
      <c r="AG14" s="36"/>
      <c r="AH14" s="36" t="n">
        <v>46206</v>
      </c>
      <c r="AI14" s="36" t="n">
        <v>46253</v>
      </c>
      <c r="AJ14" s="35" t="s">
        <v>298</v>
      </c>
      <c r="AK14" s="35"/>
      <c r="AL14" s="35"/>
      <c r="AM14" s="36"/>
      <c r="AN14" s="36"/>
      <c r="AO14" s="36"/>
      <c r="AP14" s="35" t="s">
        <v>279</v>
      </c>
      <c r="AQ14" s="35" t="s">
        <v>279</v>
      </c>
      <c r="AR14" s="37" t="n">
        <f aca="false">IF(A14="","",COUNTIF(MDT!$B$5:$B$104,A14))</f>
        <v>2</v>
      </c>
      <c r="AS14" s="37" t="n">
        <f aca="false">IF(A14="","",COUNTIFS(MDT!$B$5:$B$104,A14,MDT!$E$5:$E$104,"נדחה — מידע חסר"))</f>
        <v>1</v>
      </c>
      <c r="AT14" s="36"/>
      <c r="AU14" s="35"/>
      <c r="AV14" s="33" t="str">
        <f aca="false">IF(OR(X14="",Z14=""),"",Z14-X14)</f>
        <v/>
      </c>
      <c r="AW14" s="37" t="n">
        <f aca="false">IF(OR(Z14="",AC14=""),"",AC14-Z14)</f>
        <v>17</v>
      </c>
      <c r="AX14" s="37" t="n">
        <f aca="false">IF(OR(AD14="",AI14=""),"",AI14-AD14)</f>
        <v>48</v>
      </c>
      <c r="AY14" s="37" t="n">
        <f aca="false">IF(OR(Z14="",AI14=""),"",AI14-Z14)</f>
        <v>72</v>
      </c>
      <c r="AZ14" s="38" t="n">
        <f aca="false">IF(AY14="","",IF(AY14&lt;=30,1,0))</f>
        <v>0</v>
      </c>
      <c r="BA14" s="38" t="n">
        <f aca="false">IF(AY14="","",IF(AY14&gt;60,1,0))</f>
        <v>1</v>
      </c>
      <c r="BB14" s="38" t="n">
        <f aca="false">IF(AY14="","",IF(AY14&gt;67,1,0))</f>
        <v>1</v>
      </c>
      <c r="BC14" s="38" t="str">
        <f aca="false">IF(OR(AJ14&lt;&gt;"ניתוח",AX14=""),"",IF(AX14&lt;=30,1,0))</f>
        <v/>
      </c>
      <c r="BD14" s="37" t="str">
        <f aca="false">IF(OR(AG14="",AI14="",AJ14&lt;&gt;"ניתוח"),"",AI14-AG14)</f>
        <v/>
      </c>
      <c r="BE14" s="33" t="n">
        <f aca="false">IF(OR(AH14="",AI14="",AND(AJ14&lt;&gt;"הקרנות",AJ14&lt;&gt;"כימו-הקרנות")),"",AI14-AH14)</f>
        <v>47</v>
      </c>
      <c r="BF14" s="37" t="str">
        <f aca="false">IF(OR(AJ14&lt;&gt;"ניתוח",AI14="",AN14=""),"",AN14-AI14)</f>
        <v/>
      </c>
      <c r="BG14" s="37" t="str">
        <f aca="false">IF(OR(AJ14&lt;&gt;"ניתוח",AI14="",AO14=""),"",AO14-AI14)</f>
        <v/>
      </c>
      <c r="BH14" s="38" t="str">
        <f aca="false">IF(BG14="","",IF(BG14&lt;=42,1,0))</f>
        <v/>
      </c>
      <c r="BI14" s="35"/>
    </row>
    <row r="15" customFormat="false" ht="15" hidden="false" customHeight="true" outlineLevel="0" collapsed="false">
      <c r="A15" s="33" t="str">
        <f aca="false">IF(OR(B15="",C15="",D15="",Z15=""),"","ENT-"&amp;RIGHT(YEAR(Z15),2)&amp;"-"&amp;TEXT(B15,"000")&amp;"-"&amp;C15&amp;"-"&amp;D15&amp;"-"&amp;TEXT(MONTH(Z15),"00"))</f>
        <v>ENT-26-010-TON-L-06</v>
      </c>
      <c r="B15" s="34" t="n">
        <v>10</v>
      </c>
      <c r="C15" s="35" t="s">
        <v>306</v>
      </c>
      <c r="D15" s="35" t="s">
        <v>284</v>
      </c>
      <c r="E15" s="36"/>
      <c r="F15" s="35"/>
      <c r="G15" s="35" t="n">
        <v>53</v>
      </c>
      <c r="H15" s="35" t="s">
        <v>289</v>
      </c>
      <c r="I15" s="35" t="s">
        <v>285</v>
      </c>
      <c r="J15" s="35"/>
      <c r="K15" s="35"/>
      <c r="L15" s="35"/>
      <c r="M15" s="35"/>
      <c r="N15" s="35"/>
      <c r="O15" s="35"/>
      <c r="P15" s="35" t="s">
        <v>271</v>
      </c>
      <c r="Q15" s="35" t="s">
        <v>286</v>
      </c>
      <c r="R15" s="35" t="s">
        <v>273</v>
      </c>
      <c r="S15" s="35" t="s">
        <v>297</v>
      </c>
      <c r="T15" s="35" t="s">
        <v>276</v>
      </c>
      <c r="U15" s="35"/>
      <c r="V15" s="35"/>
      <c r="W15" s="35"/>
      <c r="X15" s="36"/>
      <c r="Y15" s="36"/>
      <c r="Z15" s="36" t="n">
        <v>46182</v>
      </c>
      <c r="AA15" s="36"/>
      <c r="AB15" s="36"/>
      <c r="AC15" s="36" t="n">
        <v>46191</v>
      </c>
      <c r="AD15" s="36" t="n">
        <v>46191</v>
      </c>
      <c r="AE15" s="35" t="s">
        <v>277</v>
      </c>
      <c r="AF15" s="35"/>
      <c r="AG15" s="36"/>
      <c r="AH15" s="36" t="n">
        <v>46192</v>
      </c>
      <c r="AI15" s="36" t="n">
        <v>46228</v>
      </c>
      <c r="AJ15" s="35" t="s">
        <v>277</v>
      </c>
      <c r="AK15" s="35"/>
      <c r="AL15" s="35"/>
      <c r="AM15" s="36"/>
      <c r="AN15" s="36"/>
      <c r="AO15" s="36"/>
      <c r="AP15" s="35" t="s">
        <v>279</v>
      </c>
      <c r="AQ15" s="35" t="s">
        <v>280</v>
      </c>
      <c r="AR15" s="37" t="n">
        <f aca="false">IF(A15="","",COUNTIF(MDT!$B$5:$B$104,A15))</f>
        <v>1</v>
      </c>
      <c r="AS15" s="37" t="n">
        <f aca="false">IF(A15="","",COUNTIFS(MDT!$B$5:$B$104,A15,MDT!$E$5:$E$104,"נדחה — מידע חסר"))</f>
        <v>0</v>
      </c>
      <c r="AT15" s="36"/>
      <c r="AU15" s="35"/>
      <c r="AV15" s="33" t="str">
        <f aca="false">IF(OR(X15="",Z15=""),"",Z15-X15)</f>
        <v/>
      </c>
      <c r="AW15" s="37" t="n">
        <f aca="false">IF(OR(Z15="",AC15=""),"",AC15-Z15)</f>
        <v>9</v>
      </c>
      <c r="AX15" s="37" t="n">
        <f aca="false">IF(OR(AD15="",AI15=""),"",AI15-AD15)</f>
        <v>37</v>
      </c>
      <c r="AY15" s="37" t="n">
        <f aca="false">IF(OR(Z15="",AI15=""),"",AI15-Z15)</f>
        <v>46</v>
      </c>
      <c r="AZ15" s="38" t="n">
        <f aca="false">IF(AY15="","",IF(AY15&lt;=30,1,0))</f>
        <v>0</v>
      </c>
      <c r="BA15" s="38" t="n">
        <f aca="false">IF(AY15="","",IF(AY15&gt;60,1,0))</f>
        <v>0</v>
      </c>
      <c r="BB15" s="38" t="n">
        <f aca="false">IF(AY15="","",IF(AY15&gt;67,1,0))</f>
        <v>0</v>
      </c>
      <c r="BC15" s="38" t="str">
        <f aca="false">IF(OR(AJ15&lt;&gt;"ניתוח",AX15=""),"",IF(AX15&lt;=30,1,0))</f>
        <v/>
      </c>
      <c r="BD15" s="37" t="str">
        <f aca="false">IF(OR(AG15="",AI15="",AJ15&lt;&gt;"ניתוח"),"",AI15-AG15)</f>
        <v/>
      </c>
      <c r="BE15" s="33" t="n">
        <f aca="false">IF(OR(AH15="",AI15="",AND(AJ15&lt;&gt;"הקרנות",AJ15&lt;&gt;"כימו-הקרנות")),"",AI15-AH15)</f>
        <v>36</v>
      </c>
      <c r="BF15" s="37" t="str">
        <f aca="false">IF(OR(AJ15&lt;&gt;"ניתוח",AI15="",AN15=""),"",AN15-AI15)</f>
        <v/>
      </c>
      <c r="BG15" s="37" t="str">
        <f aca="false">IF(OR(AJ15&lt;&gt;"ניתוח",AI15="",AO15=""),"",AO15-AI15)</f>
        <v/>
      </c>
      <c r="BH15" s="38" t="str">
        <f aca="false">IF(BG15="","",IF(BG15&lt;=42,1,0))</f>
        <v/>
      </c>
      <c r="BI15" s="35"/>
    </row>
    <row r="16" customFormat="false" ht="15" hidden="false" customHeight="true" outlineLevel="0" collapsed="false">
      <c r="A16" s="33" t="str">
        <f aca="false">IF(OR(B16="",C16="",D16="",Z16=""),"","ENT-"&amp;RIGHT(YEAR(Z16),2)&amp;"-"&amp;TEXT(B16,"000")&amp;"-"&amp;C16&amp;"-"&amp;D16&amp;"-"&amp;TEXT(MONTH(Z16),"00"))</f>
        <v>ENT-26-011-PAR-R-06</v>
      </c>
      <c r="B16" s="34" t="n">
        <v>11</v>
      </c>
      <c r="C16" s="35" t="s">
        <v>307</v>
      </c>
      <c r="D16" s="35" t="s">
        <v>295</v>
      </c>
      <c r="E16" s="36"/>
      <c r="F16" s="35"/>
      <c r="G16" s="35" t="n">
        <v>72</v>
      </c>
      <c r="H16" s="35" t="s">
        <v>265</v>
      </c>
      <c r="I16" s="35" t="s">
        <v>20</v>
      </c>
      <c r="J16" s="35"/>
      <c r="K16" s="35"/>
      <c r="L16" s="35"/>
      <c r="M16" s="35"/>
      <c r="N16" s="35"/>
      <c r="O16" s="35"/>
      <c r="P16" s="35" t="s">
        <v>293</v>
      </c>
      <c r="Q16" s="35" t="s">
        <v>290</v>
      </c>
      <c r="R16" s="35" t="s">
        <v>273</v>
      </c>
      <c r="S16" s="35" t="s">
        <v>274</v>
      </c>
      <c r="T16" s="35" t="s">
        <v>275</v>
      </c>
      <c r="U16" s="35"/>
      <c r="V16" s="35"/>
      <c r="W16" s="35"/>
      <c r="X16" s="36"/>
      <c r="Y16" s="36"/>
      <c r="Z16" s="36" t="n">
        <v>46183</v>
      </c>
      <c r="AA16" s="36"/>
      <c r="AB16" s="36"/>
      <c r="AC16" s="36" t="n">
        <v>46198</v>
      </c>
      <c r="AD16" s="36" t="n">
        <v>46198</v>
      </c>
      <c r="AE16" s="35" t="s">
        <v>287</v>
      </c>
      <c r="AF16" s="35"/>
      <c r="AG16" s="36" t="n">
        <v>46199</v>
      </c>
      <c r="AH16" s="36"/>
      <c r="AI16" s="36" t="n">
        <v>46217</v>
      </c>
      <c r="AJ16" s="35" t="s">
        <v>287</v>
      </c>
      <c r="AK16" s="35"/>
      <c r="AL16" s="35"/>
      <c r="AM16" s="36"/>
      <c r="AN16" s="36" t="n">
        <v>46233</v>
      </c>
      <c r="AO16" s="36" t="n">
        <v>46263</v>
      </c>
      <c r="AP16" s="35" t="s">
        <v>280</v>
      </c>
      <c r="AQ16" s="35" t="s">
        <v>280</v>
      </c>
      <c r="AR16" s="37" t="n">
        <f aca="false">IF(A16="","",COUNTIF(MDT!$B$5:$B$104,A16))</f>
        <v>2</v>
      </c>
      <c r="AS16" s="37" t="n">
        <f aca="false">IF(A16="","",COUNTIFS(MDT!$B$5:$B$104,A16,MDT!$E$5:$E$104,"נדחה — מידע חסר"))</f>
        <v>0</v>
      </c>
      <c r="AT16" s="36"/>
      <c r="AU16" s="35"/>
      <c r="AV16" s="33" t="str">
        <f aca="false">IF(OR(X16="",Z16=""),"",Z16-X16)</f>
        <v/>
      </c>
      <c r="AW16" s="37" t="n">
        <f aca="false">IF(OR(Z16="",AC16=""),"",AC16-Z16)</f>
        <v>15</v>
      </c>
      <c r="AX16" s="37" t="n">
        <f aca="false">IF(OR(AD16="",AI16=""),"",AI16-AD16)</f>
        <v>19</v>
      </c>
      <c r="AY16" s="37" t="n">
        <f aca="false">IF(OR(Z16="",AI16=""),"",AI16-Z16)</f>
        <v>34</v>
      </c>
      <c r="AZ16" s="38" t="n">
        <f aca="false">IF(AY16="","",IF(AY16&lt;=30,1,0))</f>
        <v>0</v>
      </c>
      <c r="BA16" s="38" t="n">
        <f aca="false">IF(AY16="","",IF(AY16&gt;60,1,0))</f>
        <v>0</v>
      </c>
      <c r="BB16" s="38" t="n">
        <f aca="false">IF(AY16="","",IF(AY16&gt;67,1,0))</f>
        <v>0</v>
      </c>
      <c r="BC16" s="38" t="n">
        <f aca="false">IF(OR(AJ16&lt;&gt;"ניתוח",AX16=""),"",IF(AX16&lt;=30,1,0))</f>
        <v>1</v>
      </c>
      <c r="BD16" s="37" t="n">
        <f aca="false">IF(OR(AG16="",AI16="",AJ16&lt;&gt;"ניתוח"),"",AI16-AG16)</f>
        <v>18</v>
      </c>
      <c r="BE16" s="33" t="str">
        <f aca="false">IF(OR(AH16="",AI16="",AND(AJ16&lt;&gt;"הקרנות",AJ16&lt;&gt;"כימו-הקרנות")),"",AI16-AH16)</f>
        <v/>
      </c>
      <c r="BF16" s="37" t="n">
        <f aca="false">IF(OR(AJ16&lt;&gt;"ניתוח",AI16="",AN16=""),"",AN16-AI16)</f>
        <v>16</v>
      </c>
      <c r="BG16" s="37" t="n">
        <f aca="false">IF(OR(AJ16&lt;&gt;"ניתוח",AI16="",AO16=""),"",AO16-AI16)</f>
        <v>46</v>
      </c>
      <c r="BH16" s="38" t="n">
        <f aca="false">IF(BG16="","",IF(BG16&lt;=42,1,0))</f>
        <v>0</v>
      </c>
      <c r="BI16" s="35"/>
    </row>
    <row r="17" customFormat="false" ht="15" hidden="false" customHeight="true" outlineLevel="0" collapsed="false">
      <c r="A17" s="33" t="str">
        <f aca="false">IF(OR(B17="",C17="",D17="",Z17=""),"","ENT-"&amp;RIGHT(YEAR(Z17),2)&amp;"-"&amp;TEXT(B17,"000")&amp;"-"&amp;C17&amp;"-"&amp;D17&amp;"-"&amp;TEXT(MONTH(Z17),"00"))</f>
        <v>ENT-26-012-CUP-R-06</v>
      </c>
      <c r="B17" s="34" t="n">
        <v>12</v>
      </c>
      <c r="C17" s="35" t="s">
        <v>308</v>
      </c>
      <c r="D17" s="35" t="s">
        <v>295</v>
      </c>
      <c r="E17" s="36"/>
      <c r="F17" s="35"/>
      <c r="G17" s="35" t="n">
        <v>69</v>
      </c>
      <c r="H17" s="35" t="s">
        <v>265</v>
      </c>
      <c r="I17" s="35" t="s">
        <v>20</v>
      </c>
      <c r="J17" s="35"/>
      <c r="K17" s="35"/>
      <c r="L17" s="35"/>
      <c r="M17" s="35"/>
      <c r="N17" s="35"/>
      <c r="O17" s="35"/>
      <c r="P17" s="35" t="s">
        <v>309</v>
      </c>
      <c r="Q17" s="35" t="s">
        <v>286</v>
      </c>
      <c r="R17" s="35" t="s">
        <v>273</v>
      </c>
      <c r="S17" s="35" t="s">
        <v>297</v>
      </c>
      <c r="T17" s="35" t="s">
        <v>276</v>
      </c>
      <c r="U17" s="35"/>
      <c r="V17" s="35"/>
      <c r="W17" s="35"/>
      <c r="X17" s="36"/>
      <c r="Y17" s="36"/>
      <c r="Z17" s="36" t="n">
        <v>46184</v>
      </c>
      <c r="AA17" s="36"/>
      <c r="AB17" s="36"/>
      <c r="AC17" s="36" t="n">
        <v>46205</v>
      </c>
      <c r="AD17" s="36" t="n">
        <v>46205</v>
      </c>
      <c r="AE17" s="35" t="s">
        <v>277</v>
      </c>
      <c r="AF17" s="35"/>
      <c r="AG17" s="36"/>
      <c r="AH17" s="36" t="n">
        <v>46206</v>
      </c>
      <c r="AI17" s="36" t="n">
        <v>46242</v>
      </c>
      <c r="AJ17" s="35" t="s">
        <v>277</v>
      </c>
      <c r="AK17" s="35"/>
      <c r="AL17" s="35"/>
      <c r="AM17" s="36"/>
      <c r="AN17" s="36"/>
      <c r="AO17" s="36"/>
      <c r="AP17" s="35" t="s">
        <v>279</v>
      </c>
      <c r="AQ17" s="35" t="s">
        <v>279</v>
      </c>
      <c r="AR17" s="37" t="n">
        <f aca="false">IF(A17="","",COUNTIF(MDT!$B$5:$B$104,A17))</f>
        <v>1</v>
      </c>
      <c r="AS17" s="37" t="n">
        <f aca="false">IF(A17="","",COUNTIFS(MDT!$B$5:$B$104,A17,MDT!$E$5:$E$104,"נדחה — מידע חסר"))</f>
        <v>0</v>
      </c>
      <c r="AT17" s="36"/>
      <c r="AU17" s="35"/>
      <c r="AV17" s="33" t="str">
        <f aca="false">IF(OR(X17="",Z17=""),"",Z17-X17)</f>
        <v/>
      </c>
      <c r="AW17" s="37" t="n">
        <f aca="false">IF(OR(Z17="",AC17=""),"",AC17-Z17)</f>
        <v>21</v>
      </c>
      <c r="AX17" s="37" t="n">
        <f aca="false">IF(OR(AD17="",AI17=""),"",AI17-AD17)</f>
        <v>37</v>
      </c>
      <c r="AY17" s="37" t="n">
        <f aca="false">IF(OR(Z17="",AI17=""),"",AI17-Z17)</f>
        <v>58</v>
      </c>
      <c r="AZ17" s="38" t="n">
        <f aca="false">IF(AY17="","",IF(AY17&lt;=30,1,0))</f>
        <v>0</v>
      </c>
      <c r="BA17" s="38" t="n">
        <f aca="false">IF(AY17="","",IF(AY17&gt;60,1,0))</f>
        <v>0</v>
      </c>
      <c r="BB17" s="38" t="n">
        <f aca="false">IF(AY17="","",IF(AY17&gt;67,1,0))</f>
        <v>0</v>
      </c>
      <c r="BC17" s="38" t="str">
        <f aca="false">IF(OR(AJ17&lt;&gt;"ניתוח",AX17=""),"",IF(AX17&lt;=30,1,0))</f>
        <v/>
      </c>
      <c r="BD17" s="37" t="str">
        <f aca="false">IF(OR(AG17="",AI17="",AJ17&lt;&gt;"ניתוח"),"",AI17-AG17)</f>
        <v/>
      </c>
      <c r="BE17" s="33" t="n">
        <f aca="false">IF(OR(AH17="",AI17="",AND(AJ17&lt;&gt;"הקרנות",AJ17&lt;&gt;"כימו-הקרנות")),"",AI17-AH17)</f>
        <v>36</v>
      </c>
      <c r="BF17" s="37" t="str">
        <f aca="false">IF(OR(AJ17&lt;&gt;"ניתוח",AI17="",AN17=""),"",AN17-AI17)</f>
        <v/>
      </c>
      <c r="BG17" s="37" t="str">
        <f aca="false">IF(OR(AJ17&lt;&gt;"ניתוח",AI17="",AO17=""),"",AO17-AI17)</f>
        <v/>
      </c>
      <c r="BH17" s="38" t="str">
        <f aca="false">IF(BG17="","",IF(BG17&lt;=42,1,0))</f>
        <v/>
      </c>
      <c r="BI17" s="35"/>
    </row>
    <row r="18" customFormat="false" ht="15" hidden="false" customHeight="true" outlineLevel="0" collapsed="false">
      <c r="A18" s="33" t="str">
        <f aca="false">IF(OR(B18="",C18="",D18="",Z18=""),"","ENT-"&amp;RIGHT(YEAR(Z18),2)&amp;"-"&amp;TEXT(B18,"000")&amp;"-"&amp;C18&amp;"-"&amp;D18&amp;"-"&amp;TEXT(MONTH(Z18),"00"))</f>
        <v>ENT-26-013-BUC-L-06</v>
      </c>
      <c r="B18" s="34" t="n">
        <v>13</v>
      </c>
      <c r="C18" s="35" t="s">
        <v>310</v>
      </c>
      <c r="D18" s="35" t="s">
        <v>284</v>
      </c>
      <c r="E18" s="36"/>
      <c r="F18" s="35"/>
      <c r="G18" s="35" t="n">
        <v>64</v>
      </c>
      <c r="H18" s="35" t="s">
        <v>289</v>
      </c>
      <c r="I18" s="35" t="s">
        <v>20</v>
      </c>
      <c r="J18" s="35"/>
      <c r="K18" s="35"/>
      <c r="L18" s="35"/>
      <c r="M18" s="35"/>
      <c r="N18" s="35"/>
      <c r="O18" s="35"/>
      <c r="P18" s="35" t="s">
        <v>293</v>
      </c>
      <c r="Q18" s="35" t="s">
        <v>300</v>
      </c>
      <c r="R18" s="35" t="s">
        <v>273</v>
      </c>
      <c r="S18" s="35" t="s">
        <v>301</v>
      </c>
      <c r="T18" s="35" t="s">
        <v>275</v>
      </c>
      <c r="U18" s="35"/>
      <c r="V18" s="35"/>
      <c r="W18" s="35"/>
      <c r="X18" s="36"/>
      <c r="Y18" s="36"/>
      <c r="Z18" s="36" t="n">
        <v>46185</v>
      </c>
      <c r="AA18" s="36"/>
      <c r="AB18" s="36"/>
      <c r="AC18" s="36" t="n">
        <v>46198</v>
      </c>
      <c r="AD18" s="36" t="n">
        <v>46205</v>
      </c>
      <c r="AE18" s="35" t="s">
        <v>287</v>
      </c>
      <c r="AF18" s="35"/>
      <c r="AG18" s="36" t="n">
        <v>46206</v>
      </c>
      <c r="AH18" s="36"/>
      <c r="AI18" s="36" t="n">
        <v>46223</v>
      </c>
      <c r="AJ18" s="35" t="s">
        <v>287</v>
      </c>
      <c r="AK18" s="35"/>
      <c r="AL18" s="35"/>
      <c r="AM18" s="36"/>
      <c r="AN18" s="36" t="n">
        <v>46240</v>
      </c>
      <c r="AO18" s="36"/>
      <c r="AP18" s="35" t="s">
        <v>279</v>
      </c>
      <c r="AQ18" s="35" t="s">
        <v>280</v>
      </c>
      <c r="AR18" s="37" t="n">
        <f aca="false">IF(A18="","",COUNTIF(MDT!$B$5:$B$104,A18))</f>
        <v>3</v>
      </c>
      <c r="AS18" s="37" t="n">
        <f aca="false">IF(A18="","",COUNTIFS(MDT!$B$5:$B$104,A18,MDT!$E$5:$E$104,"נדחה — מידע חסר"))</f>
        <v>1</v>
      </c>
      <c r="AT18" s="36"/>
      <c r="AU18" s="35"/>
      <c r="AV18" s="33" t="str">
        <f aca="false">IF(OR(X18="",Z18=""),"",Z18-X18)</f>
        <v/>
      </c>
      <c r="AW18" s="37" t="n">
        <f aca="false">IF(OR(Z18="",AC18=""),"",AC18-Z18)</f>
        <v>13</v>
      </c>
      <c r="AX18" s="37" t="n">
        <f aca="false">IF(OR(AD18="",AI18=""),"",AI18-AD18)</f>
        <v>18</v>
      </c>
      <c r="AY18" s="37" t="n">
        <f aca="false">IF(OR(Z18="",AI18=""),"",AI18-Z18)</f>
        <v>38</v>
      </c>
      <c r="AZ18" s="38" t="n">
        <f aca="false">IF(AY18="","",IF(AY18&lt;=30,1,0))</f>
        <v>0</v>
      </c>
      <c r="BA18" s="38" t="n">
        <f aca="false">IF(AY18="","",IF(AY18&gt;60,1,0))</f>
        <v>0</v>
      </c>
      <c r="BB18" s="38" t="n">
        <f aca="false">IF(AY18="","",IF(AY18&gt;67,1,0))</f>
        <v>0</v>
      </c>
      <c r="BC18" s="38" t="n">
        <f aca="false">IF(OR(AJ18&lt;&gt;"ניתוח",AX18=""),"",IF(AX18&lt;=30,1,0))</f>
        <v>1</v>
      </c>
      <c r="BD18" s="37" t="n">
        <f aca="false">IF(OR(AG18="",AI18="",AJ18&lt;&gt;"ניתוח"),"",AI18-AG18)</f>
        <v>17</v>
      </c>
      <c r="BE18" s="33" t="str">
        <f aca="false">IF(OR(AH18="",AI18="",AND(AJ18&lt;&gt;"הקרנות",AJ18&lt;&gt;"כימו-הקרנות")),"",AI18-AH18)</f>
        <v/>
      </c>
      <c r="BF18" s="37" t="n">
        <f aca="false">IF(OR(AJ18&lt;&gt;"ניתוח",AI18="",AN18=""),"",AN18-AI18)</f>
        <v>17</v>
      </c>
      <c r="BG18" s="37" t="str">
        <f aca="false">IF(OR(AJ18&lt;&gt;"ניתוח",AI18="",AO18=""),"",AO18-AI18)</f>
        <v/>
      </c>
      <c r="BH18" s="38" t="str">
        <f aca="false">IF(BG18="","",IF(BG18&lt;=42,1,0))</f>
        <v/>
      </c>
      <c r="BI18" s="35"/>
    </row>
    <row r="19" customFormat="false" ht="15" hidden="false" customHeight="true" outlineLevel="0" collapsed="false">
      <c r="A19" s="33" t="str">
        <f aca="false">IF(OR(B19="",C19="",D19="",Z19=""),"","ENT-"&amp;RIGHT(YEAR(Z19),2)&amp;"-"&amp;TEXT(B19,"000")&amp;"-"&amp;C19&amp;"-"&amp;D19&amp;"-"&amp;TEXT(MONTH(Z19),"00"))</f>
        <v>ENT-26-014-NPC-M-06</v>
      </c>
      <c r="B19" s="34" t="n">
        <v>14</v>
      </c>
      <c r="C19" s="35" t="s">
        <v>11</v>
      </c>
      <c r="D19" s="35" t="s">
        <v>13</v>
      </c>
      <c r="E19" s="36"/>
      <c r="F19" s="35"/>
      <c r="G19" s="35" t="n">
        <v>58</v>
      </c>
      <c r="H19" s="35" t="s">
        <v>289</v>
      </c>
      <c r="I19" s="35" t="s">
        <v>285</v>
      </c>
      <c r="J19" s="35"/>
      <c r="K19" s="35"/>
      <c r="L19" s="35"/>
      <c r="M19" s="35"/>
      <c r="N19" s="35"/>
      <c r="O19" s="35"/>
      <c r="P19" s="35" t="s">
        <v>293</v>
      </c>
      <c r="Q19" s="35" t="s">
        <v>286</v>
      </c>
      <c r="R19" s="35" t="s">
        <v>273</v>
      </c>
      <c r="S19" s="35" t="s">
        <v>274</v>
      </c>
      <c r="T19" s="35" t="s">
        <v>275</v>
      </c>
      <c r="U19" s="35"/>
      <c r="V19" s="35"/>
      <c r="W19" s="35"/>
      <c r="X19" s="36"/>
      <c r="Y19" s="36"/>
      <c r="Z19" s="36" t="n">
        <v>46185</v>
      </c>
      <c r="AA19" s="36"/>
      <c r="AB19" s="36"/>
      <c r="AC19" s="36" t="n">
        <v>46198</v>
      </c>
      <c r="AD19" s="36" t="n">
        <v>46198</v>
      </c>
      <c r="AE19" s="35" t="s">
        <v>277</v>
      </c>
      <c r="AF19" s="35"/>
      <c r="AG19" s="36"/>
      <c r="AH19" s="36" t="n">
        <v>46199</v>
      </c>
      <c r="AI19" s="36" t="n">
        <v>46237</v>
      </c>
      <c r="AJ19" s="35" t="s">
        <v>277</v>
      </c>
      <c r="AK19" s="35"/>
      <c r="AL19" s="35"/>
      <c r="AM19" s="36"/>
      <c r="AN19" s="36"/>
      <c r="AO19" s="36"/>
      <c r="AP19" s="35" t="s">
        <v>279</v>
      </c>
      <c r="AQ19" s="35" t="s">
        <v>280</v>
      </c>
      <c r="AR19" s="37" t="n">
        <f aca="false">IF(A19="","",COUNTIF(MDT!$B$5:$B$104,A19))</f>
        <v>1</v>
      </c>
      <c r="AS19" s="37" t="n">
        <f aca="false">IF(A19="","",COUNTIFS(MDT!$B$5:$B$104,A19,MDT!$E$5:$E$104,"נדחה — מידע חסר"))</f>
        <v>0</v>
      </c>
      <c r="AT19" s="36"/>
      <c r="AU19" s="35"/>
      <c r="AV19" s="33" t="str">
        <f aca="false">IF(OR(X19="",Z19=""),"",Z19-X19)</f>
        <v/>
      </c>
      <c r="AW19" s="37" t="n">
        <f aca="false">IF(OR(Z19="",AC19=""),"",AC19-Z19)</f>
        <v>13</v>
      </c>
      <c r="AX19" s="37" t="n">
        <f aca="false">IF(OR(AD19="",AI19=""),"",AI19-AD19)</f>
        <v>39</v>
      </c>
      <c r="AY19" s="37" t="n">
        <f aca="false">IF(OR(Z19="",AI19=""),"",AI19-Z19)</f>
        <v>52</v>
      </c>
      <c r="AZ19" s="38" t="n">
        <f aca="false">IF(AY19="","",IF(AY19&lt;=30,1,0))</f>
        <v>0</v>
      </c>
      <c r="BA19" s="38" t="n">
        <f aca="false">IF(AY19="","",IF(AY19&gt;60,1,0))</f>
        <v>0</v>
      </c>
      <c r="BB19" s="38" t="n">
        <f aca="false">IF(AY19="","",IF(AY19&gt;67,1,0))</f>
        <v>0</v>
      </c>
      <c r="BC19" s="38" t="str">
        <f aca="false">IF(OR(AJ19&lt;&gt;"ניתוח",AX19=""),"",IF(AX19&lt;=30,1,0))</f>
        <v/>
      </c>
      <c r="BD19" s="37" t="str">
        <f aca="false">IF(OR(AG19="",AI19="",AJ19&lt;&gt;"ניתוח"),"",AI19-AG19)</f>
        <v/>
      </c>
      <c r="BE19" s="33" t="n">
        <f aca="false">IF(OR(AH19="",AI19="",AND(AJ19&lt;&gt;"הקרנות",AJ19&lt;&gt;"כימו-הקרנות")),"",AI19-AH19)</f>
        <v>38</v>
      </c>
      <c r="BF19" s="37" t="str">
        <f aca="false">IF(OR(AJ19&lt;&gt;"ניתוח",AI19="",AN19=""),"",AN19-AI19)</f>
        <v/>
      </c>
      <c r="BG19" s="37" t="str">
        <f aca="false">IF(OR(AJ19&lt;&gt;"ניתוח",AI19="",AO19=""),"",AO19-AI19)</f>
        <v/>
      </c>
      <c r="BH19" s="38" t="str">
        <f aca="false">IF(BG19="","",IF(BG19&lt;=42,1,0))</f>
        <v/>
      </c>
      <c r="BI19" s="35"/>
    </row>
    <row r="20" customFormat="false" ht="15" hidden="false" customHeight="true" outlineLevel="0" collapsed="false">
      <c r="A20" s="33" t="str">
        <f aca="false">IF(OR(B20="",C20="",D20="",Z20=""),"","ENT-"&amp;RIGHT(YEAR(Z20),2)&amp;"-"&amp;TEXT(B20,"000")&amp;"-"&amp;C20&amp;"-"&amp;D20&amp;"-"&amp;TEXT(MONTH(Z20),"00"))</f>
        <v>ENT-26-015-TON-R-06</v>
      </c>
      <c r="B20" s="34" t="n">
        <v>15</v>
      </c>
      <c r="C20" s="35" t="s">
        <v>306</v>
      </c>
      <c r="D20" s="35" t="s">
        <v>295</v>
      </c>
      <c r="E20" s="36"/>
      <c r="F20" s="35"/>
      <c r="G20" s="35" t="n">
        <v>59</v>
      </c>
      <c r="H20" s="35" t="s">
        <v>265</v>
      </c>
      <c r="I20" s="35" t="s">
        <v>285</v>
      </c>
      <c r="J20" s="35"/>
      <c r="K20" s="35"/>
      <c r="L20" s="35"/>
      <c r="M20" s="35"/>
      <c r="N20" s="35"/>
      <c r="O20" s="35"/>
      <c r="P20" s="35" t="s">
        <v>311</v>
      </c>
      <c r="Q20" s="35" t="s">
        <v>286</v>
      </c>
      <c r="R20" s="35" t="s">
        <v>273</v>
      </c>
      <c r="S20" s="35" t="s">
        <v>297</v>
      </c>
      <c r="T20" s="35" t="s">
        <v>276</v>
      </c>
      <c r="U20" s="35"/>
      <c r="V20" s="35"/>
      <c r="W20" s="35"/>
      <c r="X20" s="36"/>
      <c r="Y20" s="36"/>
      <c r="Z20" s="36" t="n">
        <v>46188</v>
      </c>
      <c r="AA20" s="36"/>
      <c r="AB20" s="36"/>
      <c r="AC20" s="36" t="n">
        <v>46198</v>
      </c>
      <c r="AD20" s="36" t="n">
        <v>46198</v>
      </c>
      <c r="AE20" s="35" t="s">
        <v>287</v>
      </c>
      <c r="AF20" s="35"/>
      <c r="AG20" s="36" t="n">
        <v>46199</v>
      </c>
      <c r="AH20" s="36"/>
      <c r="AI20" s="36" t="n">
        <v>46215</v>
      </c>
      <c r="AJ20" s="35" t="s">
        <v>287</v>
      </c>
      <c r="AK20" s="35"/>
      <c r="AL20" s="35"/>
      <c r="AM20" s="36"/>
      <c r="AN20" s="36"/>
      <c r="AO20" s="36"/>
      <c r="AP20" s="35" t="s">
        <v>280</v>
      </c>
      <c r="AQ20" s="35" t="s">
        <v>280</v>
      </c>
      <c r="AR20" s="37" t="n">
        <f aca="false">IF(A20="","",COUNTIF(MDT!$B$5:$B$104,A20))</f>
        <v>1</v>
      </c>
      <c r="AS20" s="37" t="n">
        <f aca="false">IF(A20="","",COUNTIFS(MDT!$B$5:$B$104,A20,MDT!$E$5:$E$104,"נדחה — מידע חסר"))</f>
        <v>0</v>
      </c>
      <c r="AT20" s="36"/>
      <c r="AU20" s="35"/>
      <c r="AV20" s="33" t="str">
        <f aca="false">IF(OR(X20="",Z20=""),"",Z20-X20)</f>
        <v/>
      </c>
      <c r="AW20" s="37" t="n">
        <f aca="false">IF(OR(Z20="",AC20=""),"",AC20-Z20)</f>
        <v>10</v>
      </c>
      <c r="AX20" s="37" t="n">
        <f aca="false">IF(OR(AD20="",AI20=""),"",AI20-AD20)</f>
        <v>17</v>
      </c>
      <c r="AY20" s="37" t="n">
        <f aca="false">IF(OR(Z20="",AI20=""),"",AI20-Z20)</f>
        <v>27</v>
      </c>
      <c r="AZ20" s="38" t="n">
        <f aca="false">IF(AY20="","",IF(AY20&lt;=30,1,0))</f>
        <v>1</v>
      </c>
      <c r="BA20" s="38" t="n">
        <f aca="false">IF(AY20="","",IF(AY20&gt;60,1,0))</f>
        <v>0</v>
      </c>
      <c r="BB20" s="38" t="n">
        <f aca="false">IF(AY20="","",IF(AY20&gt;67,1,0))</f>
        <v>0</v>
      </c>
      <c r="BC20" s="38" t="n">
        <f aca="false">IF(OR(AJ20&lt;&gt;"ניתוח",AX20=""),"",IF(AX20&lt;=30,1,0))</f>
        <v>1</v>
      </c>
      <c r="BD20" s="37" t="n">
        <f aca="false">IF(OR(AG20="",AI20="",AJ20&lt;&gt;"ניתוח"),"",AI20-AG20)</f>
        <v>16</v>
      </c>
      <c r="BE20" s="33" t="str">
        <f aca="false">IF(OR(AH20="",AI20="",AND(AJ20&lt;&gt;"הקרנות",AJ20&lt;&gt;"כימו-הקרנות")),"",AI20-AH20)</f>
        <v/>
      </c>
      <c r="BF20" s="37" t="str">
        <f aca="false">IF(OR(AJ20&lt;&gt;"ניתוח",AI20="",AN20=""),"",AN20-AI20)</f>
        <v/>
      </c>
      <c r="BG20" s="37" t="str">
        <f aca="false">IF(OR(AJ20&lt;&gt;"ניתוח",AI20="",AO20=""),"",AO20-AI20)</f>
        <v/>
      </c>
      <c r="BH20" s="38" t="str">
        <f aca="false">IF(BG20="","",IF(BG20&lt;=42,1,0))</f>
        <v/>
      </c>
      <c r="BI20" s="35"/>
    </row>
    <row r="21" customFormat="false" ht="15" hidden="false" customHeight="true" outlineLevel="0" collapsed="false">
      <c r="A21" s="33" t="str">
        <f aca="false">IF(OR(B21="",C21="",D21="",Z21=""),"","ENT-"&amp;RIGHT(YEAR(Z21),2)&amp;"-"&amp;TEXT(B21,"000")&amp;"-"&amp;C21&amp;"-"&amp;D21&amp;"-"&amp;TEXT(MONTH(Z21),"00"))</f>
        <v>ENT-26-016-SGL-M-06</v>
      </c>
      <c r="B21" s="34" t="n">
        <v>16</v>
      </c>
      <c r="C21" s="35" t="s">
        <v>312</v>
      </c>
      <c r="D21" s="35" t="s">
        <v>13</v>
      </c>
      <c r="E21" s="36"/>
      <c r="F21" s="35"/>
      <c r="G21" s="35" t="n">
        <v>74</v>
      </c>
      <c r="H21" s="35" t="s">
        <v>265</v>
      </c>
      <c r="I21" s="35" t="s">
        <v>20</v>
      </c>
      <c r="J21" s="35"/>
      <c r="K21" s="35"/>
      <c r="L21" s="35"/>
      <c r="M21" s="35"/>
      <c r="N21" s="35"/>
      <c r="O21" s="35"/>
      <c r="P21" s="35" t="s">
        <v>293</v>
      </c>
      <c r="Q21" s="35" t="s">
        <v>305</v>
      </c>
      <c r="R21" s="35" t="s">
        <v>273</v>
      </c>
      <c r="S21" s="35" t="s">
        <v>301</v>
      </c>
      <c r="T21" s="35" t="s">
        <v>275</v>
      </c>
      <c r="U21" s="35"/>
      <c r="V21" s="35"/>
      <c r="W21" s="35"/>
      <c r="X21" s="36"/>
      <c r="Y21" s="36"/>
      <c r="Z21" s="36" t="n">
        <v>46188</v>
      </c>
      <c r="AA21" s="36"/>
      <c r="AB21" s="36"/>
      <c r="AC21" s="36" t="n">
        <v>46205</v>
      </c>
      <c r="AD21" s="36" t="n">
        <v>46205</v>
      </c>
      <c r="AE21" s="35" t="s">
        <v>277</v>
      </c>
      <c r="AF21" s="35"/>
      <c r="AG21" s="36"/>
      <c r="AH21" s="36" t="n">
        <v>46206</v>
      </c>
      <c r="AI21" s="36" t="n">
        <v>46251</v>
      </c>
      <c r="AJ21" s="35" t="s">
        <v>277</v>
      </c>
      <c r="AK21" s="35"/>
      <c r="AL21" s="35"/>
      <c r="AM21" s="36"/>
      <c r="AN21" s="36"/>
      <c r="AO21" s="36"/>
      <c r="AP21" s="35" t="s">
        <v>279</v>
      </c>
      <c r="AQ21" s="35" t="s">
        <v>279</v>
      </c>
      <c r="AR21" s="37" t="n">
        <f aca="false">IF(A21="","",COUNTIF(MDT!$B$5:$B$104,A21))</f>
        <v>1</v>
      </c>
      <c r="AS21" s="37" t="n">
        <f aca="false">IF(A21="","",COUNTIFS(MDT!$B$5:$B$104,A21,MDT!$E$5:$E$104,"נדחה — מידע חסר"))</f>
        <v>0</v>
      </c>
      <c r="AT21" s="36"/>
      <c r="AU21" s="35"/>
      <c r="AV21" s="33" t="str">
        <f aca="false">IF(OR(X21="",Z21=""),"",Z21-X21)</f>
        <v/>
      </c>
      <c r="AW21" s="37" t="n">
        <f aca="false">IF(OR(Z21="",AC21=""),"",AC21-Z21)</f>
        <v>17</v>
      </c>
      <c r="AX21" s="37" t="n">
        <f aca="false">IF(OR(AD21="",AI21=""),"",AI21-AD21)</f>
        <v>46</v>
      </c>
      <c r="AY21" s="37" t="n">
        <f aca="false">IF(OR(Z21="",AI21=""),"",AI21-Z21)</f>
        <v>63</v>
      </c>
      <c r="AZ21" s="38" t="n">
        <f aca="false">IF(AY21="","",IF(AY21&lt;=30,1,0))</f>
        <v>0</v>
      </c>
      <c r="BA21" s="38" t="n">
        <f aca="false">IF(AY21="","",IF(AY21&gt;60,1,0))</f>
        <v>1</v>
      </c>
      <c r="BB21" s="38" t="n">
        <f aca="false">IF(AY21="","",IF(AY21&gt;67,1,0))</f>
        <v>0</v>
      </c>
      <c r="BC21" s="38" t="str">
        <f aca="false">IF(OR(AJ21&lt;&gt;"ניתוח",AX21=""),"",IF(AX21&lt;=30,1,0))</f>
        <v/>
      </c>
      <c r="BD21" s="37" t="str">
        <f aca="false">IF(OR(AG21="",AI21="",AJ21&lt;&gt;"ניתוח"),"",AI21-AG21)</f>
        <v/>
      </c>
      <c r="BE21" s="33" t="n">
        <f aca="false">IF(OR(AH21="",AI21="",AND(AJ21&lt;&gt;"הקרנות",AJ21&lt;&gt;"כימו-הקרנות")),"",AI21-AH21)</f>
        <v>45</v>
      </c>
      <c r="BF21" s="37" t="str">
        <f aca="false">IF(OR(AJ21&lt;&gt;"ניתוח",AI21="",AN21=""),"",AN21-AI21)</f>
        <v/>
      </c>
      <c r="BG21" s="37" t="str">
        <f aca="false">IF(OR(AJ21&lt;&gt;"ניתוח",AI21="",AO21=""),"",AO21-AI21)</f>
        <v/>
      </c>
      <c r="BH21" s="38" t="str">
        <f aca="false">IF(BG21="","",IF(BG21&lt;=42,1,0))</f>
        <v/>
      </c>
      <c r="BI21" s="35"/>
    </row>
    <row r="22" customFormat="false" ht="15" hidden="false" customHeight="true" outlineLevel="0" collapsed="false">
      <c r="A22" s="33" t="str">
        <f aca="false">IF(OR(B22="",C22="",D22="",Z22=""),"","ENT-"&amp;RIGHT(YEAR(Z22),2)&amp;"-"&amp;TEXT(B22,"000")&amp;"-"&amp;C22&amp;"-"&amp;D22&amp;"-"&amp;TEXT(MONTH(Z22),"00"))</f>
        <v>ENT-26-017-SNC-L-06</v>
      </c>
      <c r="B22" s="34" t="n">
        <v>17</v>
      </c>
      <c r="C22" s="35" t="s">
        <v>313</v>
      </c>
      <c r="D22" s="35" t="s">
        <v>284</v>
      </c>
      <c r="E22" s="36"/>
      <c r="F22" s="35"/>
      <c r="G22" s="35" t="n">
        <v>66</v>
      </c>
      <c r="H22" s="35" t="s">
        <v>289</v>
      </c>
      <c r="I22" s="35" t="s">
        <v>20</v>
      </c>
      <c r="J22" s="35"/>
      <c r="K22" s="35"/>
      <c r="L22" s="35"/>
      <c r="M22" s="35"/>
      <c r="N22" s="35"/>
      <c r="O22" s="35"/>
      <c r="P22" s="35" t="s">
        <v>293</v>
      </c>
      <c r="Q22" s="35" t="s">
        <v>290</v>
      </c>
      <c r="R22" s="35" t="s">
        <v>273</v>
      </c>
      <c r="S22" s="35" t="s">
        <v>274</v>
      </c>
      <c r="T22" s="35" t="s">
        <v>275</v>
      </c>
      <c r="U22" s="35"/>
      <c r="V22" s="35"/>
      <c r="W22" s="35"/>
      <c r="X22" s="36"/>
      <c r="Y22" s="36"/>
      <c r="Z22" s="36" t="n">
        <v>46190</v>
      </c>
      <c r="AA22" s="36"/>
      <c r="AB22" s="36"/>
      <c r="AC22" s="36" t="n">
        <v>46205</v>
      </c>
      <c r="AD22" s="36" t="n">
        <v>46205</v>
      </c>
      <c r="AE22" s="35" t="s">
        <v>287</v>
      </c>
      <c r="AF22" s="35"/>
      <c r="AG22" s="36" t="n">
        <v>46206</v>
      </c>
      <c r="AH22" s="36"/>
      <c r="AI22" s="36" t="n">
        <v>46234</v>
      </c>
      <c r="AJ22" s="35" t="s">
        <v>287</v>
      </c>
      <c r="AK22" s="35"/>
      <c r="AL22" s="35"/>
      <c r="AM22" s="36"/>
      <c r="AN22" s="36"/>
      <c r="AO22" s="36"/>
      <c r="AP22" s="35" t="s">
        <v>280</v>
      </c>
      <c r="AQ22" s="35" t="s">
        <v>280</v>
      </c>
      <c r="AR22" s="37" t="n">
        <f aca="false">IF(A22="","",COUNTIF(MDT!$B$5:$B$104,A22))</f>
        <v>1</v>
      </c>
      <c r="AS22" s="37" t="n">
        <f aca="false">IF(A22="","",COUNTIFS(MDT!$B$5:$B$104,A22,MDT!$E$5:$E$104,"נדחה — מידע חסר"))</f>
        <v>0</v>
      </c>
      <c r="AT22" s="36"/>
      <c r="AU22" s="35"/>
      <c r="AV22" s="33" t="str">
        <f aca="false">IF(OR(X22="",Z22=""),"",Z22-X22)</f>
        <v/>
      </c>
      <c r="AW22" s="37" t="n">
        <f aca="false">IF(OR(Z22="",AC22=""),"",AC22-Z22)</f>
        <v>15</v>
      </c>
      <c r="AX22" s="37" t="n">
        <f aca="false">IF(OR(AD22="",AI22=""),"",AI22-AD22)</f>
        <v>29</v>
      </c>
      <c r="AY22" s="37" t="n">
        <f aca="false">IF(OR(Z22="",AI22=""),"",AI22-Z22)</f>
        <v>44</v>
      </c>
      <c r="AZ22" s="38" t="n">
        <f aca="false">IF(AY22="","",IF(AY22&lt;=30,1,0))</f>
        <v>0</v>
      </c>
      <c r="BA22" s="38" t="n">
        <f aca="false">IF(AY22="","",IF(AY22&gt;60,1,0))</f>
        <v>0</v>
      </c>
      <c r="BB22" s="38" t="n">
        <f aca="false">IF(AY22="","",IF(AY22&gt;67,1,0))</f>
        <v>0</v>
      </c>
      <c r="BC22" s="38" t="n">
        <f aca="false">IF(OR(AJ22&lt;&gt;"ניתוח",AX22=""),"",IF(AX22&lt;=30,1,0))</f>
        <v>1</v>
      </c>
      <c r="BD22" s="37" t="n">
        <f aca="false">IF(OR(AG22="",AI22="",AJ22&lt;&gt;"ניתוח"),"",AI22-AG22)</f>
        <v>28</v>
      </c>
      <c r="BE22" s="33" t="str">
        <f aca="false">IF(OR(AH22="",AI22="",AND(AJ22&lt;&gt;"הקרנות",AJ22&lt;&gt;"כימו-הקרנות")),"",AI22-AH22)</f>
        <v/>
      </c>
      <c r="BF22" s="37" t="str">
        <f aca="false">IF(OR(AJ22&lt;&gt;"ניתוח",AI22="",AN22=""),"",AN22-AI22)</f>
        <v/>
      </c>
      <c r="BG22" s="37" t="str">
        <f aca="false">IF(OR(AJ22&lt;&gt;"ניתוח",AI22="",AO22=""),"",AO22-AI22)</f>
        <v/>
      </c>
      <c r="BH22" s="38" t="str">
        <f aca="false">IF(BG22="","",IF(BG22&lt;=42,1,0))</f>
        <v/>
      </c>
      <c r="BI22" s="35"/>
    </row>
    <row r="23" customFormat="false" ht="15" hidden="false" customHeight="true" outlineLevel="0" collapsed="false">
      <c r="A23" s="33" t="str">
        <f aca="false">IF(OR(B23="",C23="",D23="",Z23=""),"","ENT-"&amp;RIGHT(YEAR(Z23),2)&amp;"-"&amp;TEXT(B23,"000")&amp;"-"&amp;C23&amp;"-"&amp;D23&amp;"-"&amp;TEXT(MONTH(Z23),"00"))</f>
        <v>ENT-26-018-BOT-R-06</v>
      </c>
      <c r="B23" s="34" t="n">
        <v>18</v>
      </c>
      <c r="C23" s="35" t="s">
        <v>292</v>
      </c>
      <c r="D23" s="35" t="s">
        <v>295</v>
      </c>
      <c r="E23" s="36"/>
      <c r="F23" s="35"/>
      <c r="G23" s="35" t="n">
        <v>45</v>
      </c>
      <c r="H23" s="35" t="s">
        <v>289</v>
      </c>
      <c r="I23" s="35" t="s">
        <v>285</v>
      </c>
      <c r="J23" s="35"/>
      <c r="K23" s="35"/>
      <c r="L23" s="35"/>
      <c r="M23" s="35"/>
      <c r="N23" s="35"/>
      <c r="O23" s="35"/>
      <c r="P23" s="35" t="s">
        <v>293</v>
      </c>
      <c r="Q23" s="35" t="s">
        <v>300</v>
      </c>
      <c r="R23" s="35" t="s">
        <v>273</v>
      </c>
      <c r="S23" s="35" t="s">
        <v>301</v>
      </c>
      <c r="T23" s="35" t="s">
        <v>314</v>
      </c>
      <c r="U23" s="35"/>
      <c r="V23" s="35"/>
      <c r="W23" s="35"/>
      <c r="X23" s="36"/>
      <c r="Y23" s="36"/>
      <c r="Z23" s="36" t="n">
        <v>46191</v>
      </c>
      <c r="AA23" s="36"/>
      <c r="AB23" s="36"/>
      <c r="AC23" s="36" t="n">
        <v>46205</v>
      </c>
      <c r="AD23" s="36" t="n">
        <v>46205</v>
      </c>
      <c r="AE23" s="35" t="s">
        <v>277</v>
      </c>
      <c r="AF23" s="35"/>
      <c r="AG23" s="36"/>
      <c r="AH23" s="36" t="n">
        <v>46206</v>
      </c>
      <c r="AI23" s="36" t="n">
        <v>46232</v>
      </c>
      <c r="AJ23" s="35" t="s">
        <v>277</v>
      </c>
      <c r="AK23" s="35"/>
      <c r="AL23" s="35"/>
      <c r="AM23" s="36"/>
      <c r="AN23" s="36"/>
      <c r="AO23" s="36"/>
      <c r="AP23" s="35" t="s">
        <v>280</v>
      </c>
      <c r="AQ23" s="35" t="s">
        <v>280</v>
      </c>
      <c r="AR23" s="37" t="n">
        <f aca="false">IF(A23="","",COUNTIF(MDT!$B$5:$B$104,A23))</f>
        <v>1</v>
      </c>
      <c r="AS23" s="37" t="n">
        <f aca="false">IF(A23="","",COUNTIFS(MDT!$B$5:$B$104,A23,MDT!$E$5:$E$104,"נדחה — מידע חסר"))</f>
        <v>0</v>
      </c>
      <c r="AT23" s="36"/>
      <c r="AU23" s="35"/>
      <c r="AV23" s="33" t="str">
        <f aca="false">IF(OR(X23="",Z23=""),"",Z23-X23)</f>
        <v/>
      </c>
      <c r="AW23" s="37" t="n">
        <f aca="false">IF(OR(Z23="",AC23=""),"",AC23-Z23)</f>
        <v>14</v>
      </c>
      <c r="AX23" s="37" t="n">
        <f aca="false">IF(OR(AD23="",AI23=""),"",AI23-AD23)</f>
        <v>27</v>
      </c>
      <c r="AY23" s="37" t="n">
        <f aca="false">IF(OR(Z23="",AI23=""),"",AI23-Z23)</f>
        <v>41</v>
      </c>
      <c r="AZ23" s="38" t="n">
        <f aca="false">IF(AY23="","",IF(AY23&lt;=30,1,0))</f>
        <v>0</v>
      </c>
      <c r="BA23" s="38" t="n">
        <f aca="false">IF(AY23="","",IF(AY23&gt;60,1,0))</f>
        <v>0</v>
      </c>
      <c r="BB23" s="38" t="n">
        <f aca="false">IF(AY23="","",IF(AY23&gt;67,1,0))</f>
        <v>0</v>
      </c>
      <c r="BC23" s="38" t="str">
        <f aca="false">IF(OR(AJ23&lt;&gt;"ניתוח",AX23=""),"",IF(AX23&lt;=30,1,0))</f>
        <v/>
      </c>
      <c r="BD23" s="37" t="str">
        <f aca="false">IF(OR(AG23="",AI23="",AJ23&lt;&gt;"ניתוח"),"",AI23-AG23)</f>
        <v/>
      </c>
      <c r="BE23" s="33" t="n">
        <f aca="false">IF(OR(AH23="",AI23="",AND(AJ23&lt;&gt;"הקרנות",AJ23&lt;&gt;"כימו-הקרנות")),"",AI23-AH23)</f>
        <v>26</v>
      </c>
      <c r="BF23" s="37" t="str">
        <f aca="false">IF(OR(AJ23&lt;&gt;"ניתוח",AI23="",AN23=""),"",AN23-AI23)</f>
        <v/>
      </c>
      <c r="BG23" s="37" t="str">
        <f aca="false">IF(OR(AJ23&lt;&gt;"ניתוח",AI23="",AO23=""),"",AO23-AI23)</f>
        <v/>
      </c>
      <c r="BH23" s="38" t="str">
        <f aca="false">IF(BG23="","",IF(BG23&lt;=42,1,0))</f>
        <v/>
      </c>
      <c r="BI23" s="35"/>
    </row>
    <row r="24" customFormat="false" ht="15" hidden="false" customHeight="true" outlineLevel="0" collapsed="false">
      <c r="A24" s="33" t="str">
        <f aca="false">IF(OR(B24="",C24="",D24="",Z24=""),"","ENT-"&amp;RIGHT(YEAR(Z24),2)&amp;"-"&amp;TEXT(B24,"000")&amp;"-"&amp;C24&amp;"-"&amp;D24&amp;"-"&amp;TEXT(MONTH(Z24),"00"))</f>
        <v>ENT-26-019-GUM-R-06</v>
      </c>
      <c r="B24" s="34" t="n">
        <v>19</v>
      </c>
      <c r="C24" s="35" t="s">
        <v>315</v>
      </c>
      <c r="D24" s="35" t="s">
        <v>295</v>
      </c>
      <c r="E24" s="36"/>
      <c r="F24" s="35"/>
      <c r="G24" s="35" t="n">
        <v>70</v>
      </c>
      <c r="H24" s="35" t="s">
        <v>265</v>
      </c>
      <c r="I24" s="35" t="s">
        <v>20</v>
      </c>
      <c r="J24" s="35"/>
      <c r="K24" s="35"/>
      <c r="L24" s="35"/>
      <c r="M24" s="35"/>
      <c r="N24" s="35"/>
      <c r="O24" s="35"/>
      <c r="P24" s="35" t="s">
        <v>316</v>
      </c>
      <c r="Q24" s="35" t="s">
        <v>290</v>
      </c>
      <c r="R24" s="35" t="s">
        <v>273</v>
      </c>
      <c r="S24" s="35" t="s">
        <v>301</v>
      </c>
      <c r="T24" s="35" t="s">
        <v>275</v>
      </c>
      <c r="U24" s="35"/>
      <c r="V24" s="35"/>
      <c r="W24" s="35"/>
      <c r="X24" s="36"/>
      <c r="Y24" s="36"/>
      <c r="Z24" s="36" t="n">
        <v>46192</v>
      </c>
      <c r="AA24" s="36"/>
      <c r="AB24" s="36"/>
      <c r="AC24" s="36" t="n">
        <v>46205</v>
      </c>
      <c r="AD24" s="36" t="n">
        <v>46205</v>
      </c>
      <c r="AE24" s="35" t="s">
        <v>287</v>
      </c>
      <c r="AF24" s="35"/>
      <c r="AG24" s="36" t="n">
        <v>46206</v>
      </c>
      <c r="AH24" s="36"/>
      <c r="AI24" s="36" t="n">
        <v>46223</v>
      </c>
      <c r="AJ24" s="35" t="s">
        <v>287</v>
      </c>
      <c r="AK24" s="35"/>
      <c r="AL24" s="35"/>
      <c r="AM24" s="36"/>
      <c r="AN24" s="36"/>
      <c r="AO24" s="36"/>
      <c r="AP24" s="35" t="s">
        <v>279</v>
      </c>
      <c r="AQ24" s="35" t="s">
        <v>280</v>
      </c>
      <c r="AR24" s="37" t="n">
        <f aca="false">IF(A24="","",COUNTIF(MDT!$B$5:$B$104,A24))</f>
        <v>1</v>
      </c>
      <c r="AS24" s="37" t="n">
        <f aca="false">IF(A24="","",COUNTIFS(MDT!$B$5:$B$104,A24,MDT!$E$5:$E$104,"נדחה — מידע חסר"))</f>
        <v>0</v>
      </c>
      <c r="AT24" s="36"/>
      <c r="AU24" s="35"/>
      <c r="AV24" s="33" t="str">
        <f aca="false">IF(OR(X24="",Z24=""),"",Z24-X24)</f>
        <v/>
      </c>
      <c r="AW24" s="37" t="n">
        <f aca="false">IF(OR(Z24="",AC24=""),"",AC24-Z24)</f>
        <v>13</v>
      </c>
      <c r="AX24" s="37" t="n">
        <f aca="false">IF(OR(AD24="",AI24=""),"",AI24-AD24)</f>
        <v>18</v>
      </c>
      <c r="AY24" s="37" t="n">
        <f aca="false">IF(OR(Z24="",AI24=""),"",AI24-Z24)</f>
        <v>31</v>
      </c>
      <c r="AZ24" s="38" t="n">
        <f aca="false">IF(AY24="","",IF(AY24&lt;=30,1,0))</f>
        <v>0</v>
      </c>
      <c r="BA24" s="38" t="n">
        <f aca="false">IF(AY24="","",IF(AY24&gt;60,1,0))</f>
        <v>0</v>
      </c>
      <c r="BB24" s="38" t="n">
        <f aca="false">IF(AY24="","",IF(AY24&gt;67,1,0))</f>
        <v>0</v>
      </c>
      <c r="BC24" s="38" t="n">
        <f aca="false">IF(OR(AJ24&lt;&gt;"ניתוח",AX24=""),"",IF(AX24&lt;=30,1,0))</f>
        <v>1</v>
      </c>
      <c r="BD24" s="37" t="n">
        <f aca="false">IF(OR(AG24="",AI24="",AJ24&lt;&gt;"ניתוח"),"",AI24-AG24)</f>
        <v>17</v>
      </c>
      <c r="BE24" s="33" t="str">
        <f aca="false">IF(OR(AH24="",AI24="",AND(AJ24&lt;&gt;"הקרנות",AJ24&lt;&gt;"כימו-הקרנות")),"",AI24-AH24)</f>
        <v/>
      </c>
      <c r="BF24" s="37" t="str">
        <f aca="false">IF(OR(AJ24&lt;&gt;"ניתוח",AI24="",AN24=""),"",AN24-AI24)</f>
        <v/>
      </c>
      <c r="BG24" s="37" t="str">
        <f aca="false">IF(OR(AJ24&lt;&gt;"ניתוח",AI24="",AO24=""),"",AO24-AI24)</f>
        <v/>
      </c>
      <c r="BH24" s="38" t="str">
        <f aca="false">IF(BG24="","",IF(BG24&lt;=42,1,0))</f>
        <v/>
      </c>
      <c r="BI24" s="35"/>
    </row>
    <row r="25" customFormat="false" ht="15" hidden="false" customHeight="true" outlineLevel="0" collapsed="false">
      <c r="A25" s="33" t="str">
        <f aca="false">IF(OR(B25="",C25="",D25="",Z25=""),"","ENT-"&amp;RIGHT(YEAR(Z25),2)&amp;"-"&amp;TEXT(B25,"000")&amp;"-"&amp;C25&amp;"-"&amp;D25&amp;"-"&amp;TEXT(MONTH(Z25),"00"))</f>
        <v>ENT-26-020-SGL-M-06</v>
      </c>
      <c r="B25" s="34" t="n">
        <v>20</v>
      </c>
      <c r="C25" s="35" t="s">
        <v>312</v>
      </c>
      <c r="D25" s="35" t="s">
        <v>13</v>
      </c>
      <c r="E25" s="36"/>
      <c r="F25" s="35"/>
      <c r="G25" s="35" t="n">
        <v>55</v>
      </c>
      <c r="H25" s="35" t="s">
        <v>289</v>
      </c>
      <c r="I25" s="35" t="s">
        <v>285</v>
      </c>
      <c r="J25" s="35"/>
      <c r="K25" s="35"/>
      <c r="L25" s="35"/>
      <c r="M25" s="35"/>
      <c r="N25" s="35"/>
      <c r="O25" s="35"/>
      <c r="P25" s="35" t="s">
        <v>271</v>
      </c>
      <c r="Q25" s="35" t="s">
        <v>290</v>
      </c>
      <c r="R25" s="35" t="s">
        <v>273</v>
      </c>
      <c r="S25" s="35" t="s">
        <v>291</v>
      </c>
      <c r="T25" s="35" t="s">
        <v>275</v>
      </c>
      <c r="U25" s="35"/>
      <c r="V25" s="35"/>
      <c r="W25" s="35"/>
      <c r="X25" s="36"/>
      <c r="Y25" s="36"/>
      <c r="Z25" s="36" t="n">
        <v>46195</v>
      </c>
      <c r="AA25" s="36"/>
      <c r="AB25" s="36"/>
      <c r="AC25" s="36" t="n">
        <v>46205</v>
      </c>
      <c r="AD25" s="36" t="n">
        <v>46205</v>
      </c>
      <c r="AE25" s="35" t="s">
        <v>287</v>
      </c>
      <c r="AF25" s="35"/>
      <c r="AG25" s="36" t="n">
        <v>46206</v>
      </c>
      <c r="AH25" s="36"/>
      <c r="AI25" s="36" t="n">
        <v>46219</v>
      </c>
      <c r="AJ25" s="35" t="s">
        <v>287</v>
      </c>
      <c r="AK25" s="35"/>
      <c r="AL25" s="35"/>
      <c r="AM25" s="36"/>
      <c r="AN25" s="36"/>
      <c r="AO25" s="36"/>
      <c r="AP25" s="35" t="s">
        <v>280</v>
      </c>
      <c r="AQ25" s="35" t="s">
        <v>280</v>
      </c>
      <c r="AR25" s="37" t="n">
        <f aca="false">IF(A25="","",COUNTIF(MDT!$B$5:$B$104,A25))</f>
        <v>1</v>
      </c>
      <c r="AS25" s="37" t="n">
        <f aca="false">IF(A25="","",COUNTIFS(MDT!$B$5:$B$104,A25,MDT!$E$5:$E$104,"נדחה — מידע חסר"))</f>
        <v>0</v>
      </c>
      <c r="AT25" s="36"/>
      <c r="AU25" s="35"/>
      <c r="AV25" s="33" t="str">
        <f aca="false">IF(OR(X25="",Z25=""),"",Z25-X25)</f>
        <v/>
      </c>
      <c r="AW25" s="37" t="n">
        <f aca="false">IF(OR(Z25="",AC25=""),"",AC25-Z25)</f>
        <v>10</v>
      </c>
      <c r="AX25" s="37" t="n">
        <f aca="false">IF(OR(AD25="",AI25=""),"",AI25-AD25)</f>
        <v>14</v>
      </c>
      <c r="AY25" s="37" t="n">
        <f aca="false">IF(OR(Z25="",AI25=""),"",AI25-Z25)</f>
        <v>24</v>
      </c>
      <c r="AZ25" s="38" t="n">
        <f aca="false">IF(AY25="","",IF(AY25&lt;=30,1,0))</f>
        <v>1</v>
      </c>
      <c r="BA25" s="38" t="n">
        <f aca="false">IF(AY25="","",IF(AY25&gt;60,1,0))</f>
        <v>0</v>
      </c>
      <c r="BB25" s="38" t="n">
        <f aca="false">IF(AY25="","",IF(AY25&gt;67,1,0))</f>
        <v>0</v>
      </c>
      <c r="BC25" s="38" t="n">
        <f aca="false">IF(OR(AJ25&lt;&gt;"ניתוח",AX25=""),"",IF(AX25&lt;=30,1,0))</f>
        <v>1</v>
      </c>
      <c r="BD25" s="37" t="n">
        <f aca="false">IF(OR(AG25="",AI25="",AJ25&lt;&gt;"ניתוח"),"",AI25-AG25)</f>
        <v>13</v>
      </c>
      <c r="BE25" s="33" t="str">
        <f aca="false">IF(OR(AH25="",AI25="",AND(AJ25&lt;&gt;"הקרנות",AJ25&lt;&gt;"כימו-הקרנות")),"",AI25-AH25)</f>
        <v/>
      </c>
      <c r="BF25" s="37" t="str">
        <f aca="false">IF(OR(AJ25&lt;&gt;"ניתוח",AI25="",AN25=""),"",AN25-AI25)</f>
        <v/>
      </c>
      <c r="BG25" s="37" t="str">
        <f aca="false">IF(OR(AJ25&lt;&gt;"ניתוח",AI25="",AO25=""),"",AO25-AI25)</f>
        <v/>
      </c>
      <c r="BH25" s="38" t="str">
        <f aca="false">IF(BG25="","",IF(BG25&lt;=42,1,0))</f>
        <v/>
      </c>
      <c r="BI25" s="35"/>
    </row>
  </sheetData>
  <conditionalFormatting sqref="AV5:AV25">
    <cfRule type="expression" priority="2" aboveAverage="0" equalAverage="0" bottom="0" percent="0" rank="0" text="" dxfId="0">
      <formula>AND(ISNUMBER(AV5),AV5&lt;0)</formula>
    </cfRule>
  </conditionalFormatting>
  <conditionalFormatting sqref="AW5:AW25">
    <cfRule type="expression" priority="3" aboveAverage="0" equalAverage="0" bottom="0" percent="0" rank="0" text="" dxfId="0">
      <formula>AND(ISNUMBER(AW5),AW5&lt;0)</formula>
    </cfRule>
  </conditionalFormatting>
  <conditionalFormatting sqref="AX5:AX25">
    <cfRule type="expression" priority="4" aboveAverage="0" equalAverage="0" bottom="0" percent="0" rank="0" text="" dxfId="0">
      <formula>AND(ISNUMBER(AX5),AX5&lt;0)</formula>
    </cfRule>
  </conditionalFormatting>
  <conditionalFormatting sqref="AY5:AY25">
    <cfRule type="expression" priority="5" aboveAverage="0" equalAverage="0" bottom="0" percent="0" rank="0" text="" dxfId="0">
      <formula>AND(ISNUMBER(AY5),AY5&lt;0)</formula>
    </cfRule>
  </conditionalFormatting>
  <conditionalFormatting sqref="BD5:BD25">
    <cfRule type="expression" priority="6" aboveAverage="0" equalAverage="0" bottom="0" percent="0" rank="0" text="" dxfId="0">
      <formula>AND(ISNUMBER(BD5),BD5&lt;0)</formula>
    </cfRule>
  </conditionalFormatting>
  <conditionalFormatting sqref="BE5:BE25">
    <cfRule type="expression" priority="7" aboveAverage="0" equalAverage="0" bottom="0" percent="0" rank="0" text="" dxfId="0">
      <formula>AND(ISNUMBER(BE5),BE5&lt;0)</formula>
    </cfRule>
  </conditionalFormatting>
  <conditionalFormatting sqref="BF5:BF25">
    <cfRule type="expression" priority="8" aboveAverage="0" equalAverage="0" bottom="0" percent="0" rank="0" text="" dxfId="0">
      <formula>AND(ISNUMBER(BF5),BF5&lt;0)</formula>
    </cfRule>
  </conditionalFormatting>
  <conditionalFormatting sqref="BG5:BG25">
    <cfRule type="expression" priority="9" aboveAverage="0" equalAverage="0" bottom="0" percent="0" rank="0" text="" dxfId="0">
      <formula>AND(ISNUMBER(BG5),BG5&lt;0)</formula>
    </cfRule>
  </conditionalFormatting>
  <conditionalFormatting sqref="A6:A25">
    <cfRule type="expression" priority="10" aboveAverage="0" equalAverage="0" bottom="0" percent="0" rank="0" text="" dxfId="0">
      <formula>AND(A6&lt;&gt;"",COUNTIF($A$6:$A$25,A6)&gt;1)</formula>
    </cfRule>
  </conditionalFormatting>
  <dataValidations count="43">
    <dataValidation allowBlank="true" error="בחר ערך מהרשימה" errorStyle="stop" errorTitle="ערך לא תקין" operator="between" showDropDown="false" showErrorMessage="true" showInputMessage="false" sqref="C5:C25" type="list">
      <formula1>L_site</formula1>
      <formula2>0</formula2>
    </dataValidation>
    <dataValidation allowBlank="true" error="בחר ערך מהרשימה" errorStyle="stop" errorTitle="ערך לא תקין" operator="between" showDropDown="false" showErrorMessage="true" showInputMessage="false" sqref="D5:D25" type="list">
      <formula1>L_side</formula1>
      <formula2>0</formula2>
    </dataValidation>
    <dataValidation allowBlank="true" error="תאריך בפורמט dd/mm/yyyy, בין 2020 ל-2030" errorStyle="stop" operator="between" showDropDown="false" showErrorMessage="true" showInputMessage="false" sqref="E5:E25" type="date">
      <formula1>DATE(2020,1,1)</formula1>
      <formula2>DATE(2030,12,31)</formula2>
    </dataValidation>
    <dataValidation allowBlank="true" error="בחר ערך מהרשימה" errorStyle="stop" errorTitle="ערך לא תקין" operator="between" showDropDown="false" showErrorMessage="true" showInputMessage="false" sqref="F5:F25" type="list">
      <formula1>L_status</formula1>
      <formula2>0</formula2>
    </dataValidation>
    <dataValidation allowBlank="true" error="מספר שלם בין 18 ל-110" errorStyle="stop" operator="between" showDropDown="false" showErrorMessage="true" showInputMessage="false" sqref="G5:G25" type="whole">
      <formula1>18</formula1>
      <formula2>110</formula2>
    </dataValidation>
    <dataValidation allowBlank="true" error="בחר ערך מהרשימה" errorStyle="stop" errorTitle="ערך לא תקין" operator="between" showDropDown="false" showErrorMessage="true" showInputMessage="false" sqref="H5:H25" type="list">
      <formula1>L_sex</formula1>
      <formula2>0</formula2>
    </dataValidation>
    <dataValidation allowBlank="true" error="בחר ערך מהרשימה" errorStyle="stop" errorTitle="ערך לא תקין" operator="between" showDropDown="false" showErrorMessage="true" showInputMessage="false" sqref="I5:I25" type="list">
      <formula1>L_ecog</formula1>
      <formula2>0</formula2>
    </dataValidation>
    <dataValidation allowBlank="true" error="בחר ערך מהרשימה" errorStyle="stop" errorTitle="ערך לא תקין" operator="between" showDropDown="false" showErrorMessage="true" showInputMessage="false" sqref="J5:J25" type="list">
      <formula1>L_smoke</formula1>
      <formula2>0</formula2>
    </dataValidation>
    <dataValidation allowBlank="true" error="מספר שלם בין 0 ל-200" errorStyle="stop" operator="between" showDropDown="false" showErrorMessage="true" showInputMessage="false" sqref="K5:K25" type="whole">
      <formula1>0</formula1>
      <formula2>200</formula2>
    </dataValidation>
    <dataValidation allowBlank="true" error="בחר ערך מהרשימה" errorStyle="stop" errorTitle="ערך לא תקין" operator="between" showDropDown="false" showErrorMessage="true" showInputMessage="false" sqref="L5:L25" type="list">
      <formula1>L_alc</formula1>
      <formula2>0</formula2>
    </dataValidation>
    <dataValidation allowBlank="true" error="בחר ערך מהרשימה" errorStyle="stop" errorTitle="ערך לא תקין" operator="between" showDropDown="false" showErrorMessage="true" showInputMessage="false" sqref="M5:M25" type="list">
      <formula1>L_ace</formula1>
      <formula2>0</formula2>
    </dataValidation>
    <dataValidation allowBlank="true" error="בחר ערך מהרשימה" errorStyle="stop" errorTitle="ערך לא תקין" operator="between" showDropDown="false" showErrorMessage="true" showInputMessage="false" sqref="N5:N25" type="list">
      <formula1>L_dist</formula1>
      <formula2>0</formula2>
    </dataValidation>
    <dataValidation allowBlank="true" error="בחר ערך מהרשימה" errorStyle="stop" errorTitle="ערך לא תקין" operator="between" showDropDown="false" showErrorMessage="true" showInputMessage="false" sqref="O5:O25" type="list">
      <formula1>L_hist</formula1>
      <formula2>0</formula2>
    </dataValidation>
    <dataValidation allowBlank="true" error="בחר ערך מהרשימה" errorStyle="stop" errorTitle="ערך לא תקין" operator="between" showDropDown="false" showErrorMessage="true" showInputMessage="false" sqref="P5:P25" type="list">
      <formula1>L_T</formula1>
      <formula2>0</formula2>
    </dataValidation>
    <dataValidation allowBlank="true" error="בחר ערך מהרשימה" errorStyle="stop" errorTitle="ערך לא תקין" operator="between" showDropDown="false" showErrorMessage="true" showInputMessage="false" sqref="Q5:Q25" type="list">
      <formula1>L_N</formula1>
      <formula2>0</formula2>
    </dataValidation>
    <dataValidation allowBlank="true" error="בחר ערך מהרשימה" errorStyle="stop" errorTitle="ערך לא תקין" operator="between" showDropDown="false" showErrorMessage="true" showInputMessage="false" sqref="R5:R25" type="list">
      <formula1>L_M</formula1>
      <formula2>0</formula2>
    </dataValidation>
    <dataValidation allowBlank="true" error="בחר ערך מהרשימה" errorStyle="stop" errorTitle="ערך לא תקין" operator="between" showDropDown="false" showErrorMessage="true" showInputMessage="false" sqref="S5:S25" type="list">
      <formula1>L_stage</formula1>
      <formula2>0</formula2>
    </dataValidation>
    <dataValidation allowBlank="true" error="בחר ערך מהרשימה" errorStyle="stop" errorTitle="ערך לא תקין" operator="between" showDropDown="false" showErrorMessage="true" showInputMessage="false" sqref="T5:T25" type="list">
      <formula1>L_marker</formula1>
      <formula2>0</formula2>
    </dataValidation>
    <dataValidation allowBlank="true" error="בחר ערך מהרשימה" errorStyle="stop" errorTitle="ערך לא תקין" operator="between" showDropDown="false" showErrorMessage="true" showInputMessage="false" sqref="U5:U25" type="list">
      <formula1>L_marker</formula1>
      <formula2>0</formula2>
    </dataValidation>
    <dataValidation allowBlank="true" error="בחר ערך מהרשימה" errorStyle="stop" errorTitle="ערך לא תקין" operator="between" showDropDown="false" showErrorMessage="true" showInputMessage="false" sqref="V5:V25" type="list">
      <formula1>L_T</formula1>
      <formula2>0</formula2>
    </dataValidation>
    <dataValidation allowBlank="true" error="בחר ערך מהרשימה" errorStyle="stop" errorTitle="ערך לא תקין" operator="between" showDropDown="false" showErrorMessage="true" showInputMessage="false" sqref="W5:W25" type="list">
      <formula1>L_N</formula1>
      <formula2>0</formula2>
    </dataValidation>
    <dataValidation allowBlank="true" error="תאריך בפורמט dd/mm/yyyy, בין 2020 ל-2030" errorStyle="stop" operator="between" showDropDown="false" showErrorMessage="true" showInputMessage="false" sqref="X5:X25" type="date">
      <formula1>DATE(2020,1,1)</formula1>
      <formula2>DATE(2030,12,31)</formula2>
    </dataValidation>
    <dataValidation allowBlank="true" error="תאריך בפורמט dd/mm/yyyy, בין 2020 ל-2030" errorStyle="stop" operator="between" showDropDown="false" showErrorMessage="true" showInputMessage="false" sqref="Y5:Y25" type="date">
      <formula1>DATE(2020,1,1)</formula1>
      <formula2>DATE(2030,12,31)</formula2>
    </dataValidation>
    <dataValidation allowBlank="true" error="תאריך בפורמט dd/mm/yyyy, בין 2020 ל-2030" errorStyle="stop" operator="between" showDropDown="false" showErrorMessage="true" showInputMessage="false" sqref="Z5:Z25" type="date">
      <formula1>DATE(2020,1,1)</formula1>
      <formula2>DATE(2030,12,31)</formula2>
    </dataValidation>
    <dataValidation allowBlank="true" error="תאריך בפורמט dd/mm/yyyy, בין 2020 ל-2030" errorStyle="stop" operator="between" showDropDown="false" showErrorMessage="true" showInputMessage="false" sqref="AA5:AA25" type="date">
      <formula1>DATE(2020,1,1)</formula1>
      <formula2>DATE(2030,12,31)</formula2>
    </dataValidation>
    <dataValidation allowBlank="true" error="תאריך בפורמט dd/mm/yyyy, בין 2020 ל-2030" errorStyle="stop" operator="between" showDropDown="false" showErrorMessage="true" showInputMessage="false" sqref="AB5:AB25" type="date">
      <formula1>DATE(2020,1,1)</formula1>
      <formula2>DATE(2030,12,31)</formula2>
    </dataValidation>
    <dataValidation allowBlank="true" error="תאריך בפורמט dd/mm/yyyy, בין 2020 ל-2030" errorStyle="stop" operator="between" showDropDown="false" showErrorMessage="true" showInputMessage="false" sqref="AC5:AC25" type="date">
      <formula1>DATE(2020,1,1)</formula1>
      <formula2>DATE(2030,12,31)</formula2>
    </dataValidation>
    <dataValidation allowBlank="true" error="תאריך בפורמט dd/mm/yyyy, בין 2020 ל-2030" errorStyle="stop" operator="between" showDropDown="false" showErrorMessage="true" showInputMessage="false" sqref="AD5:AD25" type="date">
      <formula1>DATE(2020,1,1)</formula1>
      <formula2>DATE(2030,12,31)</formula2>
    </dataValidation>
    <dataValidation allowBlank="true" error="בחר ערך מהרשימה" errorStyle="stop" errorTitle="ערך לא תקין" operator="between" showDropDown="false" showErrorMessage="true" showInputMessage="false" sqref="AE5:AE25" type="list">
      <formula1>L_mod</formula1>
      <formula2>0</formula2>
    </dataValidation>
    <dataValidation allowBlank="true" error="בחר ערך מהרשימה" errorStyle="stop" errorTitle="ערך לא תקין" operator="between" showDropDown="false" showErrorMessage="true" showInputMessage="false" sqref="AF5:AF25" type="list">
      <formula1>L_txsite</formula1>
      <formula2>0</formula2>
    </dataValidation>
    <dataValidation allowBlank="true" error="תאריך בפורמט dd/mm/yyyy, בין 2020 ל-2030" errorStyle="stop" operator="between" showDropDown="false" showErrorMessage="true" showInputMessage="false" sqref="AG5:AG25" type="date">
      <formula1>DATE(2020,1,1)</formula1>
      <formula2>DATE(2030,12,31)</formula2>
    </dataValidation>
    <dataValidation allowBlank="true" error="תאריך בפורמט dd/mm/yyyy, בין 2020 ל-2030" errorStyle="stop" operator="between" showDropDown="false" showErrorMessage="true" showInputMessage="false" sqref="AH5:AH25" type="date">
      <formula1>DATE(2020,1,1)</formula1>
      <formula2>DATE(2030,12,31)</formula2>
    </dataValidation>
    <dataValidation allowBlank="true" error="תאריך בפורמט dd/mm/yyyy, בין 2020 ל-2030" errorStyle="stop" operator="between" showDropDown="false" showErrorMessage="true" showInputMessage="false" sqref="AI5:AI25" type="date">
      <formula1>DATE(2020,1,1)</formula1>
      <formula2>DATE(2030,12,31)</formula2>
    </dataValidation>
    <dataValidation allowBlank="true" error="בחר ערך מהרשימה" errorStyle="stop" errorTitle="ערך לא תקין" operator="between" showDropDown="false" showErrorMessage="true" showInputMessage="false" sqref="AJ5:AJ25" type="list">
      <formula1>L_mod</formula1>
      <formula2>0</formula2>
    </dataValidation>
    <dataValidation allowBlank="true" error="בחר ערך מהרשימה" errorStyle="stop" errorTitle="ערך לא תקין" operator="between" showDropDown="false" showErrorMessage="true" showInputMessage="false" sqref="AK5:AK25" type="list">
      <formula1>L_yn</formula1>
      <formula2>0</formula2>
    </dataValidation>
    <dataValidation allowBlank="true" error="בחר ערך מהרשימה" errorStyle="stop" errorTitle="ערך לא תקין" operator="between" showDropDown="false" showErrorMessage="true" showInputMessage="false" sqref="AL5:AL25" type="list">
      <formula1>L_nonconc</formula1>
      <formula2>0</formula2>
    </dataValidation>
    <dataValidation allowBlank="true" error="תאריך בפורמט dd/mm/yyyy, בין 2020 ל-2030" errorStyle="stop" operator="between" showDropDown="false" showErrorMessage="true" showInputMessage="false" sqref="AM5:AM25" type="date">
      <formula1>DATE(2020,1,1)</formula1>
      <formula2>DATE(2030,12,31)</formula2>
    </dataValidation>
    <dataValidation allowBlank="true" error="תאריך בפורמט dd/mm/yyyy, בין 2020 ל-2030" errorStyle="stop" operator="between" showDropDown="false" showErrorMessage="true" showInputMessage="false" sqref="AN5:AN25" type="date">
      <formula1>DATE(2020,1,1)</formula1>
      <formula2>DATE(2030,12,31)</formula2>
    </dataValidation>
    <dataValidation allowBlank="true" error="תאריך בפורמט dd/mm/yyyy, בין 2020 ל-2030" errorStyle="stop" operator="between" showDropDown="false" showErrorMessage="true" showInputMessage="false" sqref="AO5:AO25" type="date">
      <formula1>DATE(2020,1,1)</formula1>
      <formula2>DATE(2030,12,31)</formula2>
    </dataValidation>
    <dataValidation allowBlank="true" error="בחר ערך מהרשימה" errorStyle="stop" errorTitle="ערך לא תקין" operator="between" showDropDown="false" showErrorMessage="true" showInputMessage="false" sqref="AP5:AP25" type="list">
      <formula1>L_yn</formula1>
      <formula2>0</formula2>
    </dataValidation>
    <dataValidation allowBlank="true" error="בחר ערך מהרשימה" errorStyle="stop" errorTitle="ערך לא תקין" operator="between" showDropDown="false" showErrorMessage="true" showInputMessage="false" sqref="AQ5:AQ25" type="list">
      <formula1>L_yn</formula1>
      <formula2>0</formula2>
    </dataValidation>
    <dataValidation allowBlank="true" error="תאריך בפורמט dd/mm/yyyy, בין 2020 ל-2030" errorStyle="stop" operator="between" showDropDown="false" showErrorMessage="true" showInputMessage="false" sqref="AT5:AT25" type="date">
      <formula1>DATE(2020,1,1)</formula1>
      <formula2>DATE(2030,12,31)</formula2>
    </dataValidation>
    <dataValidation allowBlank="true" error="בחר ערך מהרשימה" errorStyle="stop" errorTitle="ערך לא תקין" operator="between" showDropDown="false" showErrorMessage="true" showInputMessage="false" sqref="AU5:AU25" type="list">
      <formula1>L_closer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I65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5"/>
    <col collapsed="false" customWidth="true" hidden="false" outlineLevel="0" max="2" min="2" style="1" width="8"/>
    <col collapsed="false" customWidth="true" hidden="false" outlineLevel="0" max="3" min="3" style="1" width="9"/>
    <col collapsed="false" customWidth="true" hidden="false" outlineLevel="0" max="4" min="4" style="1" width="6"/>
    <col collapsed="false" customWidth="true" hidden="false" outlineLevel="0" max="5" min="5" style="1" width="12"/>
    <col collapsed="false" customWidth="true" hidden="false" outlineLevel="0" max="6" min="6" style="1" width="10"/>
    <col collapsed="false" customWidth="true" hidden="false" outlineLevel="0" max="7" min="7" style="1" width="8"/>
    <col collapsed="false" customWidth="true" hidden="false" outlineLevel="0" max="8" min="8" style="1" width="6"/>
    <col collapsed="false" customWidth="true" hidden="false" outlineLevel="0" max="9" min="9" style="1" width="7"/>
    <col collapsed="false" customWidth="true" hidden="false" outlineLevel="0" max="10" min="10" style="1" width="11"/>
    <col collapsed="false" customWidth="true" hidden="false" outlineLevel="0" max="11" min="11" style="1" width="8"/>
    <col collapsed="false" customWidth="true" hidden="false" outlineLevel="0" max="12" min="12" style="1" width="9"/>
    <col collapsed="false" customWidth="true" hidden="false" outlineLevel="0" max="13" min="13" style="1" width="11"/>
    <col collapsed="false" customWidth="true" hidden="false" outlineLevel="0" max="14" min="14" style="1" width="12"/>
    <col collapsed="false" customWidth="true" hidden="false" outlineLevel="0" max="15" min="15" style="1" width="20"/>
    <col collapsed="false" customWidth="true" hidden="false" outlineLevel="0" max="18" min="16" style="1" width="6"/>
    <col collapsed="false" customWidth="true" hidden="false" outlineLevel="0" max="19" min="19" style="1" width="7"/>
    <col collapsed="false" customWidth="true" hidden="false" outlineLevel="0" max="21" min="20" style="1" width="9"/>
    <col collapsed="false" customWidth="true" hidden="false" outlineLevel="0" max="23" min="22" style="1" width="6"/>
    <col collapsed="false" customWidth="true" hidden="false" outlineLevel="0" max="25" min="24" style="1" width="12"/>
    <col collapsed="false" customWidth="true" hidden="false" outlineLevel="0" max="26" min="26" style="1" width="13"/>
    <col collapsed="false" customWidth="true" hidden="false" outlineLevel="0" max="30" min="27" style="1" width="12"/>
    <col collapsed="false" customWidth="true" hidden="false" outlineLevel="0" max="31" min="31" style="1" width="13"/>
    <col collapsed="false" customWidth="true" hidden="false" outlineLevel="0" max="32" min="32" style="1" width="10"/>
    <col collapsed="false" customWidth="true" hidden="false" outlineLevel="0" max="34" min="33" style="1" width="12"/>
    <col collapsed="false" customWidth="true" hidden="false" outlineLevel="0" max="36" min="35" style="1" width="13"/>
    <col collapsed="false" customWidth="true" hidden="false" outlineLevel="0" max="37" min="37" style="1" width="8"/>
    <col collapsed="false" customWidth="true" hidden="false" outlineLevel="0" max="38" min="38" style="1" width="15"/>
    <col collapsed="false" customWidth="true" hidden="false" outlineLevel="0" max="41" min="39" style="1" width="12"/>
    <col collapsed="false" customWidth="true" hidden="false" outlineLevel="0" max="42" min="42" style="1" width="9"/>
    <col collapsed="false" customWidth="true" hidden="false" outlineLevel="0" max="43" min="43" style="1" width="8"/>
    <col collapsed="false" customWidth="true" hidden="false" outlineLevel="0" max="45" min="44" style="1" width="9"/>
    <col collapsed="false" customWidth="true" hidden="false" outlineLevel="0" max="46" min="46" style="1" width="12"/>
    <col collapsed="false" customWidth="true" hidden="false" outlineLevel="0" max="47" min="47" style="1" width="13"/>
    <col collapsed="false" customWidth="true" hidden="false" outlineLevel="0" max="50" min="48" style="1" width="9"/>
    <col collapsed="false" customWidth="true" hidden="false" outlineLevel="0" max="51" min="51" style="1" width="11"/>
    <col collapsed="false" customWidth="true" hidden="false" outlineLevel="0" max="54" min="52" style="1" width="8"/>
    <col collapsed="false" customWidth="true" hidden="false" outlineLevel="0" max="55" min="55" style="1" width="11"/>
    <col collapsed="false" customWidth="true" hidden="false" outlineLevel="0" max="59" min="56" style="1" width="9"/>
    <col collapsed="false" customWidth="true" hidden="false" outlineLevel="0" max="60" min="60" style="1" width="8"/>
    <col collapsed="false" customWidth="true" hidden="false" outlineLevel="0" max="61" min="61" style="1" width="28"/>
  </cols>
  <sheetData>
    <row r="1" customFormat="false" ht="15" hidden="false" customHeight="true" outlineLevel="0" collapsed="false">
      <c r="A1" s="24" t="s">
        <v>317</v>
      </c>
      <c r="H1" s="13" t="s">
        <v>142</v>
      </c>
    </row>
    <row r="2" customFormat="false" ht="15.75" hidden="false" customHeight="true" outlineLevel="0" collapsed="false">
      <c r="A2" s="25" t="s">
        <v>143</v>
      </c>
      <c r="B2" s="25"/>
      <c r="C2" s="25"/>
      <c r="D2" s="25"/>
      <c r="E2" s="25" t="s">
        <v>144</v>
      </c>
      <c r="F2" s="25"/>
      <c r="G2" s="25" t="s">
        <v>145</v>
      </c>
      <c r="H2" s="25"/>
      <c r="I2" s="25"/>
      <c r="J2" s="25"/>
      <c r="K2" s="25"/>
      <c r="L2" s="25"/>
      <c r="M2" s="25"/>
      <c r="N2" s="25"/>
      <c r="O2" s="25" t="s">
        <v>146</v>
      </c>
      <c r="P2" s="25"/>
      <c r="Q2" s="25"/>
      <c r="R2" s="25"/>
      <c r="S2" s="25"/>
      <c r="T2" s="25"/>
      <c r="U2" s="25"/>
      <c r="V2" s="25"/>
      <c r="W2" s="25"/>
      <c r="X2" s="25" t="s">
        <v>147</v>
      </c>
      <c r="Y2" s="25"/>
      <c r="Z2" s="25"/>
      <c r="AA2" s="25"/>
      <c r="AB2" s="25"/>
      <c r="AC2" s="25"/>
      <c r="AD2" s="25"/>
      <c r="AE2" s="25"/>
      <c r="AF2" s="25"/>
      <c r="AG2" s="25" t="s">
        <v>148</v>
      </c>
      <c r="AH2" s="25"/>
      <c r="AI2" s="25" t="s">
        <v>147</v>
      </c>
      <c r="AJ2" s="25"/>
      <c r="AK2" s="25"/>
      <c r="AL2" s="25"/>
      <c r="AM2" s="25" t="s">
        <v>149</v>
      </c>
      <c r="AN2" s="25"/>
      <c r="AO2" s="25"/>
      <c r="AP2" s="25" t="s">
        <v>150</v>
      </c>
      <c r="AQ2" s="25"/>
      <c r="AR2" s="25" t="s">
        <v>151</v>
      </c>
      <c r="AS2" s="25"/>
      <c r="AT2" s="25"/>
      <c r="AU2" s="25"/>
      <c r="AV2" s="25" t="s">
        <v>152</v>
      </c>
      <c r="AW2" s="25"/>
      <c r="AX2" s="25"/>
      <c r="AY2" s="25"/>
      <c r="AZ2" s="25"/>
      <c r="BA2" s="25"/>
      <c r="BB2" s="25"/>
      <c r="BC2" s="25"/>
      <c r="BD2" s="25"/>
      <c r="BE2" s="25"/>
      <c r="BF2" s="25"/>
      <c r="BG2" s="25"/>
      <c r="BH2" s="25"/>
      <c r="BI2" s="25" t="s">
        <v>153</v>
      </c>
    </row>
    <row r="3" customFormat="false" ht="48" hidden="false" customHeight="true" outlineLevel="0" collapsed="false">
      <c r="A3" s="26" t="s">
        <v>3</v>
      </c>
      <c r="B3" s="26" t="s">
        <v>154</v>
      </c>
      <c r="C3" s="26" t="s">
        <v>155</v>
      </c>
      <c r="D3" s="26" t="s">
        <v>156</v>
      </c>
      <c r="E3" s="26" t="s">
        <v>157</v>
      </c>
      <c r="F3" s="26" t="s">
        <v>158</v>
      </c>
      <c r="G3" s="26" t="s">
        <v>159</v>
      </c>
      <c r="H3" s="26" t="s">
        <v>160</v>
      </c>
      <c r="I3" s="26" t="s">
        <v>161</v>
      </c>
      <c r="J3" s="26" t="s">
        <v>162</v>
      </c>
      <c r="K3" s="26" t="s">
        <v>163</v>
      </c>
      <c r="L3" s="26" t="s">
        <v>164</v>
      </c>
      <c r="M3" s="26" t="s">
        <v>165</v>
      </c>
      <c r="N3" s="26" t="s">
        <v>166</v>
      </c>
      <c r="O3" s="26" t="s">
        <v>167</v>
      </c>
      <c r="P3" s="26" t="s">
        <v>168</v>
      </c>
      <c r="Q3" s="26" t="s">
        <v>169</v>
      </c>
      <c r="R3" s="26" t="s">
        <v>170</v>
      </c>
      <c r="S3" s="26" t="s">
        <v>171</v>
      </c>
      <c r="T3" s="26" t="s">
        <v>172</v>
      </c>
      <c r="U3" s="26" t="s">
        <v>173</v>
      </c>
      <c r="V3" s="26" t="s">
        <v>174</v>
      </c>
      <c r="W3" s="26" t="s">
        <v>175</v>
      </c>
      <c r="X3" s="26" t="s">
        <v>176</v>
      </c>
      <c r="Y3" s="26" t="s">
        <v>177</v>
      </c>
      <c r="Z3" s="26" t="s">
        <v>178</v>
      </c>
      <c r="AA3" s="26" t="s">
        <v>179</v>
      </c>
      <c r="AB3" s="26" t="s">
        <v>180</v>
      </c>
      <c r="AC3" s="26" t="s">
        <v>181</v>
      </c>
      <c r="AD3" s="26" t="s">
        <v>182</v>
      </c>
      <c r="AE3" s="26" t="s">
        <v>183</v>
      </c>
      <c r="AF3" s="26" t="s">
        <v>184</v>
      </c>
      <c r="AG3" s="26" t="s">
        <v>185</v>
      </c>
      <c r="AH3" s="26" t="s">
        <v>186</v>
      </c>
      <c r="AI3" s="26" t="s">
        <v>187</v>
      </c>
      <c r="AJ3" s="26" t="s">
        <v>188</v>
      </c>
      <c r="AK3" s="26" t="s">
        <v>189</v>
      </c>
      <c r="AL3" s="26" t="s">
        <v>190</v>
      </c>
      <c r="AM3" s="26" t="s">
        <v>191</v>
      </c>
      <c r="AN3" s="26" t="s">
        <v>192</v>
      </c>
      <c r="AO3" s="26" t="s">
        <v>193</v>
      </c>
      <c r="AP3" s="26" t="s">
        <v>194</v>
      </c>
      <c r="AQ3" s="26" t="s">
        <v>195</v>
      </c>
      <c r="AR3" s="26" t="s">
        <v>196</v>
      </c>
      <c r="AS3" s="26" t="s">
        <v>197</v>
      </c>
      <c r="AT3" s="26" t="s">
        <v>198</v>
      </c>
      <c r="AU3" s="26" t="s">
        <v>199</v>
      </c>
      <c r="AV3" s="26" t="s">
        <v>78</v>
      </c>
      <c r="AW3" s="26" t="s">
        <v>79</v>
      </c>
      <c r="AX3" s="26" t="s">
        <v>80</v>
      </c>
      <c r="AY3" s="26" t="s">
        <v>200</v>
      </c>
      <c r="AZ3" s="26" t="s">
        <v>201</v>
      </c>
      <c r="BA3" s="26" t="s">
        <v>202</v>
      </c>
      <c r="BB3" s="26" t="s">
        <v>203</v>
      </c>
      <c r="BC3" s="26" t="s">
        <v>83</v>
      </c>
      <c r="BD3" s="26" t="s">
        <v>204</v>
      </c>
      <c r="BE3" s="26" t="s">
        <v>205</v>
      </c>
      <c r="BF3" s="26" t="s">
        <v>81</v>
      </c>
      <c r="BG3" s="26" t="s">
        <v>82</v>
      </c>
      <c r="BH3" s="26" t="s">
        <v>206</v>
      </c>
      <c r="BI3" s="26" t="s">
        <v>207</v>
      </c>
    </row>
    <row r="4" customFormat="false" ht="15" hidden="false" customHeight="true" outlineLevel="0" collapsed="false">
      <c r="A4" s="27" t="s">
        <v>208</v>
      </c>
      <c r="B4" s="27" t="s">
        <v>209</v>
      </c>
      <c r="C4" s="27" t="s">
        <v>210</v>
      </c>
      <c r="D4" s="27" t="s">
        <v>211</v>
      </c>
      <c r="E4" s="27" t="s">
        <v>212</v>
      </c>
      <c r="F4" s="27" t="s">
        <v>213</v>
      </c>
      <c r="G4" s="27" t="s">
        <v>214</v>
      </c>
      <c r="H4" s="27" t="s">
        <v>215</v>
      </c>
      <c r="I4" s="27" t="s">
        <v>216</v>
      </c>
      <c r="J4" s="27" t="s">
        <v>217</v>
      </c>
      <c r="K4" s="27" t="s">
        <v>218</v>
      </c>
      <c r="L4" s="27" t="s">
        <v>219</v>
      </c>
      <c r="M4" s="27" t="s">
        <v>220</v>
      </c>
      <c r="N4" s="27" t="s">
        <v>221</v>
      </c>
      <c r="O4" s="27" t="s">
        <v>222</v>
      </c>
      <c r="P4" s="27" t="s">
        <v>168</v>
      </c>
      <c r="Q4" s="27" t="s">
        <v>169</v>
      </c>
      <c r="R4" s="27" t="s">
        <v>170</v>
      </c>
      <c r="S4" s="27" t="s">
        <v>223</v>
      </c>
      <c r="T4" s="27" t="s">
        <v>224</v>
      </c>
      <c r="U4" s="27" t="s">
        <v>225</v>
      </c>
      <c r="V4" s="27" t="s">
        <v>174</v>
      </c>
      <c r="W4" s="27" t="s">
        <v>175</v>
      </c>
      <c r="X4" s="27" t="s">
        <v>226</v>
      </c>
      <c r="Y4" s="27" t="s">
        <v>227</v>
      </c>
      <c r="Z4" s="27" t="s">
        <v>228</v>
      </c>
      <c r="AA4" s="27" t="s">
        <v>229</v>
      </c>
      <c r="AB4" s="27" t="s">
        <v>230</v>
      </c>
      <c r="AC4" s="27" t="s">
        <v>231</v>
      </c>
      <c r="AD4" s="27" t="s">
        <v>232</v>
      </c>
      <c r="AE4" s="27" t="s">
        <v>233</v>
      </c>
      <c r="AF4" s="27" t="s">
        <v>234</v>
      </c>
      <c r="AG4" s="27" t="s">
        <v>235</v>
      </c>
      <c r="AH4" s="27" t="s">
        <v>236</v>
      </c>
      <c r="AI4" s="27" t="s">
        <v>237</v>
      </c>
      <c r="AJ4" s="27" t="s">
        <v>238</v>
      </c>
      <c r="AK4" s="27" t="s">
        <v>239</v>
      </c>
      <c r="AL4" s="27" t="s">
        <v>240</v>
      </c>
      <c r="AM4" s="27" t="s">
        <v>241</v>
      </c>
      <c r="AN4" s="27" t="s">
        <v>242</v>
      </c>
      <c r="AO4" s="27" t="s">
        <v>243</v>
      </c>
      <c r="AP4" s="27" t="s">
        <v>244</v>
      </c>
      <c r="AQ4" s="27" t="s">
        <v>245</v>
      </c>
      <c r="AR4" s="27" t="s">
        <v>246</v>
      </c>
      <c r="AS4" s="27" t="s">
        <v>247</v>
      </c>
      <c r="AT4" s="27" t="s">
        <v>248</v>
      </c>
      <c r="AU4" s="27" t="s">
        <v>249</v>
      </c>
      <c r="AV4" s="27" t="s">
        <v>250</v>
      </c>
      <c r="AW4" s="27" t="s">
        <v>251</v>
      </c>
      <c r="AX4" s="27" t="s">
        <v>252</v>
      </c>
      <c r="AY4" s="27" t="s">
        <v>253</v>
      </c>
      <c r="AZ4" s="27" t="s">
        <v>254</v>
      </c>
      <c r="BA4" s="27" t="s">
        <v>255</v>
      </c>
      <c r="BB4" s="27" t="s">
        <v>256</v>
      </c>
      <c r="BC4" s="27" t="s">
        <v>257</v>
      </c>
      <c r="BD4" s="27" t="s">
        <v>258</v>
      </c>
      <c r="BE4" s="27" t="s">
        <v>259</v>
      </c>
      <c r="BF4" s="27" t="s">
        <v>260</v>
      </c>
      <c r="BG4" s="27" t="s">
        <v>261</v>
      </c>
      <c r="BH4" s="27" t="s">
        <v>262</v>
      </c>
      <c r="BI4" s="27" t="s">
        <v>263</v>
      </c>
    </row>
    <row r="5" customFormat="false" ht="23.25" hidden="false" customHeight="true" outlineLevel="0" collapsed="false">
      <c r="A5" s="28" t="str">
        <f aca="false">IF(OR(B5="",C5="",D5="",Z5=""),"","HIS-"&amp;RIGHT(YEAR(Z5),2)&amp;"-"&amp;TEXT(B5,"000")&amp;"-"&amp;C5&amp;"-"&amp;D5&amp;"-"&amp;TEXT(MONTH(Z5),"00"))</f>
        <v>HIS-26-000-NPC-M-09</v>
      </c>
      <c r="B5" s="29" t="n">
        <v>0</v>
      </c>
      <c r="C5" s="28" t="s">
        <v>11</v>
      </c>
      <c r="D5" s="28" t="s">
        <v>13</v>
      </c>
      <c r="E5" s="30" t="s">
        <v>275</v>
      </c>
      <c r="F5" s="28" t="s">
        <v>264</v>
      </c>
      <c r="G5" s="28" t="n">
        <v>54</v>
      </c>
      <c r="H5" s="28" t="s">
        <v>265</v>
      </c>
      <c r="I5" s="28" t="s">
        <v>20</v>
      </c>
      <c r="J5" s="28" t="s">
        <v>266</v>
      </c>
      <c r="K5" s="28" t="n">
        <v>20</v>
      </c>
      <c r="L5" s="28" t="s">
        <v>267</v>
      </c>
      <c r="M5" s="28" t="s">
        <v>268</v>
      </c>
      <c r="N5" s="28" t="s">
        <v>269</v>
      </c>
      <c r="O5" s="28" t="s">
        <v>270</v>
      </c>
      <c r="P5" s="28" t="s">
        <v>271</v>
      </c>
      <c r="Q5" s="28" t="s">
        <v>272</v>
      </c>
      <c r="R5" s="28" t="s">
        <v>273</v>
      </c>
      <c r="S5" s="28" t="s">
        <v>274</v>
      </c>
      <c r="T5" s="28" t="s">
        <v>275</v>
      </c>
      <c r="U5" s="28" t="s">
        <v>276</v>
      </c>
      <c r="V5" s="28"/>
      <c r="W5" s="28"/>
      <c r="X5" s="30" t="n">
        <v>46264</v>
      </c>
      <c r="Y5" s="30" t="n">
        <v>46268</v>
      </c>
      <c r="Z5" s="30" t="n">
        <v>46275</v>
      </c>
      <c r="AA5" s="30" t="n">
        <v>46279</v>
      </c>
      <c r="AB5" s="30" t="n">
        <v>46286</v>
      </c>
      <c r="AC5" s="30" t="n">
        <v>46289</v>
      </c>
      <c r="AD5" s="30" t="n">
        <v>46289</v>
      </c>
      <c r="AE5" s="28" t="s">
        <v>277</v>
      </c>
      <c r="AF5" s="28" t="s">
        <v>278</v>
      </c>
      <c r="AG5" s="30"/>
      <c r="AH5" s="30" t="n">
        <v>46290</v>
      </c>
      <c r="AI5" s="30" t="n">
        <v>46315</v>
      </c>
      <c r="AJ5" s="28" t="s">
        <v>277</v>
      </c>
      <c r="AK5" s="28" t="s">
        <v>279</v>
      </c>
      <c r="AL5" s="28"/>
      <c r="AM5" s="30"/>
      <c r="AN5" s="30"/>
      <c r="AO5" s="30"/>
      <c r="AP5" s="28" t="s">
        <v>279</v>
      </c>
      <c r="AQ5" s="28" t="s">
        <v>280</v>
      </c>
      <c r="AR5" s="28" t="n">
        <f aca="false">IF(A5="","",COUNTIF(MDT!$B$5:$B$104,A5))</f>
        <v>0</v>
      </c>
      <c r="AS5" s="28" t="n">
        <f aca="false">IF(A5="","",COUNTIFS(MDT!$B$5:$B$104,A5,MDT!$E$5:$E$104,"נדחה — מידע חסר"))</f>
        <v>0</v>
      </c>
      <c r="AT5" s="30" t="n">
        <v>46315</v>
      </c>
      <c r="AU5" s="28" t="s">
        <v>281</v>
      </c>
      <c r="AV5" s="31" t="n">
        <f aca="false">IF(OR(X5="",Z5=""),"",Z5-X5)</f>
        <v>11</v>
      </c>
      <c r="AW5" s="31" t="n">
        <f aca="false">IF(OR(Z5="",AC5=""),"",AC5-Z5)</f>
        <v>14</v>
      </c>
      <c r="AX5" s="31" t="n">
        <f aca="false">IF(OR(AD5="",AI5=""),"",AI5-AD5)</f>
        <v>26</v>
      </c>
      <c r="AY5" s="31" t="n">
        <f aca="false">IF(OR(Z5="",AI5=""),"",AI5-Z5)</f>
        <v>40</v>
      </c>
      <c r="AZ5" s="32" t="n">
        <f aca="false">IF(AY5="","",IF(AY5&lt;=30,1,0))</f>
        <v>0</v>
      </c>
      <c r="BA5" s="32" t="n">
        <f aca="false">IF(AY5="","",IF(AY5&gt;60,1,0))</f>
        <v>0</v>
      </c>
      <c r="BB5" s="32" t="n">
        <f aca="false">IF(AY5="","",IF(AY5&gt;67,1,0))</f>
        <v>0</v>
      </c>
      <c r="BC5" s="32" t="str">
        <f aca="false">IF(OR(AJ5&lt;&gt;"ניתוח",AX5=""),"",IF(AX5&lt;=30,1,0))</f>
        <v/>
      </c>
      <c r="BD5" s="28" t="str">
        <f aca="false">IF(OR(AG5="",AI5="",AJ5&lt;&gt;"ניתוח"),"",AI5-AG5)</f>
        <v/>
      </c>
      <c r="BE5" s="31" t="n">
        <f aca="false">IF(OR(AH5="",AI5="",AND(AJ5&lt;&gt;"הקרנות",AJ5&lt;&gt;"כימו-הקרנות")),"",AI5-AH5)</f>
        <v>25</v>
      </c>
      <c r="BF5" s="28" t="str">
        <f aca="false">IF(OR(AJ5&lt;&gt;"ניתוח",AI5="",AN5=""),"",AN5-AI5)</f>
        <v/>
      </c>
      <c r="BG5" s="28" t="str">
        <f aca="false">IF(OR(AJ5&lt;&gt;"ניתוח",AI5="",AO5=""),"",AO5-AI5)</f>
        <v/>
      </c>
      <c r="BH5" s="32" t="str">
        <f aca="false">IF(BG5="","",IF(BG5&lt;=42,1,0))</f>
        <v/>
      </c>
      <c r="BI5" s="28" t="s">
        <v>282</v>
      </c>
    </row>
    <row r="6" customFormat="false" ht="15" hidden="false" customHeight="true" outlineLevel="0" collapsed="false">
      <c r="A6" s="33" t="str">
        <f aca="false">IF(OR(B6="",C6="",D6="",Z6=""),"","HIS-"&amp;RIGHT(YEAR(Z6),2)&amp;"-"&amp;TEXT(B6,"000")&amp;"-"&amp;C6&amp;"-"&amp;D6&amp;"-"&amp;TEXT(MONTH(Z6),"00"))</f>
        <v/>
      </c>
      <c r="B6" s="34" t="n">
        <v>1</v>
      </c>
      <c r="C6" s="35"/>
      <c r="D6" s="35"/>
      <c r="E6" s="39" t="s">
        <v>275</v>
      </c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6"/>
      <c r="Y6" s="36"/>
      <c r="Z6" s="36"/>
      <c r="AA6" s="36"/>
      <c r="AB6" s="36"/>
      <c r="AC6" s="36"/>
      <c r="AD6" s="36"/>
      <c r="AE6" s="35"/>
      <c r="AF6" s="35"/>
      <c r="AG6" s="36"/>
      <c r="AH6" s="36"/>
      <c r="AI6" s="36"/>
      <c r="AJ6" s="35"/>
      <c r="AK6" s="35"/>
      <c r="AL6" s="35"/>
      <c r="AM6" s="36"/>
      <c r="AN6" s="36"/>
      <c r="AO6" s="36"/>
      <c r="AP6" s="35"/>
      <c r="AQ6" s="35"/>
      <c r="AR6" s="37" t="str">
        <f aca="false">IF(A6="","",COUNTIF(MDT!$B$5:$B$104,A6))</f>
        <v/>
      </c>
      <c r="AS6" s="37" t="str">
        <f aca="false">IF(A6="","",COUNTIFS(MDT!$B$5:$B$104,A6,MDT!$E$5:$E$104,"נדחה — מידע חסר"))</f>
        <v/>
      </c>
      <c r="AT6" s="36"/>
      <c r="AU6" s="35"/>
      <c r="AV6" s="33" t="str">
        <f aca="false">IF(OR(X6="",Z6=""),"",Z6-X6)</f>
        <v/>
      </c>
      <c r="AW6" s="37" t="str">
        <f aca="false">IF(OR(Z6="",AC6=""),"",AC6-Z6)</f>
        <v/>
      </c>
      <c r="AX6" s="37" t="str">
        <f aca="false">IF(OR(AD6="",AI6=""),"",AI6-AD6)</f>
        <v/>
      </c>
      <c r="AY6" s="37" t="str">
        <f aca="false">IF(OR(Z6="",AI6=""),"",AI6-Z6)</f>
        <v/>
      </c>
      <c r="AZ6" s="38" t="str">
        <f aca="false">IF(AY6="","",IF(AY6&lt;=30,1,0))</f>
        <v/>
      </c>
      <c r="BA6" s="38" t="str">
        <f aca="false">IF(AY6="","",IF(AY6&gt;60,1,0))</f>
        <v/>
      </c>
      <c r="BB6" s="38" t="str">
        <f aca="false">IF(AY6="","",IF(AY6&gt;67,1,0))</f>
        <v/>
      </c>
      <c r="BC6" s="38" t="str">
        <f aca="false">IF(OR(AJ6&lt;&gt;"ניתוח",AX6=""),"",IF(AX6&lt;=30,1,0))</f>
        <v/>
      </c>
      <c r="BD6" s="37" t="str">
        <f aca="false">IF(OR(AG6="",AI6="",AJ6&lt;&gt;"ניתוח"),"",AI6-AG6)</f>
        <v/>
      </c>
      <c r="BE6" s="33" t="str">
        <f aca="false">IF(OR(AH6="",AI6="",AND(AJ6&lt;&gt;"הקרנות",AJ6&lt;&gt;"כימו-הקרנות")),"",AI6-AH6)</f>
        <v/>
      </c>
      <c r="BF6" s="37" t="str">
        <f aca="false">IF(OR(AJ6&lt;&gt;"ניתוח",AI6="",AN6=""),"",AN6-AI6)</f>
        <v/>
      </c>
      <c r="BG6" s="37" t="str">
        <f aca="false">IF(OR(AJ6&lt;&gt;"ניתוח",AI6="",AO6=""),"",AO6-AI6)</f>
        <v/>
      </c>
      <c r="BH6" s="38" t="str">
        <f aca="false">IF(BG6="","",IF(BG6&lt;=42,1,0))</f>
        <v/>
      </c>
      <c r="BI6" s="35"/>
    </row>
    <row r="7" customFormat="false" ht="15" hidden="false" customHeight="true" outlineLevel="0" collapsed="false">
      <c r="A7" s="33" t="str">
        <f aca="false">IF(OR(B7="",C7="",D7="",Z7=""),"","HIS-"&amp;RIGHT(YEAR(Z7),2)&amp;"-"&amp;TEXT(B7,"000")&amp;"-"&amp;C7&amp;"-"&amp;D7&amp;"-"&amp;TEXT(MONTH(Z7),"00"))</f>
        <v/>
      </c>
      <c r="B7" s="34" t="n">
        <v>2</v>
      </c>
      <c r="C7" s="35"/>
      <c r="D7" s="35"/>
      <c r="E7" s="39" t="s">
        <v>275</v>
      </c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6"/>
      <c r="Y7" s="36"/>
      <c r="Z7" s="36"/>
      <c r="AA7" s="36"/>
      <c r="AB7" s="36"/>
      <c r="AC7" s="36"/>
      <c r="AD7" s="36"/>
      <c r="AE7" s="35"/>
      <c r="AF7" s="35"/>
      <c r="AG7" s="36"/>
      <c r="AH7" s="36"/>
      <c r="AI7" s="36"/>
      <c r="AJ7" s="35"/>
      <c r="AK7" s="35"/>
      <c r="AL7" s="35"/>
      <c r="AM7" s="36"/>
      <c r="AN7" s="36"/>
      <c r="AO7" s="36"/>
      <c r="AP7" s="35"/>
      <c r="AQ7" s="35"/>
      <c r="AR7" s="37" t="str">
        <f aca="false">IF(A7="","",COUNTIF(MDT!$B$5:$B$104,A7))</f>
        <v/>
      </c>
      <c r="AS7" s="37" t="str">
        <f aca="false">IF(A7="","",COUNTIFS(MDT!$B$5:$B$104,A7,MDT!$E$5:$E$104,"נדחה — מידע חסר"))</f>
        <v/>
      </c>
      <c r="AT7" s="36"/>
      <c r="AU7" s="35"/>
      <c r="AV7" s="33" t="str">
        <f aca="false">IF(OR(X7="",Z7=""),"",Z7-X7)</f>
        <v/>
      </c>
      <c r="AW7" s="37" t="str">
        <f aca="false">IF(OR(Z7="",AC7=""),"",AC7-Z7)</f>
        <v/>
      </c>
      <c r="AX7" s="37" t="str">
        <f aca="false">IF(OR(AD7="",AI7=""),"",AI7-AD7)</f>
        <v/>
      </c>
      <c r="AY7" s="37" t="str">
        <f aca="false">IF(OR(Z7="",AI7=""),"",AI7-Z7)</f>
        <v/>
      </c>
      <c r="AZ7" s="38" t="str">
        <f aca="false">IF(AY7="","",IF(AY7&lt;=30,1,0))</f>
        <v/>
      </c>
      <c r="BA7" s="38" t="str">
        <f aca="false">IF(AY7="","",IF(AY7&gt;60,1,0))</f>
        <v/>
      </c>
      <c r="BB7" s="38" t="str">
        <f aca="false">IF(AY7="","",IF(AY7&gt;67,1,0))</f>
        <v/>
      </c>
      <c r="BC7" s="38" t="str">
        <f aca="false">IF(OR(AJ7&lt;&gt;"ניתוח",AX7=""),"",IF(AX7&lt;=30,1,0))</f>
        <v/>
      </c>
      <c r="BD7" s="37" t="str">
        <f aca="false">IF(OR(AG7="",AI7="",AJ7&lt;&gt;"ניתוח"),"",AI7-AG7)</f>
        <v/>
      </c>
      <c r="BE7" s="33" t="str">
        <f aca="false">IF(OR(AH7="",AI7="",AND(AJ7&lt;&gt;"הקרנות",AJ7&lt;&gt;"כימו-הקרנות")),"",AI7-AH7)</f>
        <v/>
      </c>
      <c r="BF7" s="37" t="str">
        <f aca="false">IF(OR(AJ7&lt;&gt;"ניתוח",AI7="",AN7=""),"",AN7-AI7)</f>
        <v/>
      </c>
      <c r="BG7" s="37" t="str">
        <f aca="false">IF(OR(AJ7&lt;&gt;"ניתוח",AI7="",AO7=""),"",AO7-AI7)</f>
        <v/>
      </c>
      <c r="BH7" s="38" t="str">
        <f aca="false">IF(BG7="","",IF(BG7&lt;=42,1,0))</f>
        <v/>
      </c>
      <c r="BI7" s="35"/>
    </row>
    <row r="8" customFormat="false" ht="15" hidden="false" customHeight="true" outlineLevel="0" collapsed="false">
      <c r="A8" s="33" t="str">
        <f aca="false">IF(OR(B8="",C8="",D8="",Z8=""),"","HIS-"&amp;RIGHT(YEAR(Z8),2)&amp;"-"&amp;TEXT(B8,"000")&amp;"-"&amp;C8&amp;"-"&amp;D8&amp;"-"&amp;TEXT(MONTH(Z8),"00"))</f>
        <v/>
      </c>
      <c r="B8" s="34" t="n">
        <v>3</v>
      </c>
      <c r="C8" s="35"/>
      <c r="D8" s="35"/>
      <c r="E8" s="39" t="s">
        <v>275</v>
      </c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6"/>
      <c r="Y8" s="36"/>
      <c r="Z8" s="36"/>
      <c r="AA8" s="36"/>
      <c r="AB8" s="36"/>
      <c r="AC8" s="36"/>
      <c r="AD8" s="36"/>
      <c r="AE8" s="35"/>
      <c r="AF8" s="35"/>
      <c r="AG8" s="36"/>
      <c r="AH8" s="36"/>
      <c r="AI8" s="36"/>
      <c r="AJ8" s="35"/>
      <c r="AK8" s="35"/>
      <c r="AL8" s="35"/>
      <c r="AM8" s="36"/>
      <c r="AN8" s="36"/>
      <c r="AO8" s="36"/>
      <c r="AP8" s="35"/>
      <c r="AQ8" s="35"/>
      <c r="AR8" s="37" t="str">
        <f aca="false">IF(A8="","",COUNTIF(MDT!$B$5:$B$104,A8))</f>
        <v/>
      </c>
      <c r="AS8" s="37" t="str">
        <f aca="false">IF(A8="","",COUNTIFS(MDT!$B$5:$B$104,A8,MDT!$E$5:$E$104,"נדחה — מידע חסר"))</f>
        <v/>
      </c>
      <c r="AT8" s="36"/>
      <c r="AU8" s="35"/>
      <c r="AV8" s="33" t="str">
        <f aca="false">IF(OR(X8="",Z8=""),"",Z8-X8)</f>
        <v/>
      </c>
      <c r="AW8" s="37" t="str">
        <f aca="false">IF(OR(Z8="",AC8=""),"",AC8-Z8)</f>
        <v/>
      </c>
      <c r="AX8" s="37" t="str">
        <f aca="false">IF(OR(AD8="",AI8=""),"",AI8-AD8)</f>
        <v/>
      </c>
      <c r="AY8" s="37" t="str">
        <f aca="false">IF(OR(Z8="",AI8=""),"",AI8-Z8)</f>
        <v/>
      </c>
      <c r="AZ8" s="38" t="str">
        <f aca="false">IF(AY8="","",IF(AY8&lt;=30,1,0))</f>
        <v/>
      </c>
      <c r="BA8" s="38" t="str">
        <f aca="false">IF(AY8="","",IF(AY8&gt;60,1,0))</f>
        <v/>
      </c>
      <c r="BB8" s="38" t="str">
        <f aca="false">IF(AY8="","",IF(AY8&gt;67,1,0))</f>
        <v/>
      </c>
      <c r="BC8" s="38" t="str">
        <f aca="false">IF(OR(AJ8&lt;&gt;"ניתוח",AX8=""),"",IF(AX8&lt;=30,1,0))</f>
        <v/>
      </c>
      <c r="BD8" s="37" t="str">
        <f aca="false">IF(OR(AG8="",AI8="",AJ8&lt;&gt;"ניתוח"),"",AI8-AG8)</f>
        <v/>
      </c>
      <c r="BE8" s="33" t="str">
        <f aca="false">IF(OR(AH8="",AI8="",AND(AJ8&lt;&gt;"הקרנות",AJ8&lt;&gt;"כימו-הקרנות")),"",AI8-AH8)</f>
        <v/>
      </c>
      <c r="BF8" s="37" t="str">
        <f aca="false">IF(OR(AJ8&lt;&gt;"ניתוח",AI8="",AN8=""),"",AN8-AI8)</f>
        <v/>
      </c>
      <c r="BG8" s="37" t="str">
        <f aca="false">IF(OR(AJ8&lt;&gt;"ניתוח",AI8="",AO8=""),"",AO8-AI8)</f>
        <v/>
      </c>
      <c r="BH8" s="38" t="str">
        <f aca="false">IF(BG8="","",IF(BG8&lt;=42,1,0))</f>
        <v/>
      </c>
      <c r="BI8" s="35"/>
    </row>
    <row r="9" customFormat="false" ht="15" hidden="false" customHeight="true" outlineLevel="0" collapsed="false">
      <c r="A9" s="33" t="str">
        <f aca="false">IF(OR(B9="",C9="",D9="",Z9=""),"","HIS-"&amp;RIGHT(YEAR(Z9),2)&amp;"-"&amp;TEXT(B9,"000")&amp;"-"&amp;C9&amp;"-"&amp;D9&amp;"-"&amp;TEXT(MONTH(Z9),"00"))</f>
        <v/>
      </c>
      <c r="B9" s="34" t="n">
        <v>4</v>
      </c>
      <c r="C9" s="35"/>
      <c r="D9" s="35"/>
      <c r="E9" s="39" t="s">
        <v>275</v>
      </c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6"/>
      <c r="Y9" s="36"/>
      <c r="Z9" s="36"/>
      <c r="AA9" s="36"/>
      <c r="AB9" s="36"/>
      <c r="AC9" s="36"/>
      <c r="AD9" s="36"/>
      <c r="AE9" s="35"/>
      <c r="AF9" s="35"/>
      <c r="AG9" s="36"/>
      <c r="AH9" s="36"/>
      <c r="AI9" s="36"/>
      <c r="AJ9" s="35"/>
      <c r="AK9" s="35"/>
      <c r="AL9" s="35"/>
      <c r="AM9" s="36"/>
      <c r="AN9" s="36"/>
      <c r="AO9" s="36"/>
      <c r="AP9" s="35"/>
      <c r="AQ9" s="35"/>
      <c r="AR9" s="37" t="str">
        <f aca="false">IF(A9="","",COUNTIF(MDT!$B$5:$B$104,A9))</f>
        <v/>
      </c>
      <c r="AS9" s="37" t="str">
        <f aca="false">IF(A9="","",COUNTIFS(MDT!$B$5:$B$104,A9,MDT!$E$5:$E$104,"נדחה — מידע חסר"))</f>
        <v/>
      </c>
      <c r="AT9" s="36"/>
      <c r="AU9" s="35"/>
      <c r="AV9" s="33" t="str">
        <f aca="false">IF(OR(X9="",Z9=""),"",Z9-X9)</f>
        <v/>
      </c>
      <c r="AW9" s="37" t="str">
        <f aca="false">IF(OR(Z9="",AC9=""),"",AC9-Z9)</f>
        <v/>
      </c>
      <c r="AX9" s="37" t="str">
        <f aca="false">IF(OR(AD9="",AI9=""),"",AI9-AD9)</f>
        <v/>
      </c>
      <c r="AY9" s="37" t="str">
        <f aca="false">IF(OR(Z9="",AI9=""),"",AI9-Z9)</f>
        <v/>
      </c>
      <c r="AZ9" s="38" t="str">
        <f aca="false">IF(AY9="","",IF(AY9&lt;=30,1,0))</f>
        <v/>
      </c>
      <c r="BA9" s="38" t="str">
        <f aca="false">IF(AY9="","",IF(AY9&gt;60,1,0))</f>
        <v/>
      </c>
      <c r="BB9" s="38" t="str">
        <f aca="false">IF(AY9="","",IF(AY9&gt;67,1,0))</f>
        <v/>
      </c>
      <c r="BC9" s="38" t="str">
        <f aca="false">IF(OR(AJ9&lt;&gt;"ניתוח",AX9=""),"",IF(AX9&lt;=30,1,0))</f>
        <v/>
      </c>
      <c r="BD9" s="37" t="str">
        <f aca="false">IF(OR(AG9="",AI9="",AJ9&lt;&gt;"ניתוח"),"",AI9-AG9)</f>
        <v/>
      </c>
      <c r="BE9" s="33" t="str">
        <f aca="false">IF(OR(AH9="",AI9="",AND(AJ9&lt;&gt;"הקרנות",AJ9&lt;&gt;"כימו-הקרנות")),"",AI9-AH9)</f>
        <v/>
      </c>
      <c r="BF9" s="37" t="str">
        <f aca="false">IF(OR(AJ9&lt;&gt;"ניתוח",AI9="",AN9=""),"",AN9-AI9)</f>
        <v/>
      </c>
      <c r="BG9" s="37" t="str">
        <f aca="false">IF(OR(AJ9&lt;&gt;"ניתוח",AI9="",AO9=""),"",AO9-AI9)</f>
        <v/>
      </c>
      <c r="BH9" s="38" t="str">
        <f aca="false">IF(BG9="","",IF(BG9&lt;=42,1,0))</f>
        <v/>
      </c>
      <c r="BI9" s="35"/>
    </row>
    <row r="10" customFormat="false" ht="15" hidden="false" customHeight="true" outlineLevel="0" collapsed="false">
      <c r="A10" s="33" t="str">
        <f aca="false">IF(OR(B10="",C10="",D10="",Z10=""),"","HIS-"&amp;RIGHT(YEAR(Z10),2)&amp;"-"&amp;TEXT(B10,"000")&amp;"-"&amp;C10&amp;"-"&amp;D10&amp;"-"&amp;TEXT(MONTH(Z10),"00"))</f>
        <v/>
      </c>
      <c r="B10" s="34" t="n">
        <v>5</v>
      </c>
      <c r="C10" s="35"/>
      <c r="D10" s="35"/>
      <c r="E10" s="39" t="s">
        <v>275</v>
      </c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6"/>
      <c r="Y10" s="36"/>
      <c r="Z10" s="36"/>
      <c r="AA10" s="36"/>
      <c r="AB10" s="36"/>
      <c r="AC10" s="36"/>
      <c r="AD10" s="36"/>
      <c r="AE10" s="35"/>
      <c r="AF10" s="35"/>
      <c r="AG10" s="36"/>
      <c r="AH10" s="36"/>
      <c r="AI10" s="36"/>
      <c r="AJ10" s="35"/>
      <c r="AK10" s="35"/>
      <c r="AL10" s="35"/>
      <c r="AM10" s="36"/>
      <c r="AN10" s="36"/>
      <c r="AO10" s="36"/>
      <c r="AP10" s="35"/>
      <c r="AQ10" s="35"/>
      <c r="AR10" s="37" t="str">
        <f aca="false">IF(A10="","",COUNTIF(MDT!$B$5:$B$104,A10))</f>
        <v/>
      </c>
      <c r="AS10" s="37" t="str">
        <f aca="false">IF(A10="","",COUNTIFS(MDT!$B$5:$B$104,A10,MDT!$E$5:$E$104,"נדחה — מידע חסר"))</f>
        <v/>
      </c>
      <c r="AT10" s="36"/>
      <c r="AU10" s="35"/>
      <c r="AV10" s="33" t="str">
        <f aca="false">IF(OR(X10="",Z10=""),"",Z10-X10)</f>
        <v/>
      </c>
      <c r="AW10" s="37" t="str">
        <f aca="false">IF(OR(Z10="",AC10=""),"",AC10-Z10)</f>
        <v/>
      </c>
      <c r="AX10" s="37" t="str">
        <f aca="false">IF(OR(AD10="",AI10=""),"",AI10-AD10)</f>
        <v/>
      </c>
      <c r="AY10" s="37" t="str">
        <f aca="false">IF(OR(Z10="",AI10=""),"",AI10-Z10)</f>
        <v/>
      </c>
      <c r="AZ10" s="38" t="str">
        <f aca="false">IF(AY10="","",IF(AY10&lt;=30,1,0))</f>
        <v/>
      </c>
      <c r="BA10" s="38" t="str">
        <f aca="false">IF(AY10="","",IF(AY10&gt;60,1,0))</f>
        <v/>
      </c>
      <c r="BB10" s="38" t="str">
        <f aca="false">IF(AY10="","",IF(AY10&gt;67,1,0))</f>
        <v/>
      </c>
      <c r="BC10" s="38" t="str">
        <f aca="false">IF(OR(AJ10&lt;&gt;"ניתוח",AX10=""),"",IF(AX10&lt;=30,1,0))</f>
        <v/>
      </c>
      <c r="BD10" s="37" t="str">
        <f aca="false">IF(OR(AG10="",AI10="",AJ10&lt;&gt;"ניתוח"),"",AI10-AG10)</f>
        <v/>
      </c>
      <c r="BE10" s="33" t="str">
        <f aca="false">IF(OR(AH10="",AI10="",AND(AJ10&lt;&gt;"הקרנות",AJ10&lt;&gt;"כימו-הקרנות")),"",AI10-AH10)</f>
        <v/>
      </c>
      <c r="BF10" s="37" t="str">
        <f aca="false">IF(OR(AJ10&lt;&gt;"ניתוח",AI10="",AN10=""),"",AN10-AI10)</f>
        <v/>
      </c>
      <c r="BG10" s="37" t="str">
        <f aca="false">IF(OR(AJ10&lt;&gt;"ניתוח",AI10="",AO10=""),"",AO10-AI10)</f>
        <v/>
      </c>
      <c r="BH10" s="38" t="str">
        <f aca="false">IF(BG10="","",IF(BG10&lt;=42,1,0))</f>
        <v/>
      </c>
      <c r="BI10" s="35"/>
    </row>
    <row r="11" customFormat="false" ht="15" hidden="false" customHeight="true" outlineLevel="0" collapsed="false">
      <c r="A11" s="33" t="str">
        <f aca="false">IF(OR(B11="",C11="",D11="",Z11=""),"","HIS-"&amp;RIGHT(YEAR(Z11),2)&amp;"-"&amp;TEXT(B11,"000")&amp;"-"&amp;C11&amp;"-"&amp;D11&amp;"-"&amp;TEXT(MONTH(Z11),"00"))</f>
        <v/>
      </c>
      <c r="B11" s="34" t="n">
        <v>6</v>
      </c>
      <c r="C11" s="35"/>
      <c r="D11" s="35"/>
      <c r="E11" s="39" t="s">
        <v>275</v>
      </c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6"/>
      <c r="Y11" s="36"/>
      <c r="Z11" s="36"/>
      <c r="AA11" s="36"/>
      <c r="AB11" s="36"/>
      <c r="AC11" s="36"/>
      <c r="AD11" s="36"/>
      <c r="AE11" s="35"/>
      <c r="AF11" s="35"/>
      <c r="AG11" s="36"/>
      <c r="AH11" s="36"/>
      <c r="AI11" s="36"/>
      <c r="AJ11" s="35"/>
      <c r="AK11" s="35"/>
      <c r="AL11" s="35"/>
      <c r="AM11" s="36"/>
      <c r="AN11" s="36"/>
      <c r="AO11" s="36"/>
      <c r="AP11" s="35"/>
      <c r="AQ11" s="35"/>
      <c r="AR11" s="37" t="str">
        <f aca="false">IF(A11="","",COUNTIF(MDT!$B$5:$B$104,A11))</f>
        <v/>
      </c>
      <c r="AS11" s="37" t="str">
        <f aca="false">IF(A11="","",COUNTIFS(MDT!$B$5:$B$104,A11,MDT!$E$5:$E$104,"נדחה — מידע חסר"))</f>
        <v/>
      </c>
      <c r="AT11" s="36"/>
      <c r="AU11" s="35"/>
      <c r="AV11" s="33" t="str">
        <f aca="false">IF(OR(X11="",Z11=""),"",Z11-X11)</f>
        <v/>
      </c>
      <c r="AW11" s="37" t="str">
        <f aca="false">IF(OR(Z11="",AC11=""),"",AC11-Z11)</f>
        <v/>
      </c>
      <c r="AX11" s="37" t="str">
        <f aca="false">IF(OR(AD11="",AI11=""),"",AI11-AD11)</f>
        <v/>
      </c>
      <c r="AY11" s="37" t="str">
        <f aca="false">IF(OR(Z11="",AI11=""),"",AI11-Z11)</f>
        <v/>
      </c>
      <c r="AZ11" s="38" t="str">
        <f aca="false">IF(AY11="","",IF(AY11&lt;=30,1,0))</f>
        <v/>
      </c>
      <c r="BA11" s="38" t="str">
        <f aca="false">IF(AY11="","",IF(AY11&gt;60,1,0))</f>
        <v/>
      </c>
      <c r="BB11" s="38" t="str">
        <f aca="false">IF(AY11="","",IF(AY11&gt;67,1,0))</f>
        <v/>
      </c>
      <c r="BC11" s="38" t="str">
        <f aca="false">IF(OR(AJ11&lt;&gt;"ניתוח",AX11=""),"",IF(AX11&lt;=30,1,0))</f>
        <v/>
      </c>
      <c r="BD11" s="37" t="str">
        <f aca="false">IF(OR(AG11="",AI11="",AJ11&lt;&gt;"ניתוח"),"",AI11-AG11)</f>
        <v/>
      </c>
      <c r="BE11" s="33" t="str">
        <f aca="false">IF(OR(AH11="",AI11="",AND(AJ11&lt;&gt;"הקרנות",AJ11&lt;&gt;"כימו-הקרנות")),"",AI11-AH11)</f>
        <v/>
      </c>
      <c r="BF11" s="37" t="str">
        <f aca="false">IF(OR(AJ11&lt;&gt;"ניתוח",AI11="",AN11=""),"",AN11-AI11)</f>
        <v/>
      </c>
      <c r="BG11" s="37" t="str">
        <f aca="false">IF(OR(AJ11&lt;&gt;"ניתוח",AI11="",AO11=""),"",AO11-AI11)</f>
        <v/>
      </c>
      <c r="BH11" s="38" t="str">
        <f aca="false">IF(BG11="","",IF(BG11&lt;=42,1,0))</f>
        <v/>
      </c>
      <c r="BI11" s="35"/>
    </row>
    <row r="12" customFormat="false" ht="15" hidden="false" customHeight="true" outlineLevel="0" collapsed="false">
      <c r="A12" s="33" t="str">
        <f aca="false">IF(OR(B12="",C12="",D12="",Z12=""),"","HIS-"&amp;RIGHT(YEAR(Z12),2)&amp;"-"&amp;TEXT(B12,"000")&amp;"-"&amp;C12&amp;"-"&amp;D12&amp;"-"&amp;TEXT(MONTH(Z12),"00"))</f>
        <v/>
      </c>
      <c r="B12" s="34" t="n">
        <v>7</v>
      </c>
      <c r="C12" s="35"/>
      <c r="D12" s="35"/>
      <c r="E12" s="39" t="s">
        <v>275</v>
      </c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6"/>
      <c r="Y12" s="36"/>
      <c r="Z12" s="36"/>
      <c r="AA12" s="36"/>
      <c r="AB12" s="36"/>
      <c r="AC12" s="36"/>
      <c r="AD12" s="36"/>
      <c r="AE12" s="35"/>
      <c r="AF12" s="35"/>
      <c r="AG12" s="36"/>
      <c r="AH12" s="36"/>
      <c r="AI12" s="36"/>
      <c r="AJ12" s="35"/>
      <c r="AK12" s="35"/>
      <c r="AL12" s="35"/>
      <c r="AM12" s="36"/>
      <c r="AN12" s="36"/>
      <c r="AO12" s="36"/>
      <c r="AP12" s="35"/>
      <c r="AQ12" s="35"/>
      <c r="AR12" s="37" t="str">
        <f aca="false">IF(A12="","",COUNTIF(MDT!$B$5:$B$104,A12))</f>
        <v/>
      </c>
      <c r="AS12" s="37" t="str">
        <f aca="false">IF(A12="","",COUNTIFS(MDT!$B$5:$B$104,A12,MDT!$E$5:$E$104,"נדחה — מידע חסר"))</f>
        <v/>
      </c>
      <c r="AT12" s="36"/>
      <c r="AU12" s="35"/>
      <c r="AV12" s="33" t="str">
        <f aca="false">IF(OR(X12="",Z12=""),"",Z12-X12)</f>
        <v/>
      </c>
      <c r="AW12" s="37" t="str">
        <f aca="false">IF(OR(Z12="",AC12=""),"",AC12-Z12)</f>
        <v/>
      </c>
      <c r="AX12" s="37" t="str">
        <f aca="false">IF(OR(AD12="",AI12=""),"",AI12-AD12)</f>
        <v/>
      </c>
      <c r="AY12" s="37" t="str">
        <f aca="false">IF(OR(Z12="",AI12=""),"",AI12-Z12)</f>
        <v/>
      </c>
      <c r="AZ12" s="38" t="str">
        <f aca="false">IF(AY12="","",IF(AY12&lt;=30,1,0))</f>
        <v/>
      </c>
      <c r="BA12" s="38" t="str">
        <f aca="false">IF(AY12="","",IF(AY12&gt;60,1,0))</f>
        <v/>
      </c>
      <c r="BB12" s="38" t="str">
        <f aca="false">IF(AY12="","",IF(AY12&gt;67,1,0))</f>
        <v/>
      </c>
      <c r="BC12" s="38" t="str">
        <f aca="false">IF(OR(AJ12&lt;&gt;"ניתוח",AX12=""),"",IF(AX12&lt;=30,1,0))</f>
        <v/>
      </c>
      <c r="BD12" s="37" t="str">
        <f aca="false">IF(OR(AG12="",AI12="",AJ12&lt;&gt;"ניתוח"),"",AI12-AG12)</f>
        <v/>
      </c>
      <c r="BE12" s="33" t="str">
        <f aca="false">IF(OR(AH12="",AI12="",AND(AJ12&lt;&gt;"הקרנות",AJ12&lt;&gt;"כימו-הקרנות")),"",AI12-AH12)</f>
        <v/>
      </c>
      <c r="BF12" s="37" t="str">
        <f aca="false">IF(OR(AJ12&lt;&gt;"ניתוח",AI12="",AN12=""),"",AN12-AI12)</f>
        <v/>
      </c>
      <c r="BG12" s="37" t="str">
        <f aca="false">IF(OR(AJ12&lt;&gt;"ניתוח",AI12="",AO12=""),"",AO12-AI12)</f>
        <v/>
      </c>
      <c r="BH12" s="38" t="str">
        <f aca="false">IF(BG12="","",IF(BG12&lt;=42,1,0))</f>
        <v/>
      </c>
      <c r="BI12" s="35"/>
    </row>
    <row r="13" customFormat="false" ht="15" hidden="false" customHeight="true" outlineLevel="0" collapsed="false">
      <c r="A13" s="33" t="str">
        <f aca="false">IF(OR(B13="",C13="",D13="",Z13=""),"","HIS-"&amp;RIGHT(YEAR(Z13),2)&amp;"-"&amp;TEXT(B13,"000")&amp;"-"&amp;C13&amp;"-"&amp;D13&amp;"-"&amp;TEXT(MONTH(Z13),"00"))</f>
        <v/>
      </c>
      <c r="B13" s="34" t="n">
        <v>8</v>
      </c>
      <c r="C13" s="35"/>
      <c r="D13" s="35"/>
      <c r="E13" s="39" t="s">
        <v>275</v>
      </c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6"/>
      <c r="Y13" s="36"/>
      <c r="Z13" s="36"/>
      <c r="AA13" s="36"/>
      <c r="AB13" s="36"/>
      <c r="AC13" s="36"/>
      <c r="AD13" s="36"/>
      <c r="AE13" s="35"/>
      <c r="AF13" s="35"/>
      <c r="AG13" s="36"/>
      <c r="AH13" s="36"/>
      <c r="AI13" s="36"/>
      <c r="AJ13" s="35"/>
      <c r="AK13" s="35"/>
      <c r="AL13" s="35"/>
      <c r="AM13" s="36"/>
      <c r="AN13" s="36"/>
      <c r="AO13" s="36"/>
      <c r="AP13" s="35"/>
      <c r="AQ13" s="35"/>
      <c r="AR13" s="37" t="str">
        <f aca="false">IF(A13="","",COUNTIF(MDT!$B$5:$B$104,A13))</f>
        <v/>
      </c>
      <c r="AS13" s="37" t="str">
        <f aca="false">IF(A13="","",COUNTIFS(MDT!$B$5:$B$104,A13,MDT!$E$5:$E$104,"נדחה — מידע חסר"))</f>
        <v/>
      </c>
      <c r="AT13" s="36"/>
      <c r="AU13" s="35"/>
      <c r="AV13" s="33" t="str">
        <f aca="false">IF(OR(X13="",Z13=""),"",Z13-X13)</f>
        <v/>
      </c>
      <c r="AW13" s="37" t="str">
        <f aca="false">IF(OR(Z13="",AC13=""),"",AC13-Z13)</f>
        <v/>
      </c>
      <c r="AX13" s="37" t="str">
        <f aca="false">IF(OR(AD13="",AI13=""),"",AI13-AD13)</f>
        <v/>
      </c>
      <c r="AY13" s="37" t="str">
        <f aca="false">IF(OR(Z13="",AI13=""),"",AI13-Z13)</f>
        <v/>
      </c>
      <c r="AZ13" s="38" t="str">
        <f aca="false">IF(AY13="","",IF(AY13&lt;=30,1,0))</f>
        <v/>
      </c>
      <c r="BA13" s="38" t="str">
        <f aca="false">IF(AY13="","",IF(AY13&gt;60,1,0))</f>
        <v/>
      </c>
      <c r="BB13" s="38" t="str">
        <f aca="false">IF(AY13="","",IF(AY13&gt;67,1,0))</f>
        <v/>
      </c>
      <c r="BC13" s="38" t="str">
        <f aca="false">IF(OR(AJ13&lt;&gt;"ניתוח",AX13=""),"",IF(AX13&lt;=30,1,0))</f>
        <v/>
      </c>
      <c r="BD13" s="37" t="str">
        <f aca="false">IF(OR(AG13="",AI13="",AJ13&lt;&gt;"ניתוח"),"",AI13-AG13)</f>
        <v/>
      </c>
      <c r="BE13" s="33" t="str">
        <f aca="false">IF(OR(AH13="",AI13="",AND(AJ13&lt;&gt;"הקרנות",AJ13&lt;&gt;"כימו-הקרנות")),"",AI13-AH13)</f>
        <v/>
      </c>
      <c r="BF13" s="37" t="str">
        <f aca="false">IF(OR(AJ13&lt;&gt;"ניתוח",AI13="",AN13=""),"",AN13-AI13)</f>
        <v/>
      </c>
      <c r="BG13" s="37" t="str">
        <f aca="false">IF(OR(AJ13&lt;&gt;"ניתוח",AI13="",AO13=""),"",AO13-AI13)</f>
        <v/>
      </c>
      <c r="BH13" s="38" t="str">
        <f aca="false">IF(BG13="","",IF(BG13&lt;=42,1,0))</f>
        <v/>
      </c>
      <c r="BI13" s="35"/>
    </row>
    <row r="14" customFormat="false" ht="15" hidden="false" customHeight="true" outlineLevel="0" collapsed="false">
      <c r="A14" s="33" t="str">
        <f aca="false">IF(OR(B14="",C14="",D14="",Z14=""),"","HIS-"&amp;RIGHT(YEAR(Z14),2)&amp;"-"&amp;TEXT(B14,"000")&amp;"-"&amp;C14&amp;"-"&amp;D14&amp;"-"&amp;TEXT(MONTH(Z14),"00"))</f>
        <v/>
      </c>
      <c r="B14" s="34" t="n">
        <v>9</v>
      </c>
      <c r="C14" s="35"/>
      <c r="D14" s="35"/>
      <c r="E14" s="39" t="s">
        <v>275</v>
      </c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6"/>
      <c r="Y14" s="36"/>
      <c r="Z14" s="36"/>
      <c r="AA14" s="36"/>
      <c r="AB14" s="36"/>
      <c r="AC14" s="36"/>
      <c r="AD14" s="36"/>
      <c r="AE14" s="35"/>
      <c r="AF14" s="35"/>
      <c r="AG14" s="36"/>
      <c r="AH14" s="36"/>
      <c r="AI14" s="36"/>
      <c r="AJ14" s="35"/>
      <c r="AK14" s="35"/>
      <c r="AL14" s="35"/>
      <c r="AM14" s="36"/>
      <c r="AN14" s="36"/>
      <c r="AO14" s="36"/>
      <c r="AP14" s="35"/>
      <c r="AQ14" s="35"/>
      <c r="AR14" s="37" t="str">
        <f aca="false">IF(A14="","",COUNTIF(MDT!$B$5:$B$104,A14))</f>
        <v/>
      </c>
      <c r="AS14" s="37" t="str">
        <f aca="false">IF(A14="","",COUNTIFS(MDT!$B$5:$B$104,A14,MDT!$E$5:$E$104,"נדחה — מידע חסר"))</f>
        <v/>
      </c>
      <c r="AT14" s="36"/>
      <c r="AU14" s="35"/>
      <c r="AV14" s="33" t="str">
        <f aca="false">IF(OR(X14="",Z14=""),"",Z14-X14)</f>
        <v/>
      </c>
      <c r="AW14" s="37" t="str">
        <f aca="false">IF(OR(Z14="",AC14=""),"",AC14-Z14)</f>
        <v/>
      </c>
      <c r="AX14" s="37" t="str">
        <f aca="false">IF(OR(AD14="",AI14=""),"",AI14-AD14)</f>
        <v/>
      </c>
      <c r="AY14" s="37" t="str">
        <f aca="false">IF(OR(Z14="",AI14=""),"",AI14-Z14)</f>
        <v/>
      </c>
      <c r="AZ14" s="38" t="str">
        <f aca="false">IF(AY14="","",IF(AY14&lt;=30,1,0))</f>
        <v/>
      </c>
      <c r="BA14" s="38" t="str">
        <f aca="false">IF(AY14="","",IF(AY14&gt;60,1,0))</f>
        <v/>
      </c>
      <c r="BB14" s="38" t="str">
        <f aca="false">IF(AY14="","",IF(AY14&gt;67,1,0))</f>
        <v/>
      </c>
      <c r="BC14" s="38" t="str">
        <f aca="false">IF(OR(AJ14&lt;&gt;"ניתוח",AX14=""),"",IF(AX14&lt;=30,1,0))</f>
        <v/>
      </c>
      <c r="BD14" s="37" t="str">
        <f aca="false">IF(OR(AG14="",AI14="",AJ14&lt;&gt;"ניתוח"),"",AI14-AG14)</f>
        <v/>
      </c>
      <c r="BE14" s="33" t="str">
        <f aca="false">IF(OR(AH14="",AI14="",AND(AJ14&lt;&gt;"הקרנות",AJ14&lt;&gt;"כימו-הקרנות")),"",AI14-AH14)</f>
        <v/>
      </c>
      <c r="BF14" s="37" t="str">
        <f aca="false">IF(OR(AJ14&lt;&gt;"ניתוח",AI14="",AN14=""),"",AN14-AI14)</f>
        <v/>
      </c>
      <c r="BG14" s="37" t="str">
        <f aca="false">IF(OR(AJ14&lt;&gt;"ניתוח",AI14="",AO14=""),"",AO14-AI14)</f>
        <v/>
      </c>
      <c r="BH14" s="38" t="str">
        <f aca="false">IF(BG14="","",IF(BG14&lt;=42,1,0))</f>
        <v/>
      </c>
      <c r="BI14" s="35"/>
    </row>
    <row r="15" customFormat="false" ht="15" hidden="false" customHeight="true" outlineLevel="0" collapsed="false">
      <c r="A15" s="33" t="str">
        <f aca="false">IF(OR(B15="",C15="",D15="",Z15=""),"","HIS-"&amp;RIGHT(YEAR(Z15),2)&amp;"-"&amp;TEXT(B15,"000")&amp;"-"&amp;C15&amp;"-"&amp;D15&amp;"-"&amp;TEXT(MONTH(Z15),"00"))</f>
        <v/>
      </c>
      <c r="B15" s="34" t="n">
        <v>10</v>
      </c>
      <c r="C15" s="35"/>
      <c r="D15" s="35"/>
      <c r="E15" s="39" t="s">
        <v>275</v>
      </c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6"/>
      <c r="Y15" s="36"/>
      <c r="Z15" s="36"/>
      <c r="AA15" s="36"/>
      <c r="AB15" s="36"/>
      <c r="AC15" s="36"/>
      <c r="AD15" s="36"/>
      <c r="AE15" s="35"/>
      <c r="AF15" s="35"/>
      <c r="AG15" s="36"/>
      <c r="AH15" s="36"/>
      <c r="AI15" s="36"/>
      <c r="AJ15" s="35"/>
      <c r="AK15" s="35"/>
      <c r="AL15" s="35"/>
      <c r="AM15" s="36"/>
      <c r="AN15" s="36"/>
      <c r="AO15" s="36"/>
      <c r="AP15" s="35"/>
      <c r="AQ15" s="35"/>
      <c r="AR15" s="37" t="str">
        <f aca="false">IF(A15="","",COUNTIF(MDT!$B$5:$B$104,A15))</f>
        <v/>
      </c>
      <c r="AS15" s="37" t="str">
        <f aca="false">IF(A15="","",COUNTIFS(MDT!$B$5:$B$104,A15,MDT!$E$5:$E$104,"נדחה — מידע חסר"))</f>
        <v/>
      </c>
      <c r="AT15" s="36"/>
      <c r="AU15" s="35"/>
      <c r="AV15" s="33" t="str">
        <f aca="false">IF(OR(X15="",Z15=""),"",Z15-X15)</f>
        <v/>
      </c>
      <c r="AW15" s="37" t="str">
        <f aca="false">IF(OR(Z15="",AC15=""),"",AC15-Z15)</f>
        <v/>
      </c>
      <c r="AX15" s="37" t="str">
        <f aca="false">IF(OR(AD15="",AI15=""),"",AI15-AD15)</f>
        <v/>
      </c>
      <c r="AY15" s="37" t="str">
        <f aca="false">IF(OR(Z15="",AI15=""),"",AI15-Z15)</f>
        <v/>
      </c>
      <c r="AZ15" s="38" t="str">
        <f aca="false">IF(AY15="","",IF(AY15&lt;=30,1,0))</f>
        <v/>
      </c>
      <c r="BA15" s="38" t="str">
        <f aca="false">IF(AY15="","",IF(AY15&gt;60,1,0))</f>
        <v/>
      </c>
      <c r="BB15" s="38" t="str">
        <f aca="false">IF(AY15="","",IF(AY15&gt;67,1,0))</f>
        <v/>
      </c>
      <c r="BC15" s="38" t="str">
        <f aca="false">IF(OR(AJ15&lt;&gt;"ניתוח",AX15=""),"",IF(AX15&lt;=30,1,0))</f>
        <v/>
      </c>
      <c r="BD15" s="37" t="str">
        <f aca="false">IF(OR(AG15="",AI15="",AJ15&lt;&gt;"ניתוח"),"",AI15-AG15)</f>
        <v/>
      </c>
      <c r="BE15" s="33" t="str">
        <f aca="false">IF(OR(AH15="",AI15="",AND(AJ15&lt;&gt;"הקרנות",AJ15&lt;&gt;"כימו-הקרנות")),"",AI15-AH15)</f>
        <v/>
      </c>
      <c r="BF15" s="37" t="str">
        <f aca="false">IF(OR(AJ15&lt;&gt;"ניתוח",AI15="",AN15=""),"",AN15-AI15)</f>
        <v/>
      </c>
      <c r="BG15" s="37" t="str">
        <f aca="false">IF(OR(AJ15&lt;&gt;"ניתוח",AI15="",AO15=""),"",AO15-AI15)</f>
        <v/>
      </c>
      <c r="BH15" s="38" t="str">
        <f aca="false">IF(BG15="","",IF(BG15&lt;=42,1,0))</f>
        <v/>
      </c>
      <c r="BI15" s="35"/>
    </row>
    <row r="16" customFormat="false" ht="15" hidden="false" customHeight="true" outlineLevel="0" collapsed="false">
      <c r="A16" s="33" t="str">
        <f aca="false">IF(OR(B16="",C16="",D16="",Z16=""),"","HIS-"&amp;RIGHT(YEAR(Z16),2)&amp;"-"&amp;TEXT(B16,"000")&amp;"-"&amp;C16&amp;"-"&amp;D16&amp;"-"&amp;TEXT(MONTH(Z16),"00"))</f>
        <v/>
      </c>
      <c r="B16" s="34" t="n">
        <v>11</v>
      </c>
      <c r="C16" s="35"/>
      <c r="D16" s="35"/>
      <c r="E16" s="39" t="s">
        <v>275</v>
      </c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6"/>
      <c r="Y16" s="36"/>
      <c r="Z16" s="36"/>
      <c r="AA16" s="36"/>
      <c r="AB16" s="36"/>
      <c r="AC16" s="36"/>
      <c r="AD16" s="36"/>
      <c r="AE16" s="35"/>
      <c r="AF16" s="35"/>
      <c r="AG16" s="36"/>
      <c r="AH16" s="36"/>
      <c r="AI16" s="36"/>
      <c r="AJ16" s="35"/>
      <c r="AK16" s="35"/>
      <c r="AL16" s="35"/>
      <c r="AM16" s="36"/>
      <c r="AN16" s="36"/>
      <c r="AO16" s="36"/>
      <c r="AP16" s="35"/>
      <c r="AQ16" s="35"/>
      <c r="AR16" s="37" t="str">
        <f aca="false">IF(A16="","",COUNTIF(MDT!$B$5:$B$104,A16))</f>
        <v/>
      </c>
      <c r="AS16" s="37" t="str">
        <f aca="false">IF(A16="","",COUNTIFS(MDT!$B$5:$B$104,A16,MDT!$E$5:$E$104,"נדחה — מידע חסר"))</f>
        <v/>
      </c>
      <c r="AT16" s="36"/>
      <c r="AU16" s="35"/>
      <c r="AV16" s="33" t="str">
        <f aca="false">IF(OR(X16="",Z16=""),"",Z16-X16)</f>
        <v/>
      </c>
      <c r="AW16" s="37" t="str">
        <f aca="false">IF(OR(Z16="",AC16=""),"",AC16-Z16)</f>
        <v/>
      </c>
      <c r="AX16" s="37" t="str">
        <f aca="false">IF(OR(AD16="",AI16=""),"",AI16-AD16)</f>
        <v/>
      </c>
      <c r="AY16" s="37" t="str">
        <f aca="false">IF(OR(Z16="",AI16=""),"",AI16-Z16)</f>
        <v/>
      </c>
      <c r="AZ16" s="38" t="str">
        <f aca="false">IF(AY16="","",IF(AY16&lt;=30,1,0))</f>
        <v/>
      </c>
      <c r="BA16" s="38" t="str">
        <f aca="false">IF(AY16="","",IF(AY16&gt;60,1,0))</f>
        <v/>
      </c>
      <c r="BB16" s="38" t="str">
        <f aca="false">IF(AY16="","",IF(AY16&gt;67,1,0))</f>
        <v/>
      </c>
      <c r="BC16" s="38" t="str">
        <f aca="false">IF(OR(AJ16&lt;&gt;"ניתוח",AX16=""),"",IF(AX16&lt;=30,1,0))</f>
        <v/>
      </c>
      <c r="BD16" s="37" t="str">
        <f aca="false">IF(OR(AG16="",AI16="",AJ16&lt;&gt;"ניתוח"),"",AI16-AG16)</f>
        <v/>
      </c>
      <c r="BE16" s="33" t="str">
        <f aca="false">IF(OR(AH16="",AI16="",AND(AJ16&lt;&gt;"הקרנות",AJ16&lt;&gt;"כימו-הקרנות")),"",AI16-AH16)</f>
        <v/>
      </c>
      <c r="BF16" s="37" t="str">
        <f aca="false">IF(OR(AJ16&lt;&gt;"ניתוח",AI16="",AN16=""),"",AN16-AI16)</f>
        <v/>
      </c>
      <c r="BG16" s="37" t="str">
        <f aca="false">IF(OR(AJ16&lt;&gt;"ניתוח",AI16="",AO16=""),"",AO16-AI16)</f>
        <v/>
      </c>
      <c r="BH16" s="38" t="str">
        <f aca="false">IF(BG16="","",IF(BG16&lt;=42,1,0))</f>
        <v/>
      </c>
      <c r="BI16" s="35"/>
    </row>
    <row r="17" customFormat="false" ht="15" hidden="false" customHeight="true" outlineLevel="0" collapsed="false">
      <c r="A17" s="33" t="str">
        <f aca="false">IF(OR(B17="",C17="",D17="",Z17=""),"","HIS-"&amp;RIGHT(YEAR(Z17),2)&amp;"-"&amp;TEXT(B17,"000")&amp;"-"&amp;C17&amp;"-"&amp;D17&amp;"-"&amp;TEXT(MONTH(Z17),"00"))</f>
        <v/>
      </c>
      <c r="B17" s="34" t="n">
        <v>12</v>
      </c>
      <c r="C17" s="35"/>
      <c r="D17" s="35"/>
      <c r="E17" s="39" t="s">
        <v>275</v>
      </c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6"/>
      <c r="Y17" s="36"/>
      <c r="Z17" s="36"/>
      <c r="AA17" s="36"/>
      <c r="AB17" s="36"/>
      <c r="AC17" s="36"/>
      <c r="AD17" s="36"/>
      <c r="AE17" s="35"/>
      <c r="AF17" s="35"/>
      <c r="AG17" s="36"/>
      <c r="AH17" s="36"/>
      <c r="AI17" s="36"/>
      <c r="AJ17" s="35"/>
      <c r="AK17" s="35"/>
      <c r="AL17" s="35"/>
      <c r="AM17" s="36"/>
      <c r="AN17" s="36"/>
      <c r="AO17" s="36"/>
      <c r="AP17" s="35"/>
      <c r="AQ17" s="35"/>
      <c r="AR17" s="37" t="str">
        <f aca="false">IF(A17="","",COUNTIF(MDT!$B$5:$B$104,A17))</f>
        <v/>
      </c>
      <c r="AS17" s="37" t="str">
        <f aca="false">IF(A17="","",COUNTIFS(MDT!$B$5:$B$104,A17,MDT!$E$5:$E$104,"נדחה — מידע חסר"))</f>
        <v/>
      </c>
      <c r="AT17" s="36"/>
      <c r="AU17" s="35"/>
      <c r="AV17" s="33" t="str">
        <f aca="false">IF(OR(X17="",Z17=""),"",Z17-X17)</f>
        <v/>
      </c>
      <c r="AW17" s="37" t="str">
        <f aca="false">IF(OR(Z17="",AC17=""),"",AC17-Z17)</f>
        <v/>
      </c>
      <c r="AX17" s="37" t="str">
        <f aca="false">IF(OR(AD17="",AI17=""),"",AI17-AD17)</f>
        <v/>
      </c>
      <c r="AY17" s="37" t="str">
        <f aca="false">IF(OR(Z17="",AI17=""),"",AI17-Z17)</f>
        <v/>
      </c>
      <c r="AZ17" s="38" t="str">
        <f aca="false">IF(AY17="","",IF(AY17&lt;=30,1,0))</f>
        <v/>
      </c>
      <c r="BA17" s="38" t="str">
        <f aca="false">IF(AY17="","",IF(AY17&gt;60,1,0))</f>
        <v/>
      </c>
      <c r="BB17" s="38" t="str">
        <f aca="false">IF(AY17="","",IF(AY17&gt;67,1,0))</f>
        <v/>
      </c>
      <c r="BC17" s="38" t="str">
        <f aca="false">IF(OR(AJ17&lt;&gt;"ניתוח",AX17=""),"",IF(AX17&lt;=30,1,0))</f>
        <v/>
      </c>
      <c r="BD17" s="37" t="str">
        <f aca="false">IF(OR(AG17="",AI17="",AJ17&lt;&gt;"ניתוח"),"",AI17-AG17)</f>
        <v/>
      </c>
      <c r="BE17" s="33" t="str">
        <f aca="false">IF(OR(AH17="",AI17="",AND(AJ17&lt;&gt;"הקרנות",AJ17&lt;&gt;"כימו-הקרנות")),"",AI17-AH17)</f>
        <v/>
      </c>
      <c r="BF17" s="37" t="str">
        <f aca="false">IF(OR(AJ17&lt;&gt;"ניתוח",AI17="",AN17=""),"",AN17-AI17)</f>
        <v/>
      </c>
      <c r="BG17" s="37" t="str">
        <f aca="false">IF(OR(AJ17&lt;&gt;"ניתוח",AI17="",AO17=""),"",AO17-AI17)</f>
        <v/>
      </c>
      <c r="BH17" s="38" t="str">
        <f aca="false">IF(BG17="","",IF(BG17&lt;=42,1,0))</f>
        <v/>
      </c>
      <c r="BI17" s="35"/>
    </row>
    <row r="18" customFormat="false" ht="15" hidden="false" customHeight="true" outlineLevel="0" collapsed="false">
      <c r="A18" s="33" t="str">
        <f aca="false">IF(OR(B18="",C18="",D18="",Z18=""),"","HIS-"&amp;RIGHT(YEAR(Z18),2)&amp;"-"&amp;TEXT(B18,"000")&amp;"-"&amp;C18&amp;"-"&amp;D18&amp;"-"&amp;TEXT(MONTH(Z18),"00"))</f>
        <v/>
      </c>
      <c r="B18" s="34" t="n">
        <v>13</v>
      </c>
      <c r="C18" s="35"/>
      <c r="D18" s="35"/>
      <c r="E18" s="39" t="s">
        <v>275</v>
      </c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6"/>
      <c r="Y18" s="36"/>
      <c r="Z18" s="36"/>
      <c r="AA18" s="36"/>
      <c r="AB18" s="36"/>
      <c r="AC18" s="36"/>
      <c r="AD18" s="36"/>
      <c r="AE18" s="35"/>
      <c r="AF18" s="35"/>
      <c r="AG18" s="36"/>
      <c r="AH18" s="36"/>
      <c r="AI18" s="36"/>
      <c r="AJ18" s="35"/>
      <c r="AK18" s="35"/>
      <c r="AL18" s="35"/>
      <c r="AM18" s="36"/>
      <c r="AN18" s="36"/>
      <c r="AO18" s="36"/>
      <c r="AP18" s="35"/>
      <c r="AQ18" s="35"/>
      <c r="AR18" s="37" t="str">
        <f aca="false">IF(A18="","",COUNTIF(MDT!$B$5:$B$104,A18))</f>
        <v/>
      </c>
      <c r="AS18" s="37" t="str">
        <f aca="false">IF(A18="","",COUNTIFS(MDT!$B$5:$B$104,A18,MDT!$E$5:$E$104,"נדחה — מידע חסר"))</f>
        <v/>
      </c>
      <c r="AT18" s="36"/>
      <c r="AU18" s="35"/>
      <c r="AV18" s="33" t="str">
        <f aca="false">IF(OR(X18="",Z18=""),"",Z18-X18)</f>
        <v/>
      </c>
      <c r="AW18" s="37" t="str">
        <f aca="false">IF(OR(Z18="",AC18=""),"",AC18-Z18)</f>
        <v/>
      </c>
      <c r="AX18" s="37" t="str">
        <f aca="false">IF(OR(AD18="",AI18=""),"",AI18-AD18)</f>
        <v/>
      </c>
      <c r="AY18" s="37" t="str">
        <f aca="false">IF(OR(Z18="",AI18=""),"",AI18-Z18)</f>
        <v/>
      </c>
      <c r="AZ18" s="38" t="str">
        <f aca="false">IF(AY18="","",IF(AY18&lt;=30,1,0))</f>
        <v/>
      </c>
      <c r="BA18" s="38" t="str">
        <f aca="false">IF(AY18="","",IF(AY18&gt;60,1,0))</f>
        <v/>
      </c>
      <c r="BB18" s="38" t="str">
        <f aca="false">IF(AY18="","",IF(AY18&gt;67,1,0))</f>
        <v/>
      </c>
      <c r="BC18" s="38" t="str">
        <f aca="false">IF(OR(AJ18&lt;&gt;"ניתוח",AX18=""),"",IF(AX18&lt;=30,1,0))</f>
        <v/>
      </c>
      <c r="BD18" s="37" t="str">
        <f aca="false">IF(OR(AG18="",AI18="",AJ18&lt;&gt;"ניתוח"),"",AI18-AG18)</f>
        <v/>
      </c>
      <c r="BE18" s="33" t="str">
        <f aca="false">IF(OR(AH18="",AI18="",AND(AJ18&lt;&gt;"הקרנות",AJ18&lt;&gt;"כימו-הקרנות")),"",AI18-AH18)</f>
        <v/>
      </c>
      <c r="BF18" s="37" t="str">
        <f aca="false">IF(OR(AJ18&lt;&gt;"ניתוח",AI18="",AN18=""),"",AN18-AI18)</f>
        <v/>
      </c>
      <c r="BG18" s="37" t="str">
        <f aca="false">IF(OR(AJ18&lt;&gt;"ניתוח",AI18="",AO18=""),"",AO18-AI18)</f>
        <v/>
      </c>
      <c r="BH18" s="38" t="str">
        <f aca="false">IF(BG18="","",IF(BG18&lt;=42,1,0))</f>
        <v/>
      </c>
      <c r="BI18" s="35"/>
    </row>
    <row r="19" customFormat="false" ht="15" hidden="false" customHeight="true" outlineLevel="0" collapsed="false">
      <c r="A19" s="33" t="str">
        <f aca="false">IF(OR(B19="",C19="",D19="",Z19=""),"","HIS-"&amp;RIGHT(YEAR(Z19),2)&amp;"-"&amp;TEXT(B19,"000")&amp;"-"&amp;C19&amp;"-"&amp;D19&amp;"-"&amp;TEXT(MONTH(Z19),"00"))</f>
        <v/>
      </c>
      <c r="B19" s="34" t="n">
        <v>14</v>
      </c>
      <c r="C19" s="35"/>
      <c r="D19" s="35"/>
      <c r="E19" s="39" t="s">
        <v>275</v>
      </c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6"/>
      <c r="Y19" s="36"/>
      <c r="Z19" s="36"/>
      <c r="AA19" s="36"/>
      <c r="AB19" s="36"/>
      <c r="AC19" s="36"/>
      <c r="AD19" s="36"/>
      <c r="AE19" s="35"/>
      <c r="AF19" s="35"/>
      <c r="AG19" s="36"/>
      <c r="AH19" s="36"/>
      <c r="AI19" s="36"/>
      <c r="AJ19" s="35"/>
      <c r="AK19" s="35"/>
      <c r="AL19" s="35"/>
      <c r="AM19" s="36"/>
      <c r="AN19" s="36"/>
      <c r="AO19" s="36"/>
      <c r="AP19" s="35"/>
      <c r="AQ19" s="35"/>
      <c r="AR19" s="37" t="str">
        <f aca="false">IF(A19="","",COUNTIF(MDT!$B$5:$B$104,A19))</f>
        <v/>
      </c>
      <c r="AS19" s="37" t="str">
        <f aca="false">IF(A19="","",COUNTIFS(MDT!$B$5:$B$104,A19,MDT!$E$5:$E$104,"נדחה — מידע חסר"))</f>
        <v/>
      </c>
      <c r="AT19" s="36"/>
      <c r="AU19" s="35"/>
      <c r="AV19" s="33" t="str">
        <f aca="false">IF(OR(X19="",Z19=""),"",Z19-X19)</f>
        <v/>
      </c>
      <c r="AW19" s="37" t="str">
        <f aca="false">IF(OR(Z19="",AC19=""),"",AC19-Z19)</f>
        <v/>
      </c>
      <c r="AX19" s="37" t="str">
        <f aca="false">IF(OR(AD19="",AI19=""),"",AI19-AD19)</f>
        <v/>
      </c>
      <c r="AY19" s="37" t="str">
        <f aca="false">IF(OR(Z19="",AI19=""),"",AI19-Z19)</f>
        <v/>
      </c>
      <c r="AZ19" s="38" t="str">
        <f aca="false">IF(AY19="","",IF(AY19&lt;=30,1,0))</f>
        <v/>
      </c>
      <c r="BA19" s="38" t="str">
        <f aca="false">IF(AY19="","",IF(AY19&gt;60,1,0))</f>
        <v/>
      </c>
      <c r="BB19" s="38" t="str">
        <f aca="false">IF(AY19="","",IF(AY19&gt;67,1,0))</f>
        <v/>
      </c>
      <c r="BC19" s="38" t="str">
        <f aca="false">IF(OR(AJ19&lt;&gt;"ניתוח",AX19=""),"",IF(AX19&lt;=30,1,0))</f>
        <v/>
      </c>
      <c r="BD19" s="37" t="str">
        <f aca="false">IF(OR(AG19="",AI19="",AJ19&lt;&gt;"ניתוח"),"",AI19-AG19)</f>
        <v/>
      </c>
      <c r="BE19" s="33" t="str">
        <f aca="false">IF(OR(AH19="",AI19="",AND(AJ19&lt;&gt;"הקרנות",AJ19&lt;&gt;"כימו-הקרנות")),"",AI19-AH19)</f>
        <v/>
      </c>
      <c r="BF19" s="37" t="str">
        <f aca="false">IF(OR(AJ19&lt;&gt;"ניתוח",AI19="",AN19=""),"",AN19-AI19)</f>
        <v/>
      </c>
      <c r="BG19" s="37" t="str">
        <f aca="false">IF(OR(AJ19&lt;&gt;"ניתוח",AI19="",AO19=""),"",AO19-AI19)</f>
        <v/>
      </c>
      <c r="BH19" s="38" t="str">
        <f aca="false">IF(BG19="","",IF(BG19&lt;=42,1,0))</f>
        <v/>
      </c>
      <c r="BI19" s="35"/>
    </row>
    <row r="20" customFormat="false" ht="15" hidden="false" customHeight="true" outlineLevel="0" collapsed="false">
      <c r="A20" s="33" t="str">
        <f aca="false">IF(OR(B20="",C20="",D20="",Z20=""),"","HIS-"&amp;RIGHT(YEAR(Z20),2)&amp;"-"&amp;TEXT(B20,"000")&amp;"-"&amp;C20&amp;"-"&amp;D20&amp;"-"&amp;TEXT(MONTH(Z20),"00"))</f>
        <v/>
      </c>
      <c r="B20" s="34" t="n">
        <v>15</v>
      </c>
      <c r="C20" s="35"/>
      <c r="D20" s="35"/>
      <c r="E20" s="39" t="s">
        <v>275</v>
      </c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6"/>
      <c r="Y20" s="36"/>
      <c r="Z20" s="36"/>
      <c r="AA20" s="36"/>
      <c r="AB20" s="36"/>
      <c r="AC20" s="36"/>
      <c r="AD20" s="36"/>
      <c r="AE20" s="35"/>
      <c r="AF20" s="35"/>
      <c r="AG20" s="36"/>
      <c r="AH20" s="36"/>
      <c r="AI20" s="36"/>
      <c r="AJ20" s="35"/>
      <c r="AK20" s="35"/>
      <c r="AL20" s="35"/>
      <c r="AM20" s="36"/>
      <c r="AN20" s="36"/>
      <c r="AO20" s="36"/>
      <c r="AP20" s="35"/>
      <c r="AQ20" s="35"/>
      <c r="AR20" s="37" t="str">
        <f aca="false">IF(A20="","",COUNTIF(MDT!$B$5:$B$104,A20))</f>
        <v/>
      </c>
      <c r="AS20" s="37" t="str">
        <f aca="false">IF(A20="","",COUNTIFS(MDT!$B$5:$B$104,A20,MDT!$E$5:$E$104,"נדחה — מידע חסר"))</f>
        <v/>
      </c>
      <c r="AT20" s="36"/>
      <c r="AU20" s="35"/>
      <c r="AV20" s="33" t="str">
        <f aca="false">IF(OR(X20="",Z20=""),"",Z20-X20)</f>
        <v/>
      </c>
      <c r="AW20" s="37" t="str">
        <f aca="false">IF(OR(Z20="",AC20=""),"",AC20-Z20)</f>
        <v/>
      </c>
      <c r="AX20" s="37" t="str">
        <f aca="false">IF(OR(AD20="",AI20=""),"",AI20-AD20)</f>
        <v/>
      </c>
      <c r="AY20" s="37" t="str">
        <f aca="false">IF(OR(Z20="",AI20=""),"",AI20-Z20)</f>
        <v/>
      </c>
      <c r="AZ20" s="38" t="str">
        <f aca="false">IF(AY20="","",IF(AY20&lt;=30,1,0))</f>
        <v/>
      </c>
      <c r="BA20" s="38" t="str">
        <f aca="false">IF(AY20="","",IF(AY20&gt;60,1,0))</f>
        <v/>
      </c>
      <c r="BB20" s="38" t="str">
        <f aca="false">IF(AY20="","",IF(AY20&gt;67,1,0))</f>
        <v/>
      </c>
      <c r="BC20" s="38" t="str">
        <f aca="false">IF(OR(AJ20&lt;&gt;"ניתוח",AX20=""),"",IF(AX20&lt;=30,1,0))</f>
        <v/>
      </c>
      <c r="BD20" s="37" t="str">
        <f aca="false">IF(OR(AG20="",AI20="",AJ20&lt;&gt;"ניתוח"),"",AI20-AG20)</f>
        <v/>
      </c>
      <c r="BE20" s="33" t="str">
        <f aca="false">IF(OR(AH20="",AI20="",AND(AJ20&lt;&gt;"הקרנות",AJ20&lt;&gt;"כימו-הקרנות")),"",AI20-AH20)</f>
        <v/>
      </c>
      <c r="BF20" s="37" t="str">
        <f aca="false">IF(OR(AJ20&lt;&gt;"ניתוח",AI20="",AN20=""),"",AN20-AI20)</f>
        <v/>
      </c>
      <c r="BG20" s="37" t="str">
        <f aca="false">IF(OR(AJ20&lt;&gt;"ניתוח",AI20="",AO20=""),"",AO20-AI20)</f>
        <v/>
      </c>
      <c r="BH20" s="38" t="str">
        <f aca="false">IF(BG20="","",IF(BG20&lt;=42,1,0))</f>
        <v/>
      </c>
      <c r="BI20" s="35"/>
    </row>
    <row r="21" customFormat="false" ht="15" hidden="false" customHeight="true" outlineLevel="0" collapsed="false">
      <c r="A21" s="33" t="str">
        <f aca="false">IF(OR(B21="",C21="",D21="",Z21=""),"","HIS-"&amp;RIGHT(YEAR(Z21),2)&amp;"-"&amp;TEXT(B21,"000")&amp;"-"&amp;C21&amp;"-"&amp;D21&amp;"-"&amp;TEXT(MONTH(Z21),"00"))</f>
        <v/>
      </c>
      <c r="B21" s="34" t="n">
        <v>16</v>
      </c>
      <c r="C21" s="35"/>
      <c r="D21" s="35"/>
      <c r="E21" s="39" t="s">
        <v>275</v>
      </c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6"/>
      <c r="Y21" s="36"/>
      <c r="Z21" s="36"/>
      <c r="AA21" s="36"/>
      <c r="AB21" s="36"/>
      <c r="AC21" s="36"/>
      <c r="AD21" s="36"/>
      <c r="AE21" s="35"/>
      <c r="AF21" s="35"/>
      <c r="AG21" s="36"/>
      <c r="AH21" s="36"/>
      <c r="AI21" s="36"/>
      <c r="AJ21" s="35"/>
      <c r="AK21" s="35"/>
      <c r="AL21" s="35"/>
      <c r="AM21" s="36"/>
      <c r="AN21" s="36"/>
      <c r="AO21" s="36"/>
      <c r="AP21" s="35"/>
      <c r="AQ21" s="35"/>
      <c r="AR21" s="37" t="str">
        <f aca="false">IF(A21="","",COUNTIF(MDT!$B$5:$B$104,A21))</f>
        <v/>
      </c>
      <c r="AS21" s="37" t="str">
        <f aca="false">IF(A21="","",COUNTIFS(MDT!$B$5:$B$104,A21,MDT!$E$5:$E$104,"נדחה — מידע חסר"))</f>
        <v/>
      </c>
      <c r="AT21" s="36"/>
      <c r="AU21" s="35"/>
      <c r="AV21" s="33" t="str">
        <f aca="false">IF(OR(X21="",Z21=""),"",Z21-X21)</f>
        <v/>
      </c>
      <c r="AW21" s="37" t="str">
        <f aca="false">IF(OR(Z21="",AC21=""),"",AC21-Z21)</f>
        <v/>
      </c>
      <c r="AX21" s="37" t="str">
        <f aca="false">IF(OR(AD21="",AI21=""),"",AI21-AD21)</f>
        <v/>
      </c>
      <c r="AY21" s="37" t="str">
        <f aca="false">IF(OR(Z21="",AI21=""),"",AI21-Z21)</f>
        <v/>
      </c>
      <c r="AZ21" s="38" t="str">
        <f aca="false">IF(AY21="","",IF(AY21&lt;=30,1,0))</f>
        <v/>
      </c>
      <c r="BA21" s="38" t="str">
        <f aca="false">IF(AY21="","",IF(AY21&gt;60,1,0))</f>
        <v/>
      </c>
      <c r="BB21" s="38" t="str">
        <f aca="false">IF(AY21="","",IF(AY21&gt;67,1,0))</f>
        <v/>
      </c>
      <c r="BC21" s="38" t="str">
        <f aca="false">IF(OR(AJ21&lt;&gt;"ניתוח",AX21=""),"",IF(AX21&lt;=30,1,0))</f>
        <v/>
      </c>
      <c r="BD21" s="37" t="str">
        <f aca="false">IF(OR(AG21="",AI21="",AJ21&lt;&gt;"ניתוח"),"",AI21-AG21)</f>
        <v/>
      </c>
      <c r="BE21" s="33" t="str">
        <f aca="false">IF(OR(AH21="",AI21="",AND(AJ21&lt;&gt;"הקרנות",AJ21&lt;&gt;"כימו-הקרנות")),"",AI21-AH21)</f>
        <v/>
      </c>
      <c r="BF21" s="37" t="str">
        <f aca="false">IF(OR(AJ21&lt;&gt;"ניתוח",AI21="",AN21=""),"",AN21-AI21)</f>
        <v/>
      </c>
      <c r="BG21" s="37" t="str">
        <f aca="false">IF(OR(AJ21&lt;&gt;"ניתוח",AI21="",AO21=""),"",AO21-AI21)</f>
        <v/>
      </c>
      <c r="BH21" s="38" t="str">
        <f aca="false">IF(BG21="","",IF(BG21&lt;=42,1,0))</f>
        <v/>
      </c>
      <c r="BI21" s="35"/>
    </row>
    <row r="22" customFormat="false" ht="15" hidden="false" customHeight="true" outlineLevel="0" collapsed="false">
      <c r="A22" s="33" t="str">
        <f aca="false">IF(OR(B22="",C22="",D22="",Z22=""),"","HIS-"&amp;RIGHT(YEAR(Z22),2)&amp;"-"&amp;TEXT(B22,"000")&amp;"-"&amp;C22&amp;"-"&amp;D22&amp;"-"&amp;TEXT(MONTH(Z22),"00"))</f>
        <v/>
      </c>
      <c r="B22" s="34" t="n">
        <v>17</v>
      </c>
      <c r="C22" s="35"/>
      <c r="D22" s="35"/>
      <c r="E22" s="39" t="s">
        <v>275</v>
      </c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6"/>
      <c r="Y22" s="36"/>
      <c r="Z22" s="36"/>
      <c r="AA22" s="36"/>
      <c r="AB22" s="36"/>
      <c r="AC22" s="36"/>
      <c r="AD22" s="36"/>
      <c r="AE22" s="35"/>
      <c r="AF22" s="35"/>
      <c r="AG22" s="36"/>
      <c r="AH22" s="36"/>
      <c r="AI22" s="36"/>
      <c r="AJ22" s="35"/>
      <c r="AK22" s="35"/>
      <c r="AL22" s="35"/>
      <c r="AM22" s="36"/>
      <c r="AN22" s="36"/>
      <c r="AO22" s="36"/>
      <c r="AP22" s="35"/>
      <c r="AQ22" s="35"/>
      <c r="AR22" s="37" t="str">
        <f aca="false">IF(A22="","",COUNTIF(MDT!$B$5:$B$104,A22))</f>
        <v/>
      </c>
      <c r="AS22" s="37" t="str">
        <f aca="false">IF(A22="","",COUNTIFS(MDT!$B$5:$B$104,A22,MDT!$E$5:$E$104,"נדחה — מידע חסר"))</f>
        <v/>
      </c>
      <c r="AT22" s="36"/>
      <c r="AU22" s="35"/>
      <c r="AV22" s="33" t="str">
        <f aca="false">IF(OR(X22="",Z22=""),"",Z22-X22)</f>
        <v/>
      </c>
      <c r="AW22" s="37" t="str">
        <f aca="false">IF(OR(Z22="",AC22=""),"",AC22-Z22)</f>
        <v/>
      </c>
      <c r="AX22" s="37" t="str">
        <f aca="false">IF(OR(AD22="",AI22=""),"",AI22-AD22)</f>
        <v/>
      </c>
      <c r="AY22" s="37" t="str">
        <f aca="false">IF(OR(Z22="",AI22=""),"",AI22-Z22)</f>
        <v/>
      </c>
      <c r="AZ22" s="38" t="str">
        <f aca="false">IF(AY22="","",IF(AY22&lt;=30,1,0))</f>
        <v/>
      </c>
      <c r="BA22" s="38" t="str">
        <f aca="false">IF(AY22="","",IF(AY22&gt;60,1,0))</f>
        <v/>
      </c>
      <c r="BB22" s="38" t="str">
        <f aca="false">IF(AY22="","",IF(AY22&gt;67,1,0))</f>
        <v/>
      </c>
      <c r="BC22" s="38" t="str">
        <f aca="false">IF(OR(AJ22&lt;&gt;"ניתוח",AX22=""),"",IF(AX22&lt;=30,1,0))</f>
        <v/>
      </c>
      <c r="BD22" s="37" t="str">
        <f aca="false">IF(OR(AG22="",AI22="",AJ22&lt;&gt;"ניתוח"),"",AI22-AG22)</f>
        <v/>
      </c>
      <c r="BE22" s="33" t="str">
        <f aca="false">IF(OR(AH22="",AI22="",AND(AJ22&lt;&gt;"הקרנות",AJ22&lt;&gt;"כימו-הקרנות")),"",AI22-AH22)</f>
        <v/>
      </c>
      <c r="BF22" s="37" t="str">
        <f aca="false">IF(OR(AJ22&lt;&gt;"ניתוח",AI22="",AN22=""),"",AN22-AI22)</f>
        <v/>
      </c>
      <c r="BG22" s="37" t="str">
        <f aca="false">IF(OR(AJ22&lt;&gt;"ניתוח",AI22="",AO22=""),"",AO22-AI22)</f>
        <v/>
      </c>
      <c r="BH22" s="38" t="str">
        <f aca="false">IF(BG22="","",IF(BG22&lt;=42,1,0))</f>
        <v/>
      </c>
      <c r="BI22" s="35"/>
    </row>
    <row r="23" customFormat="false" ht="15" hidden="false" customHeight="true" outlineLevel="0" collapsed="false">
      <c r="A23" s="33" t="str">
        <f aca="false">IF(OR(B23="",C23="",D23="",Z23=""),"","HIS-"&amp;RIGHT(YEAR(Z23),2)&amp;"-"&amp;TEXT(B23,"000")&amp;"-"&amp;C23&amp;"-"&amp;D23&amp;"-"&amp;TEXT(MONTH(Z23),"00"))</f>
        <v/>
      </c>
      <c r="B23" s="34" t="n">
        <v>18</v>
      </c>
      <c r="C23" s="35"/>
      <c r="D23" s="35"/>
      <c r="E23" s="39" t="s">
        <v>275</v>
      </c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6"/>
      <c r="Y23" s="36"/>
      <c r="Z23" s="36"/>
      <c r="AA23" s="36"/>
      <c r="AB23" s="36"/>
      <c r="AC23" s="36"/>
      <c r="AD23" s="36"/>
      <c r="AE23" s="35"/>
      <c r="AF23" s="35"/>
      <c r="AG23" s="36"/>
      <c r="AH23" s="36"/>
      <c r="AI23" s="36"/>
      <c r="AJ23" s="35"/>
      <c r="AK23" s="35"/>
      <c r="AL23" s="35"/>
      <c r="AM23" s="36"/>
      <c r="AN23" s="36"/>
      <c r="AO23" s="36"/>
      <c r="AP23" s="35"/>
      <c r="AQ23" s="35"/>
      <c r="AR23" s="37" t="str">
        <f aca="false">IF(A23="","",COUNTIF(MDT!$B$5:$B$104,A23))</f>
        <v/>
      </c>
      <c r="AS23" s="37" t="str">
        <f aca="false">IF(A23="","",COUNTIFS(MDT!$B$5:$B$104,A23,MDT!$E$5:$E$104,"נדחה — מידע חסר"))</f>
        <v/>
      </c>
      <c r="AT23" s="36"/>
      <c r="AU23" s="35"/>
      <c r="AV23" s="33" t="str">
        <f aca="false">IF(OR(X23="",Z23=""),"",Z23-X23)</f>
        <v/>
      </c>
      <c r="AW23" s="37" t="str">
        <f aca="false">IF(OR(Z23="",AC23=""),"",AC23-Z23)</f>
        <v/>
      </c>
      <c r="AX23" s="37" t="str">
        <f aca="false">IF(OR(AD23="",AI23=""),"",AI23-AD23)</f>
        <v/>
      </c>
      <c r="AY23" s="37" t="str">
        <f aca="false">IF(OR(Z23="",AI23=""),"",AI23-Z23)</f>
        <v/>
      </c>
      <c r="AZ23" s="38" t="str">
        <f aca="false">IF(AY23="","",IF(AY23&lt;=30,1,0))</f>
        <v/>
      </c>
      <c r="BA23" s="38" t="str">
        <f aca="false">IF(AY23="","",IF(AY23&gt;60,1,0))</f>
        <v/>
      </c>
      <c r="BB23" s="38" t="str">
        <f aca="false">IF(AY23="","",IF(AY23&gt;67,1,0))</f>
        <v/>
      </c>
      <c r="BC23" s="38" t="str">
        <f aca="false">IF(OR(AJ23&lt;&gt;"ניתוח",AX23=""),"",IF(AX23&lt;=30,1,0))</f>
        <v/>
      </c>
      <c r="BD23" s="37" t="str">
        <f aca="false">IF(OR(AG23="",AI23="",AJ23&lt;&gt;"ניתוח"),"",AI23-AG23)</f>
        <v/>
      </c>
      <c r="BE23" s="33" t="str">
        <f aca="false">IF(OR(AH23="",AI23="",AND(AJ23&lt;&gt;"הקרנות",AJ23&lt;&gt;"כימו-הקרנות")),"",AI23-AH23)</f>
        <v/>
      </c>
      <c r="BF23" s="37" t="str">
        <f aca="false">IF(OR(AJ23&lt;&gt;"ניתוח",AI23="",AN23=""),"",AN23-AI23)</f>
        <v/>
      </c>
      <c r="BG23" s="37" t="str">
        <f aca="false">IF(OR(AJ23&lt;&gt;"ניתוח",AI23="",AO23=""),"",AO23-AI23)</f>
        <v/>
      </c>
      <c r="BH23" s="38" t="str">
        <f aca="false">IF(BG23="","",IF(BG23&lt;=42,1,0))</f>
        <v/>
      </c>
      <c r="BI23" s="35"/>
    </row>
    <row r="24" customFormat="false" ht="15" hidden="false" customHeight="true" outlineLevel="0" collapsed="false">
      <c r="A24" s="33" t="str">
        <f aca="false">IF(OR(B24="",C24="",D24="",Z24=""),"","HIS-"&amp;RIGHT(YEAR(Z24),2)&amp;"-"&amp;TEXT(B24,"000")&amp;"-"&amp;C24&amp;"-"&amp;D24&amp;"-"&amp;TEXT(MONTH(Z24),"00"))</f>
        <v/>
      </c>
      <c r="B24" s="34" t="n">
        <v>19</v>
      </c>
      <c r="C24" s="35"/>
      <c r="D24" s="35"/>
      <c r="E24" s="39" t="s">
        <v>275</v>
      </c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6"/>
      <c r="Y24" s="36"/>
      <c r="Z24" s="36"/>
      <c r="AA24" s="36"/>
      <c r="AB24" s="36"/>
      <c r="AC24" s="36"/>
      <c r="AD24" s="36"/>
      <c r="AE24" s="35"/>
      <c r="AF24" s="35"/>
      <c r="AG24" s="36"/>
      <c r="AH24" s="36"/>
      <c r="AI24" s="36"/>
      <c r="AJ24" s="35"/>
      <c r="AK24" s="35"/>
      <c r="AL24" s="35"/>
      <c r="AM24" s="36"/>
      <c r="AN24" s="36"/>
      <c r="AO24" s="36"/>
      <c r="AP24" s="35"/>
      <c r="AQ24" s="35"/>
      <c r="AR24" s="37" t="str">
        <f aca="false">IF(A24="","",COUNTIF(MDT!$B$5:$B$104,A24))</f>
        <v/>
      </c>
      <c r="AS24" s="37" t="str">
        <f aca="false">IF(A24="","",COUNTIFS(MDT!$B$5:$B$104,A24,MDT!$E$5:$E$104,"נדחה — מידע חסר"))</f>
        <v/>
      </c>
      <c r="AT24" s="36"/>
      <c r="AU24" s="35"/>
      <c r="AV24" s="33" t="str">
        <f aca="false">IF(OR(X24="",Z24=""),"",Z24-X24)</f>
        <v/>
      </c>
      <c r="AW24" s="37" t="str">
        <f aca="false">IF(OR(Z24="",AC24=""),"",AC24-Z24)</f>
        <v/>
      </c>
      <c r="AX24" s="37" t="str">
        <f aca="false">IF(OR(AD24="",AI24=""),"",AI24-AD24)</f>
        <v/>
      </c>
      <c r="AY24" s="37" t="str">
        <f aca="false">IF(OR(Z24="",AI24=""),"",AI24-Z24)</f>
        <v/>
      </c>
      <c r="AZ24" s="38" t="str">
        <f aca="false">IF(AY24="","",IF(AY24&lt;=30,1,0))</f>
        <v/>
      </c>
      <c r="BA24" s="38" t="str">
        <f aca="false">IF(AY24="","",IF(AY24&gt;60,1,0))</f>
        <v/>
      </c>
      <c r="BB24" s="38" t="str">
        <f aca="false">IF(AY24="","",IF(AY24&gt;67,1,0))</f>
        <v/>
      </c>
      <c r="BC24" s="38" t="str">
        <f aca="false">IF(OR(AJ24&lt;&gt;"ניתוח",AX24=""),"",IF(AX24&lt;=30,1,0))</f>
        <v/>
      </c>
      <c r="BD24" s="37" t="str">
        <f aca="false">IF(OR(AG24="",AI24="",AJ24&lt;&gt;"ניתוח"),"",AI24-AG24)</f>
        <v/>
      </c>
      <c r="BE24" s="33" t="str">
        <f aca="false">IF(OR(AH24="",AI24="",AND(AJ24&lt;&gt;"הקרנות",AJ24&lt;&gt;"כימו-הקרנות")),"",AI24-AH24)</f>
        <v/>
      </c>
      <c r="BF24" s="37" t="str">
        <f aca="false">IF(OR(AJ24&lt;&gt;"ניתוח",AI24="",AN24=""),"",AN24-AI24)</f>
        <v/>
      </c>
      <c r="BG24" s="37" t="str">
        <f aca="false">IF(OR(AJ24&lt;&gt;"ניתוח",AI24="",AO24=""),"",AO24-AI24)</f>
        <v/>
      </c>
      <c r="BH24" s="38" t="str">
        <f aca="false">IF(BG24="","",IF(BG24&lt;=42,1,0))</f>
        <v/>
      </c>
      <c r="BI24" s="35"/>
    </row>
    <row r="25" customFormat="false" ht="15" hidden="false" customHeight="true" outlineLevel="0" collapsed="false">
      <c r="A25" s="33" t="str">
        <f aca="false">IF(OR(B25="",C25="",D25="",Z25=""),"","HIS-"&amp;RIGHT(YEAR(Z25),2)&amp;"-"&amp;TEXT(B25,"000")&amp;"-"&amp;C25&amp;"-"&amp;D25&amp;"-"&amp;TEXT(MONTH(Z25),"00"))</f>
        <v/>
      </c>
      <c r="B25" s="34" t="n">
        <v>20</v>
      </c>
      <c r="C25" s="35"/>
      <c r="D25" s="35"/>
      <c r="E25" s="39" t="s">
        <v>275</v>
      </c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6"/>
      <c r="Y25" s="36"/>
      <c r="Z25" s="36"/>
      <c r="AA25" s="36"/>
      <c r="AB25" s="36"/>
      <c r="AC25" s="36"/>
      <c r="AD25" s="36"/>
      <c r="AE25" s="35"/>
      <c r="AF25" s="35"/>
      <c r="AG25" s="36"/>
      <c r="AH25" s="36"/>
      <c r="AI25" s="36"/>
      <c r="AJ25" s="35"/>
      <c r="AK25" s="35"/>
      <c r="AL25" s="35"/>
      <c r="AM25" s="36"/>
      <c r="AN25" s="36"/>
      <c r="AO25" s="36"/>
      <c r="AP25" s="35"/>
      <c r="AQ25" s="35"/>
      <c r="AR25" s="37" t="str">
        <f aca="false">IF(A25="","",COUNTIF(MDT!$B$5:$B$104,A25))</f>
        <v/>
      </c>
      <c r="AS25" s="37" t="str">
        <f aca="false">IF(A25="","",COUNTIFS(MDT!$B$5:$B$104,A25,MDT!$E$5:$E$104,"נדחה — מידע חסר"))</f>
        <v/>
      </c>
      <c r="AT25" s="36"/>
      <c r="AU25" s="35"/>
      <c r="AV25" s="33" t="str">
        <f aca="false">IF(OR(X25="",Z25=""),"",Z25-X25)</f>
        <v/>
      </c>
      <c r="AW25" s="37" t="str">
        <f aca="false">IF(OR(Z25="",AC25=""),"",AC25-Z25)</f>
        <v/>
      </c>
      <c r="AX25" s="37" t="str">
        <f aca="false">IF(OR(AD25="",AI25=""),"",AI25-AD25)</f>
        <v/>
      </c>
      <c r="AY25" s="37" t="str">
        <f aca="false">IF(OR(Z25="",AI25=""),"",AI25-Z25)</f>
        <v/>
      </c>
      <c r="AZ25" s="38" t="str">
        <f aca="false">IF(AY25="","",IF(AY25&lt;=30,1,0))</f>
        <v/>
      </c>
      <c r="BA25" s="38" t="str">
        <f aca="false">IF(AY25="","",IF(AY25&gt;60,1,0))</f>
        <v/>
      </c>
      <c r="BB25" s="38" t="str">
        <f aca="false">IF(AY25="","",IF(AY25&gt;67,1,0))</f>
        <v/>
      </c>
      <c r="BC25" s="38" t="str">
        <f aca="false">IF(OR(AJ25&lt;&gt;"ניתוח",AX25=""),"",IF(AX25&lt;=30,1,0))</f>
        <v/>
      </c>
      <c r="BD25" s="37" t="str">
        <f aca="false">IF(OR(AG25="",AI25="",AJ25&lt;&gt;"ניתוח"),"",AI25-AG25)</f>
        <v/>
      </c>
      <c r="BE25" s="33" t="str">
        <f aca="false">IF(OR(AH25="",AI25="",AND(AJ25&lt;&gt;"הקרנות",AJ25&lt;&gt;"כימו-הקרנות")),"",AI25-AH25)</f>
        <v/>
      </c>
      <c r="BF25" s="37" t="str">
        <f aca="false">IF(OR(AJ25&lt;&gt;"ניתוח",AI25="",AN25=""),"",AN25-AI25)</f>
        <v/>
      </c>
      <c r="BG25" s="37" t="str">
        <f aca="false">IF(OR(AJ25&lt;&gt;"ניתוח",AI25="",AO25=""),"",AO25-AI25)</f>
        <v/>
      </c>
      <c r="BH25" s="38" t="str">
        <f aca="false">IF(BG25="","",IF(BG25&lt;=42,1,0))</f>
        <v/>
      </c>
      <c r="BI25" s="35"/>
    </row>
    <row r="26" customFormat="false" ht="15" hidden="false" customHeight="true" outlineLevel="0" collapsed="false">
      <c r="A26" s="33" t="str">
        <f aca="false">IF(OR(B26="",C26="",D26="",Z26=""),"","HIS-"&amp;RIGHT(YEAR(Z26),2)&amp;"-"&amp;TEXT(B26,"000")&amp;"-"&amp;C26&amp;"-"&amp;D26&amp;"-"&amp;TEXT(MONTH(Z26),"00"))</f>
        <v/>
      </c>
      <c r="B26" s="34" t="n">
        <v>21</v>
      </c>
      <c r="C26" s="35"/>
      <c r="D26" s="35"/>
      <c r="E26" s="39" t="s">
        <v>275</v>
      </c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6"/>
      <c r="Y26" s="36"/>
      <c r="Z26" s="36"/>
      <c r="AA26" s="36"/>
      <c r="AB26" s="36"/>
      <c r="AC26" s="36"/>
      <c r="AD26" s="36"/>
      <c r="AE26" s="35"/>
      <c r="AF26" s="35"/>
      <c r="AG26" s="36"/>
      <c r="AH26" s="36"/>
      <c r="AI26" s="36"/>
      <c r="AJ26" s="35"/>
      <c r="AK26" s="35"/>
      <c r="AL26" s="35"/>
      <c r="AM26" s="36"/>
      <c r="AN26" s="36"/>
      <c r="AO26" s="36"/>
      <c r="AP26" s="35"/>
      <c r="AQ26" s="35"/>
      <c r="AR26" s="37" t="str">
        <f aca="false">IF(A26="","",COUNTIF(MDT!$B$5:$B$104,A26))</f>
        <v/>
      </c>
      <c r="AS26" s="37" t="str">
        <f aca="false">IF(A26="","",COUNTIFS(MDT!$B$5:$B$104,A26,MDT!$E$5:$E$104,"נדחה — מידע חסר"))</f>
        <v/>
      </c>
      <c r="AT26" s="36"/>
      <c r="AU26" s="35"/>
      <c r="AV26" s="33" t="str">
        <f aca="false">IF(OR(X26="",Z26=""),"",Z26-X26)</f>
        <v/>
      </c>
      <c r="AW26" s="37" t="str">
        <f aca="false">IF(OR(Z26="",AC26=""),"",AC26-Z26)</f>
        <v/>
      </c>
      <c r="AX26" s="37" t="str">
        <f aca="false">IF(OR(AD26="",AI26=""),"",AI26-AD26)</f>
        <v/>
      </c>
      <c r="AY26" s="37" t="str">
        <f aca="false">IF(OR(Z26="",AI26=""),"",AI26-Z26)</f>
        <v/>
      </c>
      <c r="AZ26" s="38" t="str">
        <f aca="false">IF(AY26="","",IF(AY26&lt;=30,1,0))</f>
        <v/>
      </c>
      <c r="BA26" s="38" t="str">
        <f aca="false">IF(AY26="","",IF(AY26&gt;60,1,0))</f>
        <v/>
      </c>
      <c r="BB26" s="38" t="str">
        <f aca="false">IF(AY26="","",IF(AY26&gt;67,1,0))</f>
        <v/>
      </c>
      <c r="BC26" s="38" t="str">
        <f aca="false">IF(OR(AJ26&lt;&gt;"ניתוח",AX26=""),"",IF(AX26&lt;=30,1,0))</f>
        <v/>
      </c>
      <c r="BD26" s="37" t="str">
        <f aca="false">IF(OR(AG26="",AI26="",AJ26&lt;&gt;"ניתוח"),"",AI26-AG26)</f>
        <v/>
      </c>
      <c r="BE26" s="33" t="str">
        <f aca="false">IF(OR(AH26="",AI26="",AND(AJ26&lt;&gt;"הקרנות",AJ26&lt;&gt;"כימו-הקרנות")),"",AI26-AH26)</f>
        <v/>
      </c>
      <c r="BF26" s="37" t="str">
        <f aca="false">IF(OR(AJ26&lt;&gt;"ניתוח",AI26="",AN26=""),"",AN26-AI26)</f>
        <v/>
      </c>
      <c r="BG26" s="37" t="str">
        <f aca="false">IF(OR(AJ26&lt;&gt;"ניתוח",AI26="",AO26=""),"",AO26-AI26)</f>
        <v/>
      </c>
      <c r="BH26" s="38" t="str">
        <f aca="false">IF(BG26="","",IF(BG26&lt;=42,1,0))</f>
        <v/>
      </c>
      <c r="BI26" s="35"/>
    </row>
    <row r="27" customFormat="false" ht="15" hidden="false" customHeight="true" outlineLevel="0" collapsed="false">
      <c r="A27" s="33" t="str">
        <f aca="false">IF(OR(B27="",C27="",D27="",Z27=""),"","HIS-"&amp;RIGHT(YEAR(Z27),2)&amp;"-"&amp;TEXT(B27,"000")&amp;"-"&amp;C27&amp;"-"&amp;D27&amp;"-"&amp;TEXT(MONTH(Z27),"00"))</f>
        <v/>
      </c>
      <c r="B27" s="34" t="n">
        <v>22</v>
      </c>
      <c r="C27" s="35"/>
      <c r="D27" s="35"/>
      <c r="E27" s="39" t="s">
        <v>275</v>
      </c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6"/>
      <c r="Y27" s="36"/>
      <c r="Z27" s="36"/>
      <c r="AA27" s="36"/>
      <c r="AB27" s="36"/>
      <c r="AC27" s="36"/>
      <c r="AD27" s="36"/>
      <c r="AE27" s="35"/>
      <c r="AF27" s="35"/>
      <c r="AG27" s="36"/>
      <c r="AH27" s="36"/>
      <c r="AI27" s="36"/>
      <c r="AJ27" s="35"/>
      <c r="AK27" s="35"/>
      <c r="AL27" s="35"/>
      <c r="AM27" s="36"/>
      <c r="AN27" s="36"/>
      <c r="AO27" s="36"/>
      <c r="AP27" s="35"/>
      <c r="AQ27" s="35"/>
      <c r="AR27" s="37" t="str">
        <f aca="false">IF(A27="","",COUNTIF(MDT!$B$5:$B$104,A27))</f>
        <v/>
      </c>
      <c r="AS27" s="37" t="str">
        <f aca="false">IF(A27="","",COUNTIFS(MDT!$B$5:$B$104,A27,MDT!$E$5:$E$104,"נדחה — מידע חסר"))</f>
        <v/>
      </c>
      <c r="AT27" s="36"/>
      <c r="AU27" s="35"/>
      <c r="AV27" s="33" t="str">
        <f aca="false">IF(OR(X27="",Z27=""),"",Z27-X27)</f>
        <v/>
      </c>
      <c r="AW27" s="37" t="str">
        <f aca="false">IF(OR(Z27="",AC27=""),"",AC27-Z27)</f>
        <v/>
      </c>
      <c r="AX27" s="37" t="str">
        <f aca="false">IF(OR(AD27="",AI27=""),"",AI27-AD27)</f>
        <v/>
      </c>
      <c r="AY27" s="37" t="str">
        <f aca="false">IF(OR(Z27="",AI27=""),"",AI27-Z27)</f>
        <v/>
      </c>
      <c r="AZ27" s="38" t="str">
        <f aca="false">IF(AY27="","",IF(AY27&lt;=30,1,0))</f>
        <v/>
      </c>
      <c r="BA27" s="38" t="str">
        <f aca="false">IF(AY27="","",IF(AY27&gt;60,1,0))</f>
        <v/>
      </c>
      <c r="BB27" s="38" t="str">
        <f aca="false">IF(AY27="","",IF(AY27&gt;67,1,0))</f>
        <v/>
      </c>
      <c r="BC27" s="38" t="str">
        <f aca="false">IF(OR(AJ27&lt;&gt;"ניתוח",AX27=""),"",IF(AX27&lt;=30,1,0))</f>
        <v/>
      </c>
      <c r="BD27" s="37" t="str">
        <f aca="false">IF(OR(AG27="",AI27="",AJ27&lt;&gt;"ניתוח"),"",AI27-AG27)</f>
        <v/>
      </c>
      <c r="BE27" s="33" t="str">
        <f aca="false">IF(OR(AH27="",AI27="",AND(AJ27&lt;&gt;"הקרנות",AJ27&lt;&gt;"כימו-הקרנות")),"",AI27-AH27)</f>
        <v/>
      </c>
      <c r="BF27" s="37" t="str">
        <f aca="false">IF(OR(AJ27&lt;&gt;"ניתוח",AI27="",AN27=""),"",AN27-AI27)</f>
        <v/>
      </c>
      <c r="BG27" s="37" t="str">
        <f aca="false">IF(OR(AJ27&lt;&gt;"ניתוח",AI27="",AO27=""),"",AO27-AI27)</f>
        <v/>
      </c>
      <c r="BH27" s="38" t="str">
        <f aca="false">IF(BG27="","",IF(BG27&lt;=42,1,0))</f>
        <v/>
      </c>
      <c r="BI27" s="35"/>
    </row>
    <row r="28" customFormat="false" ht="15" hidden="false" customHeight="true" outlineLevel="0" collapsed="false">
      <c r="A28" s="33" t="str">
        <f aca="false">IF(OR(B28="",C28="",D28="",Z28=""),"","HIS-"&amp;RIGHT(YEAR(Z28),2)&amp;"-"&amp;TEXT(B28,"000")&amp;"-"&amp;C28&amp;"-"&amp;D28&amp;"-"&amp;TEXT(MONTH(Z28),"00"))</f>
        <v/>
      </c>
      <c r="B28" s="34" t="n">
        <v>23</v>
      </c>
      <c r="C28" s="35"/>
      <c r="D28" s="35"/>
      <c r="E28" s="39" t="s">
        <v>275</v>
      </c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6"/>
      <c r="Y28" s="36"/>
      <c r="Z28" s="36"/>
      <c r="AA28" s="36"/>
      <c r="AB28" s="36"/>
      <c r="AC28" s="36"/>
      <c r="AD28" s="36"/>
      <c r="AE28" s="35"/>
      <c r="AF28" s="35"/>
      <c r="AG28" s="36"/>
      <c r="AH28" s="36"/>
      <c r="AI28" s="36"/>
      <c r="AJ28" s="35"/>
      <c r="AK28" s="35"/>
      <c r="AL28" s="35"/>
      <c r="AM28" s="36"/>
      <c r="AN28" s="36"/>
      <c r="AO28" s="36"/>
      <c r="AP28" s="35"/>
      <c r="AQ28" s="35"/>
      <c r="AR28" s="37" t="str">
        <f aca="false">IF(A28="","",COUNTIF(MDT!$B$5:$B$104,A28))</f>
        <v/>
      </c>
      <c r="AS28" s="37" t="str">
        <f aca="false">IF(A28="","",COUNTIFS(MDT!$B$5:$B$104,A28,MDT!$E$5:$E$104,"נדחה — מידע חסר"))</f>
        <v/>
      </c>
      <c r="AT28" s="36"/>
      <c r="AU28" s="35"/>
      <c r="AV28" s="33" t="str">
        <f aca="false">IF(OR(X28="",Z28=""),"",Z28-X28)</f>
        <v/>
      </c>
      <c r="AW28" s="37" t="str">
        <f aca="false">IF(OR(Z28="",AC28=""),"",AC28-Z28)</f>
        <v/>
      </c>
      <c r="AX28" s="37" t="str">
        <f aca="false">IF(OR(AD28="",AI28=""),"",AI28-AD28)</f>
        <v/>
      </c>
      <c r="AY28" s="37" t="str">
        <f aca="false">IF(OR(Z28="",AI28=""),"",AI28-Z28)</f>
        <v/>
      </c>
      <c r="AZ28" s="38" t="str">
        <f aca="false">IF(AY28="","",IF(AY28&lt;=30,1,0))</f>
        <v/>
      </c>
      <c r="BA28" s="38" t="str">
        <f aca="false">IF(AY28="","",IF(AY28&gt;60,1,0))</f>
        <v/>
      </c>
      <c r="BB28" s="38" t="str">
        <f aca="false">IF(AY28="","",IF(AY28&gt;67,1,0))</f>
        <v/>
      </c>
      <c r="BC28" s="38" t="str">
        <f aca="false">IF(OR(AJ28&lt;&gt;"ניתוח",AX28=""),"",IF(AX28&lt;=30,1,0))</f>
        <v/>
      </c>
      <c r="BD28" s="37" t="str">
        <f aca="false">IF(OR(AG28="",AI28="",AJ28&lt;&gt;"ניתוח"),"",AI28-AG28)</f>
        <v/>
      </c>
      <c r="BE28" s="33" t="str">
        <f aca="false">IF(OR(AH28="",AI28="",AND(AJ28&lt;&gt;"הקרנות",AJ28&lt;&gt;"כימו-הקרנות")),"",AI28-AH28)</f>
        <v/>
      </c>
      <c r="BF28" s="37" t="str">
        <f aca="false">IF(OR(AJ28&lt;&gt;"ניתוח",AI28="",AN28=""),"",AN28-AI28)</f>
        <v/>
      </c>
      <c r="BG28" s="37" t="str">
        <f aca="false">IF(OR(AJ28&lt;&gt;"ניתוח",AI28="",AO28=""),"",AO28-AI28)</f>
        <v/>
      </c>
      <c r="BH28" s="38" t="str">
        <f aca="false">IF(BG28="","",IF(BG28&lt;=42,1,0))</f>
        <v/>
      </c>
      <c r="BI28" s="35"/>
    </row>
    <row r="29" customFormat="false" ht="15" hidden="false" customHeight="true" outlineLevel="0" collapsed="false">
      <c r="A29" s="33" t="str">
        <f aca="false">IF(OR(B29="",C29="",D29="",Z29=""),"","HIS-"&amp;RIGHT(YEAR(Z29),2)&amp;"-"&amp;TEXT(B29,"000")&amp;"-"&amp;C29&amp;"-"&amp;D29&amp;"-"&amp;TEXT(MONTH(Z29),"00"))</f>
        <v/>
      </c>
      <c r="B29" s="34" t="n">
        <v>24</v>
      </c>
      <c r="C29" s="35"/>
      <c r="D29" s="35"/>
      <c r="E29" s="39" t="s">
        <v>275</v>
      </c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6"/>
      <c r="Y29" s="36"/>
      <c r="Z29" s="36"/>
      <c r="AA29" s="36"/>
      <c r="AB29" s="36"/>
      <c r="AC29" s="36"/>
      <c r="AD29" s="36"/>
      <c r="AE29" s="35"/>
      <c r="AF29" s="35"/>
      <c r="AG29" s="36"/>
      <c r="AH29" s="36"/>
      <c r="AI29" s="36"/>
      <c r="AJ29" s="35"/>
      <c r="AK29" s="35"/>
      <c r="AL29" s="35"/>
      <c r="AM29" s="36"/>
      <c r="AN29" s="36"/>
      <c r="AO29" s="36"/>
      <c r="AP29" s="35"/>
      <c r="AQ29" s="35"/>
      <c r="AR29" s="37" t="str">
        <f aca="false">IF(A29="","",COUNTIF(MDT!$B$5:$B$104,A29))</f>
        <v/>
      </c>
      <c r="AS29" s="37" t="str">
        <f aca="false">IF(A29="","",COUNTIFS(MDT!$B$5:$B$104,A29,MDT!$E$5:$E$104,"נדחה — מידע חסר"))</f>
        <v/>
      </c>
      <c r="AT29" s="36"/>
      <c r="AU29" s="35"/>
      <c r="AV29" s="33" t="str">
        <f aca="false">IF(OR(X29="",Z29=""),"",Z29-X29)</f>
        <v/>
      </c>
      <c r="AW29" s="37" t="str">
        <f aca="false">IF(OR(Z29="",AC29=""),"",AC29-Z29)</f>
        <v/>
      </c>
      <c r="AX29" s="37" t="str">
        <f aca="false">IF(OR(AD29="",AI29=""),"",AI29-AD29)</f>
        <v/>
      </c>
      <c r="AY29" s="37" t="str">
        <f aca="false">IF(OR(Z29="",AI29=""),"",AI29-Z29)</f>
        <v/>
      </c>
      <c r="AZ29" s="38" t="str">
        <f aca="false">IF(AY29="","",IF(AY29&lt;=30,1,0))</f>
        <v/>
      </c>
      <c r="BA29" s="38" t="str">
        <f aca="false">IF(AY29="","",IF(AY29&gt;60,1,0))</f>
        <v/>
      </c>
      <c r="BB29" s="38" t="str">
        <f aca="false">IF(AY29="","",IF(AY29&gt;67,1,0))</f>
        <v/>
      </c>
      <c r="BC29" s="38" t="str">
        <f aca="false">IF(OR(AJ29&lt;&gt;"ניתוח",AX29=""),"",IF(AX29&lt;=30,1,0))</f>
        <v/>
      </c>
      <c r="BD29" s="37" t="str">
        <f aca="false">IF(OR(AG29="",AI29="",AJ29&lt;&gt;"ניתוח"),"",AI29-AG29)</f>
        <v/>
      </c>
      <c r="BE29" s="33" t="str">
        <f aca="false">IF(OR(AH29="",AI29="",AND(AJ29&lt;&gt;"הקרנות",AJ29&lt;&gt;"כימו-הקרנות")),"",AI29-AH29)</f>
        <v/>
      </c>
      <c r="BF29" s="37" t="str">
        <f aca="false">IF(OR(AJ29&lt;&gt;"ניתוח",AI29="",AN29=""),"",AN29-AI29)</f>
        <v/>
      </c>
      <c r="BG29" s="37" t="str">
        <f aca="false">IF(OR(AJ29&lt;&gt;"ניתוח",AI29="",AO29=""),"",AO29-AI29)</f>
        <v/>
      </c>
      <c r="BH29" s="38" t="str">
        <f aca="false">IF(BG29="","",IF(BG29&lt;=42,1,0))</f>
        <v/>
      </c>
      <c r="BI29" s="35"/>
    </row>
    <row r="30" customFormat="false" ht="15" hidden="false" customHeight="true" outlineLevel="0" collapsed="false">
      <c r="A30" s="33" t="str">
        <f aca="false">IF(OR(B30="",C30="",D30="",Z30=""),"","HIS-"&amp;RIGHT(YEAR(Z30),2)&amp;"-"&amp;TEXT(B30,"000")&amp;"-"&amp;C30&amp;"-"&amp;D30&amp;"-"&amp;TEXT(MONTH(Z30),"00"))</f>
        <v/>
      </c>
      <c r="B30" s="34" t="n">
        <v>25</v>
      </c>
      <c r="C30" s="35"/>
      <c r="D30" s="35"/>
      <c r="E30" s="39" t="s">
        <v>275</v>
      </c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6"/>
      <c r="Y30" s="36"/>
      <c r="Z30" s="36"/>
      <c r="AA30" s="36"/>
      <c r="AB30" s="36"/>
      <c r="AC30" s="36"/>
      <c r="AD30" s="36"/>
      <c r="AE30" s="35"/>
      <c r="AF30" s="35"/>
      <c r="AG30" s="36"/>
      <c r="AH30" s="36"/>
      <c r="AI30" s="36"/>
      <c r="AJ30" s="35"/>
      <c r="AK30" s="35"/>
      <c r="AL30" s="35"/>
      <c r="AM30" s="36"/>
      <c r="AN30" s="36"/>
      <c r="AO30" s="36"/>
      <c r="AP30" s="35"/>
      <c r="AQ30" s="35"/>
      <c r="AR30" s="37" t="str">
        <f aca="false">IF(A30="","",COUNTIF(MDT!$B$5:$B$104,A30))</f>
        <v/>
      </c>
      <c r="AS30" s="37" t="str">
        <f aca="false">IF(A30="","",COUNTIFS(MDT!$B$5:$B$104,A30,MDT!$E$5:$E$104,"נדחה — מידע חסר"))</f>
        <v/>
      </c>
      <c r="AT30" s="36"/>
      <c r="AU30" s="35"/>
      <c r="AV30" s="33" t="str">
        <f aca="false">IF(OR(X30="",Z30=""),"",Z30-X30)</f>
        <v/>
      </c>
      <c r="AW30" s="37" t="str">
        <f aca="false">IF(OR(Z30="",AC30=""),"",AC30-Z30)</f>
        <v/>
      </c>
      <c r="AX30" s="37" t="str">
        <f aca="false">IF(OR(AD30="",AI30=""),"",AI30-AD30)</f>
        <v/>
      </c>
      <c r="AY30" s="37" t="str">
        <f aca="false">IF(OR(Z30="",AI30=""),"",AI30-Z30)</f>
        <v/>
      </c>
      <c r="AZ30" s="38" t="str">
        <f aca="false">IF(AY30="","",IF(AY30&lt;=30,1,0))</f>
        <v/>
      </c>
      <c r="BA30" s="38" t="str">
        <f aca="false">IF(AY30="","",IF(AY30&gt;60,1,0))</f>
        <v/>
      </c>
      <c r="BB30" s="38" t="str">
        <f aca="false">IF(AY30="","",IF(AY30&gt;67,1,0))</f>
        <v/>
      </c>
      <c r="BC30" s="38" t="str">
        <f aca="false">IF(OR(AJ30&lt;&gt;"ניתוח",AX30=""),"",IF(AX30&lt;=30,1,0))</f>
        <v/>
      </c>
      <c r="BD30" s="37" t="str">
        <f aca="false">IF(OR(AG30="",AI30="",AJ30&lt;&gt;"ניתוח"),"",AI30-AG30)</f>
        <v/>
      </c>
      <c r="BE30" s="33" t="str">
        <f aca="false">IF(OR(AH30="",AI30="",AND(AJ30&lt;&gt;"הקרנות",AJ30&lt;&gt;"כימו-הקרנות")),"",AI30-AH30)</f>
        <v/>
      </c>
      <c r="BF30" s="37" t="str">
        <f aca="false">IF(OR(AJ30&lt;&gt;"ניתוח",AI30="",AN30=""),"",AN30-AI30)</f>
        <v/>
      </c>
      <c r="BG30" s="37" t="str">
        <f aca="false">IF(OR(AJ30&lt;&gt;"ניתוח",AI30="",AO30=""),"",AO30-AI30)</f>
        <v/>
      </c>
      <c r="BH30" s="38" t="str">
        <f aca="false">IF(BG30="","",IF(BG30&lt;=42,1,0))</f>
        <v/>
      </c>
      <c r="BI30" s="35"/>
    </row>
    <row r="31" customFormat="false" ht="15" hidden="false" customHeight="true" outlineLevel="0" collapsed="false">
      <c r="A31" s="33" t="str">
        <f aca="false">IF(OR(B31="",C31="",D31="",Z31=""),"","HIS-"&amp;RIGHT(YEAR(Z31),2)&amp;"-"&amp;TEXT(B31,"000")&amp;"-"&amp;C31&amp;"-"&amp;D31&amp;"-"&amp;TEXT(MONTH(Z31),"00"))</f>
        <v/>
      </c>
      <c r="B31" s="34" t="n">
        <v>26</v>
      </c>
      <c r="C31" s="35"/>
      <c r="D31" s="35"/>
      <c r="E31" s="39" t="s">
        <v>275</v>
      </c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6"/>
      <c r="Y31" s="36"/>
      <c r="Z31" s="36"/>
      <c r="AA31" s="36"/>
      <c r="AB31" s="36"/>
      <c r="AC31" s="36"/>
      <c r="AD31" s="36"/>
      <c r="AE31" s="35"/>
      <c r="AF31" s="35"/>
      <c r="AG31" s="36"/>
      <c r="AH31" s="36"/>
      <c r="AI31" s="36"/>
      <c r="AJ31" s="35"/>
      <c r="AK31" s="35"/>
      <c r="AL31" s="35"/>
      <c r="AM31" s="36"/>
      <c r="AN31" s="36"/>
      <c r="AO31" s="36"/>
      <c r="AP31" s="35"/>
      <c r="AQ31" s="35"/>
      <c r="AR31" s="37" t="str">
        <f aca="false">IF(A31="","",COUNTIF(MDT!$B$5:$B$104,A31))</f>
        <v/>
      </c>
      <c r="AS31" s="37" t="str">
        <f aca="false">IF(A31="","",COUNTIFS(MDT!$B$5:$B$104,A31,MDT!$E$5:$E$104,"נדחה — מידע חסר"))</f>
        <v/>
      </c>
      <c r="AT31" s="36"/>
      <c r="AU31" s="35"/>
      <c r="AV31" s="33" t="str">
        <f aca="false">IF(OR(X31="",Z31=""),"",Z31-X31)</f>
        <v/>
      </c>
      <c r="AW31" s="37" t="str">
        <f aca="false">IF(OR(Z31="",AC31=""),"",AC31-Z31)</f>
        <v/>
      </c>
      <c r="AX31" s="37" t="str">
        <f aca="false">IF(OR(AD31="",AI31=""),"",AI31-AD31)</f>
        <v/>
      </c>
      <c r="AY31" s="37" t="str">
        <f aca="false">IF(OR(Z31="",AI31=""),"",AI31-Z31)</f>
        <v/>
      </c>
      <c r="AZ31" s="38" t="str">
        <f aca="false">IF(AY31="","",IF(AY31&lt;=30,1,0))</f>
        <v/>
      </c>
      <c r="BA31" s="38" t="str">
        <f aca="false">IF(AY31="","",IF(AY31&gt;60,1,0))</f>
        <v/>
      </c>
      <c r="BB31" s="38" t="str">
        <f aca="false">IF(AY31="","",IF(AY31&gt;67,1,0))</f>
        <v/>
      </c>
      <c r="BC31" s="38" t="str">
        <f aca="false">IF(OR(AJ31&lt;&gt;"ניתוח",AX31=""),"",IF(AX31&lt;=30,1,0))</f>
        <v/>
      </c>
      <c r="BD31" s="37" t="str">
        <f aca="false">IF(OR(AG31="",AI31="",AJ31&lt;&gt;"ניתוח"),"",AI31-AG31)</f>
        <v/>
      </c>
      <c r="BE31" s="33" t="str">
        <f aca="false">IF(OR(AH31="",AI31="",AND(AJ31&lt;&gt;"הקרנות",AJ31&lt;&gt;"כימו-הקרנות")),"",AI31-AH31)</f>
        <v/>
      </c>
      <c r="BF31" s="37" t="str">
        <f aca="false">IF(OR(AJ31&lt;&gt;"ניתוח",AI31="",AN31=""),"",AN31-AI31)</f>
        <v/>
      </c>
      <c r="BG31" s="37" t="str">
        <f aca="false">IF(OR(AJ31&lt;&gt;"ניתוח",AI31="",AO31=""),"",AO31-AI31)</f>
        <v/>
      </c>
      <c r="BH31" s="38" t="str">
        <f aca="false">IF(BG31="","",IF(BG31&lt;=42,1,0))</f>
        <v/>
      </c>
      <c r="BI31" s="35"/>
    </row>
    <row r="32" customFormat="false" ht="15" hidden="false" customHeight="true" outlineLevel="0" collapsed="false">
      <c r="A32" s="33" t="str">
        <f aca="false">IF(OR(B32="",C32="",D32="",Z32=""),"","HIS-"&amp;RIGHT(YEAR(Z32),2)&amp;"-"&amp;TEXT(B32,"000")&amp;"-"&amp;C32&amp;"-"&amp;D32&amp;"-"&amp;TEXT(MONTH(Z32),"00"))</f>
        <v/>
      </c>
      <c r="B32" s="34" t="n">
        <v>27</v>
      </c>
      <c r="C32" s="35"/>
      <c r="D32" s="35"/>
      <c r="E32" s="39" t="s">
        <v>275</v>
      </c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6"/>
      <c r="Y32" s="36"/>
      <c r="Z32" s="36"/>
      <c r="AA32" s="36"/>
      <c r="AB32" s="36"/>
      <c r="AC32" s="36"/>
      <c r="AD32" s="36"/>
      <c r="AE32" s="35"/>
      <c r="AF32" s="35"/>
      <c r="AG32" s="36"/>
      <c r="AH32" s="36"/>
      <c r="AI32" s="36"/>
      <c r="AJ32" s="35"/>
      <c r="AK32" s="35"/>
      <c r="AL32" s="35"/>
      <c r="AM32" s="36"/>
      <c r="AN32" s="36"/>
      <c r="AO32" s="36"/>
      <c r="AP32" s="35"/>
      <c r="AQ32" s="35"/>
      <c r="AR32" s="37" t="str">
        <f aca="false">IF(A32="","",COUNTIF(MDT!$B$5:$B$104,A32))</f>
        <v/>
      </c>
      <c r="AS32" s="37" t="str">
        <f aca="false">IF(A32="","",COUNTIFS(MDT!$B$5:$B$104,A32,MDT!$E$5:$E$104,"נדחה — מידע חסר"))</f>
        <v/>
      </c>
      <c r="AT32" s="36"/>
      <c r="AU32" s="35"/>
      <c r="AV32" s="33" t="str">
        <f aca="false">IF(OR(X32="",Z32=""),"",Z32-X32)</f>
        <v/>
      </c>
      <c r="AW32" s="37" t="str">
        <f aca="false">IF(OR(Z32="",AC32=""),"",AC32-Z32)</f>
        <v/>
      </c>
      <c r="AX32" s="37" t="str">
        <f aca="false">IF(OR(AD32="",AI32=""),"",AI32-AD32)</f>
        <v/>
      </c>
      <c r="AY32" s="37" t="str">
        <f aca="false">IF(OR(Z32="",AI32=""),"",AI32-Z32)</f>
        <v/>
      </c>
      <c r="AZ32" s="38" t="str">
        <f aca="false">IF(AY32="","",IF(AY32&lt;=30,1,0))</f>
        <v/>
      </c>
      <c r="BA32" s="38" t="str">
        <f aca="false">IF(AY32="","",IF(AY32&gt;60,1,0))</f>
        <v/>
      </c>
      <c r="BB32" s="38" t="str">
        <f aca="false">IF(AY32="","",IF(AY32&gt;67,1,0))</f>
        <v/>
      </c>
      <c r="BC32" s="38" t="str">
        <f aca="false">IF(OR(AJ32&lt;&gt;"ניתוח",AX32=""),"",IF(AX32&lt;=30,1,0))</f>
        <v/>
      </c>
      <c r="BD32" s="37" t="str">
        <f aca="false">IF(OR(AG32="",AI32="",AJ32&lt;&gt;"ניתוח"),"",AI32-AG32)</f>
        <v/>
      </c>
      <c r="BE32" s="33" t="str">
        <f aca="false">IF(OR(AH32="",AI32="",AND(AJ32&lt;&gt;"הקרנות",AJ32&lt;&gt;"כימו-הקרנות")),"",AI32-AH32)</f>
        <v/>
      </c>
      <c r="BF32" s="37" t="str">
        <f aca="false">IF(OR(AJ32&lt;&gt;"ניתוח",AI32="",AN32=""),"",AN32-AI32)</f>
        <v/>
      </c>
      <c r="BG32" s="37" t="str">
        <f aca="false">IF(OR(AJ32&lt;&gt;"ניתוח",AI32="",AO32=""),"",AO32-AI32)</f>
        <v/>
      </c>
      <c r="BH32" s="38" t="str">
        <f aca="false">IF(BG32="","",IF(BG32&lt;=42,1,0))</f>
        <v/>
      </c>
      <c r="BI32" s="35"/>
    </row>
    <row r="33" customFormat="false" ht="15" hidden="false" customHeight="true" outlineLevel="0" collapsed="false">
      <c r="A33" s="33" t="str">
        <f aca="false">IF(OR(B33="",C33="",D33="",Z33=""),"","HIS-"&amp;RIGHT(YEAR(Z33),2)&amp;"-"&amp;TEXT(B33,"000")&amp;"-"&amp;C33&amp;"-"&amp;D33&amp;"-"&amp;TEXT(MONTH(Z33),"00"))</f>
        <v/>
      </c>
      <c r="B33" s="34" t="n">
        <v>28</v>
      </c>
      <c r="C33" s="35"/>
      <c r="D33" s="35"/>
      <c r="E33" s="39" t="s">
        <v>275</v>
      </c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6"/>
      <c r="Y33" s="36"/>
      <c r="Z33" s="36"/>
      <c r="AA33" s="36"/>
      <c r="AB33" s="36"/>
      <c r="AC33" s="36"/>
      <c r="AD33" s="36"/>
      <c r="AE33" s="35"/>
      <c r="AF33" s="35"/>
      <c r="AG33" s="36"/>
      <c r="AH33" s="36"/>
      <c r="AI33" s="36"/>
      <c r="AJ33" s="35"/>
      <c r="AK33" s="35"/>
      <c r="AL33" s="35"/>
      <c r="AM33" s="36"/>
      <c r="AN33" s="36"/>
      <c r="AO33" s="36"/>
      <c r="AP33" s="35"/>
      <c r="AQ33" s="35"/>
      <c r="AR33" s="37" t="str">
        <f aca="false">IF(A33="","",COUNTIF(MDT!$B$5:$B$104,A33))</f>
        <v/>
      </c>
      <c r="AS33" s="37" t="str">
        <f aca="false">IF(A33="","",COUNTIFS(MDT!$B$5:$B$104,A33,MDT!$E$5:$E$104,"נדחה — מידע חסר"))</f>
        <v/>
      </c>
      <c r="AT33" s="36"/>
      <c r="AU33" s="35"/>
      <c r="AV33" s="33" t="str">
        <f aca="false">IF(OR(X33="",Z33=""),"",Z33-X33)</f>
        <v/>
      </c>
      <c r="AW33" s="37" t="str">
        <f aca="false">IF(OR(Z33="",AC33=""),"",AC33-Z33)</f>
        <v/>
      </c>
      <c r="AX33" s="37" t="str">
        <f aca="false">IF(OR(AD33="",AI33=""),"",AI33-AD33)</f>
        <v/>
      </c>
      <c r="AY33" s="37" t="str">
        <f aca="false">IF(OR(Z33="",AI33=""),"",AI33-Z33)</f>
        <v/>
      </c>
      <c r="AZ33" s="38" t="str">
        <f aca="false">IF(AY33="","",IF(AY33&lt;=30,1,0))</f>
        <v/>
      </c>
      <c r="BA33" s="38" t="str">
        <f aca="false">IF(AY33="","",IF(AY33&gt;60,1,0))</f>
        <v/>
      </c>
      <c r="BB33" s="38" t="str">
        <f aca="false">IF(AY33="","",IF(AY33&gt;67,1,0))</f>
        <v/>
      </c>
      <c r="BC33" s="38" t="str">
        <f aca="false">IF(OR(AJ33&lt;&gt;"ניתוח",AX33=""),"",IF(AX33&lt;=30,1,0))</f>
        <v/>
      </c>
      <c r="BD33" s="37" t="str">
        <f aca="false">IF(OR(AG33="",AI33="",AJ33&lt;&gt;"ניתוח"),"",AI33-AG33)</f>
        <v/>
      </c>
      <c r="BE33" s="33" t="str">
        <f aca="false">IF(OR(AH33="",AI33="",AND(AJ33&lt;&gt;"הקרנות",AJ33&lt;&gt;"כימו-הקרנות")),"",AI33-AH33)</f>
        <v/>
      </c>
      <c r="BF33" s="37" t="str">
        <f aca="false">IF(OR(AJ33&lt;&gt;"ניתוח",AI33="",AN33=""),"",AN33-AI33)</f>
        <v/>
      </c>
      <c r="BG33" s="37" t="str">
        <f aca="false">IF(OR(AJ33&lt;&gt;"ניתוח",AI33="",AO33=""),"",AO33-AI33)</f>
        <v/>
      </c>
      <c r="BH33" s="38" t="str">
        <f aca="false">IF(BG33="","",IF(BG33&lt;=42,1,0))</f>
        <v/>
      </c>
      <c r="BI33" s="35"/>
    </row>
    <row r="34" customFormat="false" ht="15" hidden="false" customHeight="true" outlineLevel="0" collapsed="false">
      <c r="A34" s="33" t="str">
        <f aca="false">IF(OR(B34="",C34="",D34="",Z34=""),"","HIS-"&amp;RIGHT(YEAR(Z34),2)&amp;"-"&amp;TEXT(B34,"000")&amp;"-"&amp;C34&amp;"-"&amp;D34&amp;"-"&amp;TEXT(MONTH(Z34),"00"))</f>
        <v/>
      </c>
      <c r="B34" s="34" t="n">
        <v>29</v>
      </c>
      <c r="C34" s="35"/>
      <c r="D34" s="35"/>
      <c r="E34" s="39" t="s">
        <v>275</v>
      </c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6"/>
      <c r="Y34" s="36"/>
      <c r="Z34" s="36"/>
      <c r="AA34" s="36"/>
      <c r="AB34" s="36"/>
      <c r="AC34" s="36"/>
      <c r="AD34" s="36"/>
      <c r="AE34" s="35"/>
      <c r="AF34" s="35"/>
      <c r="AG34" s="36"/>
      <c r="AH34" s="36"/>
      <c r="AI34" s="36"/>
      <c r="AJ34" s="35"/>
      <c r="AK34" s="35"/>
      <c r="AL34" s="35"/>
      <c r="AM34" s="36"/>
      <c r="AN34" s="36"/>
      <c r="AO34" s="36"/>
      <c r="AP34" s="35"/>
      <c r="AQ34" s="35"/>
      <c r="AR34" s="37" t="str">
        <f aca="false">IF(A34="","",COUNTIF(MDT!$B$5:$B$104,A34))</f>
        <v/>
      </c>
      <c r="AS34" s="37" t="str">
        <f aca="false">IF(A34="","",COUNTIFS(MDT!$B$5:$B$104,A34,MDT!$E$5:$E$104,"נדחה — מידע חסר"))</f>
        <v/>
      </c>
      <c r="AT34" s="36"/>
      <c r="AU34" s="35"/>
      <c r="AV34" s="33" t="str">
        <f aca="false">IF(OR(X34="",Z34=""),"",Z34-X34)</f>
        <v/>
      </c>
      <c r="AW34" s="37" t="str">
        <f aca="false">IF(OR(Z34="",AC34=""),"",AC34-Z34)</f>
        <v/>
      </c>
      <c r="AX34" s="37" t="str">
        <f aca="false">IF(OR(AD34="",AI34=""),"",AI34-AD34)</f>
        <v/>
      </c>
      <c r="AY34" s="37" t="str">
        <f aca="false">IF(OR(Z34="",AI34=""),"",AI34-Z34)</f>
        <v/>
      </c>
      <c r="AZ34" s="38" t="str">
        <f aca="false">IF(AY34="","",IF(AY34&lt;=30,1,0))</f>
        <v/>
      </c>
      <c r="BA34" s="38" t="str">
        <f aca="false">IF(AY34="","",IF(AY34&gt;60,1,0))</f>
        <v/>
      </c>
      <c r="BB34" s="38" t="str">
        <f aca="false">IF(AY34="","",IF(AY34&gt;67,1,0))</f>
        <v/>
      </c>
      <c r="BC34" s="38" t="str">
        <f aca="false">IF(OR(AJ34&lt;&gt;"ניתוח",AX34=""),"",IF(AX34&lt;=30,1,0))</f>
        <v/>
      </c>
      <c r="BD34" s="37" t="str">
        <f aca="false">IF(OR(AG34="",AI34="",AJ34&lt;&gt;"ניתוח"),"",AI34-AG34)</f>
        <v/>
      </c>
      <c r="BE34" s="33" t="str">
        <f aca="false">IF(OR(AH34="",AI34="",AND(AJ34&lt;&gt;"הקרנות",AJ34&lt;&gt;"כימו-הקרנות")),"",AI34-AH34)</f>
        <v/>
      </c>
      <c r="BF34" s="37" t="str">
        <f aca="false">IF(OR(AJ34&lt;&gt;"ניתוח",AI34="",AN34=""),"",AN34-AI34)</f>
        <v/>
      </c>
      <c r="BG34" s="37" t="str">
        <f aca="false">IF(OR(AJ34&lt;&gt;"ניתוח",AI34="",AO34=""),"",AO34-AI34)</f>
        <v/>
      </c>
      <c r="BH34" s="38" t="str">
        <f aca="false">IF(BG34="","",IF(BG34&lt;=42,1,0))</f>
        <v/>
      </c>
      <c r="BI34" s="35"/>
    </row>
    <row r="35" customFormat="false" ht="15" hidden="false" customHeight="true" outlineLevel="0" collapsed="false">
      <c r="A35" s="33" t="str">
        <f aca="false">IF(OR(B35="",C35="",D35="",Z35=""),"","HIS-"&amp;RIGHT(YEAR(Z35),2)&amp;"-"&amp;TEXT(B35,"000")&amp;"-"&amp;C35&amp;"-"&amp;D35&amp;"-"&amp;TEXT(MONTH(Z35),"00"))</f>
        <v/>
      </c>
      <c r="B35" s="34" t="n">
        <v>30</v>
      </c>
      <c r="C35" s="35"/>
      <c r="D35" s="35"/>
      <c r="E35" s="39" t="s">
        <v>275</v>
      </c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6"/>
      <c r="Y35" s="36"/>
      <c r="Z35" s="36"/>
      <c r="AA35" s="36"/>
      <c r="AB35" s="36"/>
      <c r="AC35" s="36"/>
      <c r="AD35" s="36"/>
      <c r="AE35" s="35"/>
      <c r="AF35" s="35"/>
      <c r="AG35" s="36"/>
      <c r="AH35" s="36"/>
      <c r="AI35" s="36"/>
      <c r="AJ35" s="35"/>
      <c r="AK35" s="35"/>
      <c r="AL35" s="35"/>
      <c r="AM35" s="36"/>
      <c r="AN35" s="36"/>
      <c r="AO35" s="36"/>
      <c r="AP35" s="35"/>
      <c r="AQ35" s="35"/>
      <c r="AR35" s="37" t="str">
        <f aca="false">IF(A35="","",COUNTIF(MDT!$B$5:$B$104,A35))</f>
        <v/>
      </c>
      <c r="AS35" s="37" t="str">
        <f aca="false">IF(A35="","",COUNTIFS(MDT!$B$5:$B$104,A35,MDT!$E$5:$E$104,"נדחה — מידע חסר"))</f>
        <v/>
      </c>
      <c r="AT35" s="36"/>
      <c r="AU35" s="35"/>
      <c r="AV35" s="33" t="str">
        <f aca="false">IF(OR(X35="",Z35=""),"",Z35-X35)</f>
        <v/>
      </c>
      <c r="AW35" s="37" t="str">
        <f aca="false">IF(OR(Z35="",AC35=""),"",AC35-Z35)</f>
        <v/>
      </c>
      <c r="AX35" s="37" t="str">
        <f aca="false">IF(OR(AD35="",AI35=""),"",AI35-AD35)</f>
        <v/>
      </c>
      <c r="AY35" s="37" t="str">
        <f aca="false">IF(OR(Z35="",AI35=""),"",AI35-Z35)</f>
        <v/>
      </c>
      <c r="AZ35" s="38" t="str">
        <f aca="false">IF(AY35="","",IF(AY35&lt;=30,1,0))</f>
        <v/>
      </c>
      <c r="BA35" s="38" t="str">
        <f aca="false">IF(AY35="","",IF(AY35&gt;60,1,0))</f>
        <v/>
      </c>
      <c r="BB35" s="38" t="str">
        <f aca="false">IF(AY35="","",IF(AY35&gt;67,1,0))</f>
        <v/>
      </c>
      <c r="BC35" s="38" t="str">
        <f aca="false">IF(OR(AJ35&lt;&gt;"ניתוח",AX35=""),"",IF(AX35&lt;=30,1,0))</f>
        <v/>
      </c>
      <c r="BD35" s="37" t="str">
        <f aca="false">IF(OR(AG35="",AI35="",AJ35&lt;&gt;"ניתוח"),"",AI35-AG35)</f>
        <v/>
      </c>
      <c r="BE35" s="33" t="str">
        <f aca="false">IF(OR(AH35="",AI35="",AND(AJ35&lt;&gt;"הקרנות",AJ35&lt;&gt;"כימו-הקרנות")),"",AI35-AH35)</f>
        <v/>
      </c>
      <c r="BF35" s="37" t="str">
        <f aca="false">IF(OR(AJ35&lt;&gt;"ניתוח",AI35="",AN35=""),"",AN35-AI35)</f>
        <v/>
      </c>
      <c r="BG35" s="37" t="str">
        <f aca="false">IF(OR(AJ35&lt;&gt;"ניתוח",AI35="",AO35=""),"",AO35-AI35)</f>
        <v/>
      </c>
      <c r="BH35" s="38" t="str">
        <f aca="false">IF(BG35="","",IF(BG35&lt;=42,1,0))</f>
        <v/>
      </c>
      <c r="BI35" s="35"/>
    </row>
    <row r="36" customFormat="false" ht="15" hidden="false" customHeight="true" outlineLevel="0" collapsed="false">
      <c r="A36" s="33" t="str">
        <f aca="false">IF(OR(B36="",C36="",D36="",Z36=""),"","HIS-"&amp;RIGHT(YEAR(Z36),2)&amp;"-"&amp;TEXT(B36,"000")&amp;"-"&amp;C36&amp;"-"&amp;D36&amp;"-"&amp;TEXT(MONTH(Z36),"00"))</f>
        <v/>
      </c>
      <c r="B36" s="34" t="n">
        <v>31</v>
      </c>
      <c r="C36" s="35"/>
      <c r="D36" s="35"/>
      <c r="E36" s="39" t="s">
        <v>275</v>
      </c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6"/>
      <c r="Y36" s="36"/>
      <c r="Z36" s="36"/>
      <c r="AA36" s="36"/>
      <c r="AB36" s="36"/>
      <c r="AC36" s="36"/>
      <c r="AD36" s="36"/>
      <c r="AE36" s="35"/>
      <c r="AF36" s="35"/>
      <c r="AG36" s="36"/>
      <c r="AH36" s="36"/>
      <c r="AI36" s="36"/>
      <c r="AJ36" s="35"/>
      <c r="AK36" s="35"/>
      <c r="AL36" s="35"/>
      <c r="AM36" s="36"/>
      <c r="AN36" s="36"/>
      <c r="AO36" s="36"/>
      <c r="AP36" s="35"/>
      <c r="AQ36" s="35"/>
      <c r="AR36" s="37" t="str">
        <f aca="false">IF(A36="","",COUNTIF(MDT!$B$5:$B$104,A36))</f>
        <v/>
      </c>
      <c r="AS36" s="37" t="str">
        <f aca="false">IF(A36="","",COUNTIFS(MDT!$B$5:$B$104,A36,MDT!$E$5:$E$104,"נדחה — מידע חסר"))</f>
        <v/>
      </c>
      <c r="AT36" s="36"/>
      <c r="AU36" s="35"/>
      <c r="AV36" s="33" t="str">
        <f aca="false">IF(OR(X36="",Z36=""),"",Z36-X36)</f>
        <v/>
      </c>
      <c r="AW36" s="37" t="str">
        <f aca="false">IF(OR(Z36="",AC36=""),"",AC36-Z36)</f>
        <v/>
      </c>
      <c r="AX36" s="37" t="str">
        <f aca="false">IF(OR(AD36="",AI36=""),"",AI36-AD36)</f>
        <v/>
      </c>
      <c r="AY36" s="37" t="str">
        <f aca="false">IF(OR(Z36="",AI36=""),"",AI36-Z36)</f>
        <v/>
      </c>
      <c r="AZ36" s="38" t="str">
        <f aca="false">IF(AY36="","",IF(AY36&lt;=30,1,0))</f>
        <v/>
      </c>
      <c r="BA36" s="38" t="str">
        <f aca="false">IF(AY36="","",IF(AY36&gt;60,1,0))</f>
        <v/>
      </c>
      <c r="BB36" s="38" t="str">
        <f aca="false">IF(AY36="","",IF(AY36&gt;67,1,0))</f>
        <v/>
      </c>
      <c r="BC36" s="38" t="str">
        <f aca="false">IF(OR(AJ36&lt;&gt;"ניתוח",AX36=""),"",IF(AX36&lt;=30,1,0))</f>
        <v/>
      </c>
      <c r="BD36" s="37" t="str">
        <f aca="false">IF(OR(AG36="",AI36="",AJ36&lt;&gt;"ניתוח"),"",AI36-AG36)</f>
        <v/>
      </c>
      <c r="BE36" s="33" t="str">
        <f aca="false">IF(OR(AH36="",AI36="",AND(AJ36&lt;&gt;"הקרנות",AJ36&lt;&gt;"כימו-הקרנות")),"",AI36-AH36)</f>
        <v/>
      </c>
      <c r="BF36" s="37" t="str">
        <f aca="false">IF(OR(AJ36&lt;&gt;"ניתוח",AI36="",AN36=""),"",AN36-AI36)</f>
        <v/>
      </c>
      <c r="BG36" s="37" t="str">
        <f aca="false">IF(OR(AJ36&lt;&gt;"ניתוח",AI36="",AO36=""),"",AO36-AI36)</f>
        <v/>
      </c>
      <c r="BH36" s="38" t="str">
        <f aca="false">IF(BG36="","",IF(BG36&lt;=42,1,0))</f>
        <v/>
      </c>
      <c r="BI36" s="35"/>
    </row>
    <row r="37" customFormat="false" ht="15" hidden="false" customHeight="true" outlineLevel="0" collapsed="false">
      <c r="A37" s="33" t="str">
        <f aca="false">IF(OR(B37="",C37="",D37="",Z37=""),"","HIS-"&amp;RIGHT(YEAR(Z37),2)&amp;"-"&amp;TEXT(B37,"000")&amp;"-"&amp;C37&amp;"-"&amp;D37&amp;"-"&amp;TEXT(MONTH(Z37),"00"))</f>
        <v/>
      </c>
      <c r="B37" s="34" t="n">
        <v>32</v>
      </c>
      <c r="C37" s="35"/>
      <c r="D37" s="35"/>
      <c r="E37" s="39" t="s">
        <v>275</v>
      </c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6"/>
      <c r="Y37" s="36"/>
      <c r="Z37" s="36"/>
      <c r="AA37" s="36"/>
      <c r="AB37" s="36"/>
      <c r="AC37" s="36"/>
      <c r="AD37" s="36"/>
      <c r="AE37" s="35"/>
      <c r="AF37" s="35"/>
      <c r="AG37" s="36"/>
      <c r="AH37" s="36"/>
      <c r="AI37" s="36"/>
      <c r="AJ37" s="35"/>
      <c r="AK37" s="35"/>
      <c r="AL37" s="35"/>
      <c r="AM37" s="36"/>
      <c r="AN37" s="36"/>
      <c r="AO37" s="36"/>
      <c r="AP37" s="35"/>
      <c r="AQ37" s="35"/>
      <c r="AR37" s="37" t="str">
        <f aca="false">IF(A37="","",COUNTIF(MDT!$B$5:$B$104,A37))</f>
        <v/>
      </c>
      <c r="AS37" s="37" t="str">
        <f aca="false">IF(A37="","",COUNTIFS(MDT!$B$5:$B$104,A37,MDT!$E$5:$E$104,"נדחה — מידע חסר"))</f>
        <v/>
      </c>
      <c r="AT37" s="36"/>
      <c r="AU37" s="35"/>
      <c r="AV37" s="33" t="str">
        <f aca="false">IF(OR(X37="",Z37=""),"",Z37-X37)</f>
        <v/>
      </c>
      <c r="AW37" s="37" t="str">
        <f aca="false">IF(OR(Z37="",AC37=""),"",AC37-Z37)</f>
        <v/>
      </c>
      <c r="AX37" s="37" t="str">
        <f aca="false">IF(OR(AD37="",AI37=""),"",AI37-AD37)</f>
        <v/>
      </c>
      <c r="AY37" s="37" t="str">
        <f aca="false">IF(OR(Z37="",AI37=""),"",AI37-Z37)</f>
        <v/>
      </c>
      <c r="AZ37" s="38" t="str">
        <f aca="false">IF(AY37="","",IF(AY37&lt;=30,1,0))</f>
        <v/>
      </c>
      <c r="BA37" s="38" t="str">
        <f aca="false">IF(AY37="","",IF(AY37&gt;60,1,0))</f>
        <v/>
      </c>
      <c r="BB37" s="38" t="str">
        <f aca="false">IF(AY37="","",IF(AY37&gt;67,1,0))</f>
        <v/>
      </c>
      <c r="BC37" s="38" t="str">
        <f aca="false">IF(OR(AJ37&lt;&gt;"ניתוח",AX37=""),"",IF(AX37&lt;=30,1,0))</f>
        <v/>
      </c>
      <c r="BD37" s="37" t="str">
        <f aca="false">IF(OR(AG37="",AI37="",AJ37&lt;&gt;"ניתוח"),"",AI37-AG37)</f>
        <v/>
      </c>
      <c r="BE37" s="33" t="str">
        <f aca="false">IF(OR(AH37="",AI37="",AND(AJ37&lt;&gt;"הקרנות",AJ37&lt;&gt;"כימו-הקרנות")),"",AI37-AH37)</f>
        <v/>
      </c>
      <c r="BF37" s="37" t="str">
        <f aca="false">IF(OR(AJ37&lt;&gt;"ניתוח",AI37="",AN37=""),"",AN37-AI37)</f>
        <v/>
      </c>
      <c r="BG37" s="37" t="str">
        <f aca="false">IF(OR(AJ37&lt;&gt;"ניתוח",AI37="",AO37=""),"",AO37-AI37)</f>
        <v/>
      </c>
      <c r="BH37" s="38" t="str">
        <f aca="false">IF(BG37="","",IF(BG37&lt;=42,1,0))</f>
        <v/>
      </c>
      <c r="BI37" s="35"/>
    </row>
    <row r="38" customFormat="false" ht="15" hidden="false" customHeight="true" outlineLevel="0" collapsed="false">
      <c r="A38" s="33" t="str">
        <f aca="false">IF(OR(B38="",C38="",D38="",Z38=""),"","HIS-"&amp;RIGHT(YEAR(Z38),2)&amp;"-"&amp;TEXT(B38,"000")&amp;"-"&amp;C38&amp;"-"&amp;D38&amp;"-"&amp;TEXT(MONTH(Z38),"00"))</f>
        <v/>
      </c>
      <c r="B38" s="34" t="n">
        <v>33</v>
      </c>
      <c r="C38" s="35"/>
      <c r="D38" s="35"/>
      <c r="E38" s="39" t="s">
        <v>275</v>
      </c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6"/>
      <c r="Y38" s="36"/>
      <c r="Z38" s="36"/>
      <c r="AA38" s="36"/>
      <c r="AB38" s="36"/>
      <c r="AC38" s="36"/>
      <c r="AD38" s="36"/>
      <c r="AE38" s="35"/>
      <c r="AF38" s="35"/>
      <c r="AG38" s="36"/>
      <c r="AH38" s="36"/>
      <c r="AI38" s="36"/>
      <c r="AJ38" s="35"/>
      <c r="AK38" s="35"/>
      <c r="AL38" s="35"/>
      <c r="AM38" s="36"/>
      <c r="AN38" s="36"/>
      <c r="AO38" s="36"/>
      <c r="AP38" s="35"/>
      <c r="AQ38" s="35"/>
      <c r="AR38" s="37" t="str">
        <f aca="false">IF(A38="","",COUNTIF(MDT!$B$5:$B$104,A38))</f>
        <v/>
      </c>
      <c r="AS38" s="37" t="str">
        <f aca="false">IF(A38="","",COUNTIFS(MDT!$B$5:$B$104,A38,MDT!$E$5:$E$104,"נדחה — מידע חסר"))</f>
        <v/>
      </c>
      <c r="AT38" s="36"/>
      <c r="AU38" s="35"/>
      <c r="AV38" s="33" t="str">
        <f aca="false">IF(OR(X38="",Z38=""),"",Z38-X38)</f>
        <v/>
      </c>
      <c r="AW38" s="37" t="str">
        <f aca="false">IF(OR(Z38="",AC38=""),"",AC38-Z38)</f>
        <v/>
      </c>
      <c r="AX38" s="37" t="str">
        <f aca="false">IF(OR(AD38="",AI38=""),"",AI38-AD38)</f>
        <v/>
      </c>
      <c r="AY38" s="37" t="str">
        <f aca="false">IF(OR(Z38="",AI38=""),"",AI38-Z38)</f>
        <v/>
      </c>
      <c r="AZ38" s="38" t="str">
        <f aca="false">IF(AY38="","",IF(AY38&lt;=30,1,0))</f>
        <v/>
      </c>
      <c r="BA38" s="38" t="str">
        <f aca="false">IF(AY38="","",IF(AY38&gt;60,1,0))</f>
        <v/>
      </c>
      <c r="BB38" s="38" t="str">
        <f aca="false">IF(AY38="","",IF(AY38&gt;67,1,0))</f>
        <v/>
      </c>
      <c r="BC38" s="38" t="str">
        <f aca="false">IF(OR(AJ38&lt;&gt;"ניתוח",AX38=""),"",IF(AX38&lt;=30,1,0))</f>
        <v/>
      </c>
      <c r="BD38" s="37" t="str">
        <f aca="false">IF(OR(AG38="",AI38="",AJ38&lt;&gt;"ניתוח"),"",AI38-AG38)</f>
        <v/>
      </c>
      <c r="BE38" s="33" t="str">
        <f aca="false">IF(OR(AH38="",AI38="",AND(AJ38&lt;&gt;"הקרנות",AJ38&lt;&gt;"כימו-הקרנות")),"",AI38-AH38)</f>
        <v/>
      </c>
      <c r="BF38" s="37" t="str">
        <f aca="false">IF(OR(AJ38&lt;&gt;"ניתוח",AI38="",AN38=""),"",AN38-AI38)</f>
        <v/>
      </c>
      <c r="BG38" s="37" t="str">
        <f aca="false">IF(OR(AJ38&lt;&gt;"ניתוח",AI38="",AO38=""),"",AO38-AI38)</f>
        <v/>
      </c>
      <c r="BH38" s="38" t="str">
        <f aca="false">IF(BG38="","",IF(BG38&lt;=42,1,0))</f>
        <v/>
      </c>
      <c r="BI38" s="35"/>
    </row>
    <row r="39" customFormat="false" ht="15" hidden="false" customHeight="true" outlineLevel="0" collapsed="false">
      <c r="A39" s="33" t="str">
        <f aca="false">IF(OR(B39="",C39="",D39="",Z39=""),"","HIS-"&amp;RIGHT(YEAR(Z39),2)&amp;"-"&amp;TEXT(B39,"000")&amp;"-"&amp;C39&amp;"-"&amp;D39&amp;"-"&amp;TEXT(MONTH(Z39),"00"))</f>
        <v/>
      </c>
      <c r="B39" s="34" t="n">
        <v>34</v>
      </c>
      <c r="C39" s="35"/>
      <c r="D39" s="35"/>
      <c r="E39" s="39" t="s">
        <v>275</v>
      </c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6"/>
      <c r="Y39" s="36"/>
      <c r="Z39" s="36"/>
      <c r="AA39" s="36"/>
      <c r="AB39" s="36"/>
      <c r="AC39" s="36"/>
      <c r="AD39" s="36"/>
      <c r="AE39" s="35"/>
      <c r="AF39" s="35"/>
      <c r="AG39" s="36"/>
      <c r="AH39" s="36"/>
      <c r="AI39" s="36"/>
      <c r="AJ39" s="35"/>
      <c r="AK39" s="35"/>
      <c r="AL39" s="35"/>
      <c r="AM39" s="36"/>
      <c r="AN39" s="36"/>
      <c r="AO39" s="36"/>
      <c r="AP39" s="35"/>
      <c r="AQ39" s="35"/>
      <c r="AR39" s="37" t="str">
        <f aca="false">IF(A39="","",COUNTIF(MDT!$B$5:$B$104,A39))</f>
        <v/>
      </c>
      <c r="AS39" s="37" t="str">
        <f aca="false">IF(A39="","",COUNTIFS(MDT!$B$5:$B$104,A39,MDT!$E$5:$E$104,"נדחה — מידע חסר"))</f>
        <v/>
      </c>
      <c r="AT39" s="36"/>
      <c r="AU39" s="35"/>
      <c r="AV39" s="33" t="str">
        <f aca="false">IF(OR(X39="",Z39=""),"",Z39-X39)</f>
        <v/>
      </c>
      <c r="AW39" s="37" t="str">
        <f aca="false">IF(OR(Z39="",AC39=""),"",AC39-Z39)</f>
        <v/>
      </c>
      <c r="AX39" s="37" t="str">
        <f aca="false">IF(OR(AD39="",AI39=""),"",AI39-AD39)</f>
        <v/>
      </c>
      <c r="AY39" s="37" t="str">
        <f aca="false">IF(OR(Z39="",AI39=""),"",AI39-Z39)</f>
        <v/>
      </c>
      <c r="AZ39" s="38" t="str">
        <f aca="false">IF(AY39="","",IF(AY39&lt;=30,1,0))</f>
        <v/>
      </c>
      <c r="BA39" s="38" t="str">
        <f aca="false">IF(AY39="","",IF(AY39&gt;60,1,0))</f>
        <v/>
      </c>
      <c r="BB39" s="38" t="str">
        <f aca="false">IF(AY39="","",IF(AY39&gt;67,1,0))</f>
        <v/>
      </c>
      <c r="BC39" s="38" t="str">
        <f aca="false">IF(OR(AJ39&lt;&gt;"ניתוח",AX39=""),"",IF(AX39&lt;=30,1,0))</f>
        <v/>
      </c>
      <c r="BD39" s="37" t="str">
        <f aca="false">IF(OR(AG39="",AI39="",AJ39&lt;&gt;"ניתוח"),"",AI39-AG39)</f>
        <v/>
      </c>
      <c r="BE39" s="33" t="str">
        <f aca="false">IF(OR(AH39="",AI39="",AND(AJ39&lt;&gt;"הקרנות",AJ39&lt;&gt;"כימו-הקרנות")),"",AI39-AH39)</f>
        <v/>
      </c>
      <c r="BF39" s="37" t="str">
        <f aca="false">IF(OR(AJ39&lt;&gt;"ניתוח",AI39="",AN39=""),"",AN39-AI39)</f>
        <v/>
      </c>
      <c r="BG39" s="37" t="str">
        <f aca="false">IF(OR(AJ39&lt;&gt;"ניתוח",AI39="",AO39=""),"",AO39-AI39)</f>
        <v/>
      </c>
      <c r="BH39" s="38" t="str">
        <f aca="false">IF(BG39="","",IF(BG39&lt;=42,1,0))</f>
        <v/>
      </c>
      <c r="BI39" s="35"/>
    </row>
    <row r="40" customFormat="false" ht="15" hidden="false" customHeight="true" outlineLevel="0" collapsed="false">
      <c r="A40" s="33" t="str">
        <f aca="false">IF(OR(B40="",C40="",D40="",Z40=""),"","HIS-"&amp;RIGHT(YEAR(Z40),2)&amp;"-"&amp;TEXT(B40,"000")&amp;"-"&amp;C40&amp;"-"&amp;D40&amp;"-"&amp;TEXT(MONTH(Z40),"00"))</f>
        <v/>
      </c>
      <c r="B40" s="34" t="n">
        <v>35</v>
      </c>
      <c r="C40" s="35"/>
      <c r="D40" s="35"/>
      <c r="E40" s="39" t="s">
        <v>275</v>
      </c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6"/>
      <c r="Y40" s="36"/>
      <c r="Z40" s="36"/>
      <c r="AA40" s="36"/>
      <c r="AB40" s="36"/>
      <c r="AC40" s="36"/>
      <c r="AD40" s="36"/>
      <c r="AE40" s="35"/>
      <c r="AF40" s="35"/>
      <c r="AG40" s="36"/>
      <c r="AH40" s="36"/>
      <c r="AI40" s="36"/>
      <c r="AJ40" s="35"/>
      <c r="AK40" s="35"/>
      <c r="AL40" s="35"/>
      <c r="AM40" s="36"/>
      <c r="AN40" s="36"/>
      <c r="AO40" s="36"/>
      <c r="AP40" s="35"/>
      <c r="AQ40" s="35"/>
      <c r="AR40" s="37" t="str">
        <f aca="false">IF(A40="","",COUNTIF(MDT!$B$5:$B$104,A40))</f>
        <v/>
      </c>
      <c r="AS40" s="37" t="str">
        <f aca="false">IF(A40="","",COUNTIFS(MDT!$B$5:$B$104,A40,MDT!$E$5:$E$104,"נדחה — מידע חסר"))</f>
        <v/>
      </c>
      <c r="AT40" s="36"/>
      <c r="AU40" s="35"/>
      <c r="AV40" s="33" t="str">
        <f aca="false">IF(OR(X40="",Z40=""),"",Z40-X40)</f>
        <v/>
      </c>
      <c r="AW40" s="37" t="str">
        <f aca="false">IF(OR(Z40="",AC40=""),"",AC40-Z40)</f>
        <v/>
      </c>
      <c r="AX40" s="37" t="str">
        <f aca="false">IF(OR(AD40="",AI40=""),"",AI40-AD40)</f>
        <v/>
      </c>
      <c r="AY40" s="37" t="str">
        <f aca="false">IF(OR(Z40="",AI40=""),"",AI40-Z40)</f>
        <v/>
      </c>
      <c r="AZ40" s="38" t="str">
        <f aca="false">IF(AY40="","",IF(AY40&lt;=30,1,0))</f>
        <v/>
      </c>
      <c r="BA40" s="38" t="str">
        <f aca="false">IF(AY40="","",IF(AY40&gt;60,1,0))</f>
        <v/>
      </c>
      <c r="BB40" s="38" t="str">
        <f aca="false">IF(AY40="","",IF(AY40&gt;67,1,0))</f>
        <v/>
      </c>
      <c r="BC40" s="38" t="str">
        <f aca="false">IF(OR(AJ40&lt;&gt;"ניתוח",AX40=""),"",IF(AX40&lt;=30,1,0))</f>
        <v/>
      </c>
      <c r="BD40" s="37" t="str">
        <f aca="false">IF(OR(AG40="",AI40="",AJ40&lt;&gt;"ניתוח"),"",AI40-AG40)</f>
        <v/>
      </c>
      <c r="BE40" s="33" t="str">
        <f aca="false">IF(OR(AH40="",AI40="",AND(AJ40&lt;&gt;"הקרנות",AJ40&lt;&gt;"כימו-הקרנות")),"",AI40-AH40)</f>
        <v/>
      </c>
      <c r="BF40" s="37" t="str">
        <f aca="false">IF(OR(AJ40&lt;&gt;"ניתוח",AI40="",AN40=""),"",AN40-AI40)</f>
        <v/>
      </c>
      <c r="BG40" s="37" t="str">
        <f aca="false">IF(OR(AJ40&lt;&gt;"ניתוח",AI40="",AO40=""),"",AO40-AI40)</f>
        <v/>
      </c>
      <c r="BH40" s="38" t="str">
        <f aca="false">IF(BG40="","",IF(BG40&lt;=42,1,0))</f>
        <v/>
      </c>
      <c r="BI40" s="35"/>
    </row>
    <row r="41" customFormat="false" ht="15" hidden="false" customHeight="true" outlineLevel="0" collapsed="false">
      <c r="A41" s="33" t="str">
        <f aca="false">IF(OR(B41="",C41="",D41="",Z41=""),"","HIS-"&amp;RIGHT(YEAR(Z41),2)&amp;"-"&amp;TEXT(B41,"000")&amp;"-"&amp;C41&amp;"-"&amp;D41&amp;"-"&amp;TEXT(MONTH(Z41),"00"))</f>
        <v/>
      </c>
      <c r="B41" s="34" t="n">
        <v>36</v>
      </c>
      <c r="C41" s="35"/>
      <c r="D41" s="35"/>
      <c r="E41" s="39" t="s">
        <v>275</v>
      </c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6"/>
      <c r="Y41" s="36"/>
      <c r="Z41" s="36"/>
      <c r="AA41" s="36"/>
      <c r="AB41" s="36"/>
      <c r="AC41" s="36"/>
      <c r="AD41" s="36"/>
      <c r="AE41" s="35"/>
      <c r="AF41" s="35"/>
      <c r="AG41" s="36"/>
      <c r="AH41" s="36"/>
      <c r="AI41" s="36"/>
      <c r="AJ41" s="35"/>
      <c r="AK41" s="35"/>
      <c r="AL41" s="35"/>
      <c r="AM41" s="36"/>
      <c r="AN41" s="36"/>
      <c r="AO41" s="36"/>
      <c r="AP41" s="35"/>
      <c r="AQ41" s="35"/>
      <c r="AR41" s="37" t="str">
        <f aca="false">IF(A41="","",COUNTIF(MDT!$B$5:$B$104,A41))</f>
        <v/>
      </c>
      <c r="AS41" s="37" t="str">
        <f aca="false">IF(A41="","",COUNTIFS(MDT!$B$5:$B$104,A41,MDT!$E$5:$E$104,"נדחה — מידע חסר"))</f>
        <v/>
      </c>
      <c r="AT41" s="36"/>
      <c r="AU41" s="35"/>
      <c r="AV41" s="33" t="str">
        <f aca="false">IF(OR(X41="",Z41=""),"",Z41-X41)</f>
        <v/>
      </c>
      <c r="AW41" s="37" t="str">
        <f aca="false">IF(OR(Z41="",AC41=""),"",AC41-Z41)</f>
        <v/>
      </c>
      <c r="AX41" s="37" t="str">
        <f aca="false">IF(OR(AD41="",AI41=""),"",AI41-AD41)</f>
        <v/>
      </c>
      <c r="AY41" s="37" t="str">
        <f aca="false">IF(OR(Z41="",AI41=""),"",AI41-Z41)</f>
        <v/>
      </c>
      <c r="AZ41" s="38" t="str">
        <f aca="false">IF(AY41="","",IF(AY41&lt;=30,1,0))</f>
        <v/>
      </c>
      <c r="BA41" s="38" t="str">
        <f aca="false">IF(AY41="","",IF(AY41&gt;60,1,0))</f>
        <v/>
      </c>
      <c r="BB41" s="38" t="str">
        <f aca="false">IF(AY41="","",IF(AY41&gt;67,1,0))</f>
        <v/>
      </c>
      <c r="BC41" s="38" t="str">
        <f aca="false">IF(OR(AJ41&lt;&gt;"ניתוח",AX41=""),"",IF(AX41&lt;=30,1,0))</f>
        <v/>
      </c>
      <c r="BD41" s="37" t="str">
        <f aca="false">IF(OR(AG41="",AI41="",AJ41&lt;&gt;"ניתוח"),"",AI41-AG41)</f>
        <v/>
      </c>
      <c r="BE41" s="33" t="str">
        <f aca="false">IF(OR(AH41="",AI41="",AND(AJ41&lt;&gt;"הקרנות",AJ41&lt;&gt;"כימו-הקרנות")),"",AI41-AH41)</f>
        <v/>
      </c>
      <c r="BF41" s="37" t="str">
        <f aca="false">IF(OR(AJ41&lt;&gt;"ניתוח",AI41="",AN41=""),"",AN41-AI41)</f>
        <v/>
      </c>
      <c r="BG41" s="37" t="str">
        <f aca="false">IF(OR(AJ41&lt;&gt;"ניתוח",AI41="",AO41=""),"",AO41-AI41)</f>
        <v/>
      </c>
      <c r="BH41" s="38" t="str">
        <f aca="false">IF(BG41="","",IF(BG41&lt;=42,1,0))</f>
        <v/>
      </c>
      <c r="BI41" s="35"/>
    </row>
    <row r="42" customFormat="false" ht="15" hidden="false" customHeight="true" outlineLevel="0" collapsed="false">
      <c r="A42" s="33" t="str">
        <f aca="false">IF(OR(B42="",C42="",D42="",Z42=""),"","HIS-"&amp;RIGHT(YEAR(Z42),2)&amp;"-"&amp;TEXT(B42,"000")&amp;"-"&amp;C42&amp;"-"&amp;D42&amp;"-"&amp;TEXT(MONTH(Z42),"00"))</f>
        <v/>
      </c>
      <c r="B42" s="34" t="n">
        <v>37</v>
      </c>
      <c r="C42" s="35"/>
      <c r="D42" s="35"/>
      <c r="E42" s="39" t="s">
        <v>275</v>
      </c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6"/>
      <c r="Y42" s="36"/>
      <c r="Z42" s="36"/>
      <c r="AA42" s="36"/>
      <c r="AB42" s="36"/>
      <c r="AC42" s="36"/>
      <c r="AD42" s="36"/>
      <c r="AE42" s="35"/>
      <c r="AF42" s="35"/>
      <c r="AG42" s="36"/>
      <c r="AH42" s="36"/>
      <c r="AI42" s="36"/>
      <c r="AJ42" s="35"/>
      <c r="AK42" s="35"/>
      <c r="AL42" s="35"/>
      <c r="AM42" s="36"/>
      <c r="AN42" s="36"/>
      <c r="AO42" s="36"/>
      <c r="AP42" s="35"/>
      <c r="AQ42" s="35"/>
      <c r="AR42" s="37" t="str">
        <f aca="false">IF(A42="","",COUNTIF(MDT!$B$5:$B$104,A42))</f>
        <v/>
      </c>
      <c r="AS42" s="37" t="str">
        <f aca="false">IF(A42="","",COUNTIFS(MDT!$B$5:$B$104,A42,MDT!$E$5:$E$104,"נדחה — מידע חסר"))</f>
        <v/>
      </c>
      <c r="AT42" s="36"/>
      <c r="AU42" s="35"/>
      <c r="AV42" s="33" t="str">
        <f aca="false">IF(OR(X42="",Z42=""),"",Z42-X42)</f>
        <v/>
      </c>
      <c r="AW42" s="37" t="str">
        <f aca="false">IF(OR(Z42="",AC42=""),"",AC42-Z42)</f>
        <v/>
      </c>
      <c r="AX42" s="37" t="str">
        <f aca="false">IF(OR(AD42="",AI42=""),"",AI42-AD42)</f>
        <v/>
      </c>
      <c r="AY42" s="37" t="str">
        <f aca="false">IF(OR(Z42="",AI42=""),"",AI42-Z42)</f>
        <v/>
      </c>
      <c r="AZ42" s="38" t="str">
        <f aca="false">IF(AY42="","",IF(AY42&lt;=30,1,0))</f>
        <v/>
      </c>
      <c r="BA42" s="38" t="str">
        <f aca="false">IF(AY42="","",IF(AY42&gt;60,1,0))</f>
        <v/>
      </c>
      <c r="BB42" s="38" t="str">
        <f aca="false">IF(AY42="","",IF(AY42&gt;67,1,0))</f>
        <v/>
      </c>
      <c r="BC42" s="38" t="str">
        <f aca="false">IF(OR(AJ42&lt;&gt;"ניתוח",AX42=""),"",IF(AX42&lt;=30,1,0))</f>
        <v/>
      </c>
      <c r="BD42" s="37" t="str">
        <f aca="false">IF(OR(AG42="",AI42="",AJ42&lt;&gt;"ניתוח"),"",AI42-AG42)</f>
        <v/>
      </c>
      <c r="BE42" s="33" t="str">
        <f aca="false">IF(OR(AH42="",AI42="",AND(AJ42&lt;&gt;"הקרנות",AJ42&lt;&gt;"כימו-הקרנות")),"",AI42-AH42)</f>
        <v/>
      </c>
      <c r="BF42" s="37" t="str">
        <f aca="false">IF(OR(AJ42&lt;&gt;"ניתוח",AI42="",AN42=""),"",AN42-AI42)</f>
        <v/>
      </c>
      <c r="BG42" s="37" t="str">
        <f aca="false">IF(OR(AJ42&lt;&gt;"ניתוח",AI42="",AO42=""),"",AO42-AI42)</f>
        <v/>
      </c>
      <c r="BH42" s="38" t="str">
        <f aca="false">IF(BG42="","",IF(BG42&lt;=42,1,0))</f>
        <v/>
      </c>
      <c r="BI42" s="35"/>
    </row>
    <row r="43" customFormat="false" ht="15" hidden="false" customHeight="true" outlineLevel="0" collapsed="false">
      <c r="A43" s="33" t="str">
        <f aca="false">IF(OR(B43="",C43="",D43="",Z43=""),"","HIS-"&amp;RIGHT(YEAR(Z43),2)&amp;"-"&amp;TEXT(B43,"000")&amp;"-"&amp;C43&amp;"-"&amp;D43&amp;"-"&amp;TEXT(MONTH(Z43),"00"))</f>
        <v/>
      </c>
      <c r="B43" s="34" t="n">
        <v>38</v>
      </c>
      <c r="C43" s="35"/>
      <c r="D43" s="35"/>
      <c r="E43" s="39" t="s">
        <v>275</v>
      </c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6"/>
      <c r="Y43" s="36"/>
      <c r="Z43" s="36"/>
      <c r="AA43" s="36"/>
      <c r="AB43" s="36"/>
      <c r="AC43" s="36"/>
      <c r="AD43" s="36"/>
      <c r="AE43" s="35"/>
      <c r="AF43" s="35"/>
      <c r="AG43" s="36"/>
      <c r="AH43" s="36"/>
      <c r="AI43" s="36"/>
      <c r="AJ43" s="35"/>
      <c r="AK43" s="35"/>
      <c r="AL43" s="35"/>
      <c r="AM43" s="36"/>
      <c r="AN43" s="36"/>
      <c r="AO43" s="36"/>
      <c r="AP43" s="35"/>
      <c r="AQ43" s="35"/>
      <c r="AR43" s="37" t="str">
        <f aca="false">IF(A43="","",COUNTIF(MDT!$B$5:$B$104,A43))</f>
        <v/>
      </c>
      <c r="AS43" s="37" t="str">
        <f aca="false">IF(A43="","",COUNTIFS(MDT!$B$5:$B$104,A43,MDT!$E$5:$E$104,"נדחה — מידע חסר"))</f>
        <v/>
      </c>
      <c r="AT43" s="36"/>
      <c r="AU43" s="35"/>
      <c r="AV43" s="33" t="str">
        <f aca="false">IF(OR(X43="",Z43=""),"",Z43-X43)</f>
        <v/>
      </c>
      <c r="AW43" s="37" t="str">
        <f aca="false">IF(OR(Z43="",AC43=""),"",AC43-Z43)</f>
        <v/>
      </c>
      <c r="AX43" s="37" t="str">
        <f aca="false">IF(OR(AD43="",AI43=""),"",AI43-AD43)</f>
        <v/>
      </c>
      <c r="AY43" s="37" t="str">
        <f aca="false">IF(OR(Z43="",AI43=""),"",AI43-Z43)</f>
        <v/>
      </c>
      <c r="AZ43" s="38" t="str">
        <f aca="false">IF(AY43="","",IF(AY43&lt;=30,1,0))</f>
        <v/>
      </c>
      <c r="BA43" s="38" t="str">
        <f aca="false">IF(AY43="","",IF(AY43&gt;60,1,0))</f>
        <v/>
      </c>
      <c r="BB43" s="38" t="str">
        <f aca="false">IF(AY43="","",IF(AY43&gt;67,1,0))</f>
        <v/>
      </c>
      <c r="BC43" s="38" t="str">
        <f aca="false">IF(OR(AJ43&lt;&gt;"ניתוח",AX43=""),"",IF(AX43&lt;=30,1,0))</f>
        <v/>
      </c>
      <c r="BD43" s="37" t="str">
        <f aca="false">IF(OR(AG43="",AI43="",AJ43&lt;&gt;"ניתוח"),"",AI43-AG43)</f>
        <v/>
      </c>
      <c r="BE43" s="33" t="str">
        <f aca="false">IF(OR(AH43="",AI43="",AND(AJ43&lt;&gt;"הקרנות",AJ43&lt;&gt;"כימו-הקרנות")),"",AI43-AH43)</f>
        <v/>
      </c>
      <c r="BF43" s="37" t="str">
        <f aca="false">IF(OR(AJ43&lt;&gt;"ניתוח",AI43="",AN43=""),"",AN43-AI43)</f>
        <v/>
      </c>
      <c r="BG43" s="37" t="str">
        <f aca="false">IF(OR(AJ43&lt;&gt;"ניתוח",AI43="",AO43=""),"",AO43-AI43)</f>
        <v/>
      </c>
      <c r="BH43" s="38" t="str">
        <f aca="false">IF(BG43="","",IF(BG43&lt;=42,1,0))</f>
        <v/>
      </c>
      <c r="BI43" s="35"/>
    </row>
    <row r="44" customFormat="false" ht="15" hidden="false" customHeight="true" outlineLevel="0" collapsed="false">
      <c r="A44" s="33" t="str">
        <f aca="false">IF(OR(B44="",C44="",D44="",Z44=""),"","HIS-"&amp;RIGHT(YEAR(Z44),2)&amp;"-"&amp;TEXT(B44,"000")&amp;"-"&amp;C44&amp;"-"&amp;D44&amp;"-"&amp;TEXT(MONTH(Z44),"00"))</f>
        <v/>
      </c>
      <c r="B44" s="34" t="n">
        <v>39</v>
      </c>
      <c r="C44" s="35"/>
      <c r="D44" s="35"/>
      <c r="E44" s="39" t="s">
        <v>275</v>
      </c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6"/>
      <c r="Y44" s="36"/>
      <c r="Z44" s="36"/>
      <c r="AA44" s="36"/>
      <c r="AB44" s="36"/>
      <c r="AC44" s="36"/>
      <c r="AD44" s="36"/>
      <c r="AE44" s="35"/>
      <c r="AF44" s="35"/>
      <c r="AG44" s="36"/>
      <c r="AH44" s="36"/>
      <c r="AI44" s="36"/>
      <c r="AJ44" s="35"/>
      <c r="AK44" s="35"/>
      <c r="AL44" s="35"/>
      <c r="AM44" s="36"/>
      <c r="AN44" s="36"/>
      <c r="AO44" s="36"/>
      <c r="AP44" s="35"/>
      <c r="AQ44" s="35"/>
      <c r="AR44" s="37" t="str">
        <f aca="false">IF(A44="","",COUNTIF(MDT!$B$5:$B$104,A44))</f>
        <v/>
      </c>
      <c r="AS44" s="37" t="str">
        <f aca="false">IF(A44="","",COUNTIFS(MDT!$B$5:$B$104,A44,MDT!$E$5:$E$104,"נדחה — מידע חסר"))</f>
        <v/>
      </c>
      <c r="AT44" s="36"/>
      <c r="AU44" s="35"/>
      <c r="AV44" s="33" t="str">
        <f aca="false">IF(OR(X44="",Z44=""),"",Z44-X44)</f>
        <v/>
      </c>
      <c r="AW44" s="37" t="str">
        <f aca="false">IF(OR(Z44="",AC44=""),"",AC44-Z44)</f>
        <v/>
      </c>
      <c r="AX44" s="37" t="str">
        <f aca="false">IF(OR(AD44="",AI44=""),"",AI44-AD44)</f>
        <v/>
      </c>
      <c r="AY44" s="37" t="str">
        <f aca="false">IF(OR(Z44="",AI44=""),"",AI44-Z44)</f>
        <v/>
      </c>
      <c r="AZ44" s="38" t="str">
        <f aca="false">IF(AY44="","",IF(AY44&lt;=30,1,0))</f>
        <v/>
      </c>
      <c r="BA44" s="38" t="str">
        <f aca="false">IF(AY44="","",IF(AY44&gt;60,1,0))</f>
        <v/>
      </c>
      <c r="BB44" s="38" t="str">
        <f aca="false">IF(AY44="","",IF(AY44&gt;67,1,0))</f>
        <v/>
      </c>
      <c r="BC44" s="38" t="str">
        <f aca="false">IF(OR(AJ44&lt;&gt;"ניתוח",AX44=""),"",IF(AX44&lt;=30,1,0))</f>
        <v/>
      </c>
      <c r="BD44" s="37" t="str">
        <f aca="false">IF(OR(AG44="",AI44="",AJ44&lt;&gt;"ניתוח"),"",AI44-AG44)</f>
        <v/>
      </c>
      <c r="BE44" s="33" t="str">
        <f aca="false">IF(OR(AH44="",AI44="",AND(AJ44&lt;&gt;"הקרנות",AJ44&lt;&gt;"כימו-הקרנות")),"",AI44-AH44)</f>
        <v/>
      </c>
      <c r="BF44" s="37" t="str">
        <f aca="false">IF(OR(AJ44&lt;&gt;"ניתוח",AI44="",AN44=""),"",AN44-AI44)</f>
        <v/>
      </c>
      <c r="BG44" s="37" t="str">
        <f aca="false">IF(OR(AJ44&lt;&gt;"ניתוח",AI44="",AO44=""),"",AO44-AI44)</f>
        <v/>
      </c>
      <c r="BH44" s="38" t="str">
        <f aca="false">IF(BG44="","",IF(BG44&lt;=42,1,0))</f>
        <v/>
      </c>
      <c r="BI44" s="35"/>
    </row>
    <row r="45" customFormat="false" ht="15" hidden="false" customHeight="true" outlineLevel="0" collapsed="false">
      <c r="A45" s="33" t="str">
        <f aca="false">IF(OR(B45="",C45="",D45="",Z45=""),"","HIS-"&amp;RIGHT(YEAR(Z45),2)&amp;"-"&amp;TEXT(B45,"000")&amp;"-"&amp;C45&amp;"-"&amp;D45&amp;"-"&amp;TEXT(MONTH(Z45),"00"))</f>
        <v/>
      </c>
      <c r="B45" s="34" t="n">
        <v>40</v>
      </c>
      <c r="C45" s="35"/>
      <c r="D45" s="35"/>
      <c r="E45" s="39" t="s">
        <v>275</v>
      </c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6"/>
      <c r="Y45" s="36"/>
      <c r="Z45" s="36"/>
      <c r="AA45" s="36"/>
      <c r="AB45" s="36"/>
      <c r="AC45" s="36"/>
      <c r="AD45" s="36"/>
      <c r="AE45" s="35"/>
      <c r="AF45" s="35"/>
      <c r="AG45" s="36"/>
      <c r="AH45" s="36"/>
      <c r="AI45" s="36"/>
      <c r="AJ45" s="35"/>
      <c r="AK45" s="35"/>
      <c r="AL45" s="35"/>
      <c r="AM45" s="36"/>
      <c r="AN45" s="36"/>
      <c r="AO45" s="36"/>
      <c r="AP45" s="35"/>
      <c r="AQ45" s="35"/>
      <c r="AR45" s="37" t="str">
        <f aca="false">IF(A45="","",COUNTIF(MDT!$B$5:$B$104,A45))</f>
        <v/>
      </c>
      <c r="AS45" s="37" t="str">
        <f aca="false">IF(A45="","",COUNTIFS(MDT!$B$5:$B$104,A45,MDT!$E$5:$E$104,"נדחה — מידע חסר"))</f>
        <v/>
      </c>
      <c r="AT45" s="36"/>
      <c r="AU45" s="35"/>
      <c r="AV45" s="33" t="str">
        <f aca="false">IF(OR(X45="",Z45=""),"",Z45-X45)</f>
        <v/>
      </c>
      <c r="AW45" s="37" t="str">
        <f aca="false">IF(OR(Z45="",AC45=""),"",AC45-Z45)</f>
        <v/>
      </c>
      <c r="AX45" s="37" t="str">
        <f aca="false">IF(OR(AD45="",AI45=""),"",AI45-AD45)</f>
        <v/>
      </c>
      <c r="AY45" s="37" t="str">
        <f aca="false">IF(OR(Z45="",AI45=""),"",AI45-Z45)</f>
        <v/>
      </c>
      <c r="AZ45" s="38" t="str">
        <f aca="false">IF(AY45="","",IF(AY45&lt;=30,1,0))</f>
        <v/>
      </c>
      <c r="BA45" s="38" t="str">
        <f aca="false">IF(AY45="","",IF(AY45&gt;60,1,0))</f>
        <v/>
      </c>
      <c r="BB45" s="38" t="str">
        <f aca="false">IF(AY45="","",IF(AY45&gt;67,1,0))</f>
        <v/>
      </c>
      <c r="BC45" s="38" t="str">
        <f aca="false">IF(OR(AJ45&lt;&gt;"ניתוח",AX45=""),"",IF(AX45&lt;=30,1,0))</f>
        <v/>
      </c>
      <c r="BD45" s="37" t="str">
        <f aca="false">IF(OR(AG45="",AI45="",AJ45&lt;&gt;"ניתוח"),"",AI45-AG45)</f>
        <v/>
      </c>
      <c r="BE45" s="33" t="str">
        <f aca="false">IF(OR(AH45="",AI45="",AND(AJ45&lt;&gt;"הקרנות",AJ45&lt;&gt;"כימו-הקרנות")),"",AI45-AH45)</f>
        <v/>
      </c>
      <c r="BF45" s="37" t="str">
        <f aca="false">IF(OR(AJ45&lt;&gt;"ניתוח",AI45="",AN45=""),"",AN45-AI45)</f>
        <v/>
      </c>
      <c r="BG45" s="37" t="str">
        <f aca="false">IF(OR(AJ45&lt;&gt;"ניתוח",AI45="",AO45=""),"",AO45-AI45)</f>
        <v/>
      </c>
      <c r="BH45" s="38" t="str">
        <f aca="false">IF(BG45="","",IF(BG45&lt;=42,1,0))</f>
        <v/>
      </c>
      <c r="BI45" s="35"/>
    </row>
    <row r="46" customFormat="false" ht="15" hidden="false" customHeight="true" outlineLevel="0" collapsed="false">
      <c r="A46" s="33" t="str">
        <f aca="false">IF(OR(B46="",C46="",D46="",Z46=""),"","HIS-"&amp;RIGHT(YEAR(Z46),2)&amp;"-"&amp;TEXT(B46,"000")&amp;"-"&amp;C46&amp;"-"&amp;D46&amp;"-"&amp;TEXT(MONTH(Z46),"00"))</f>
        <v/>
      </c>
      <c r="B46" s="34" t="n">
        <v>41</v>
      </c>
      <c r="C46" s="35"/>
      <c r="D46" s="35"/>
      <c r="E46" s="39" t="s">
        <v>275</v>
      </c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6"/>
      <c r="Y46" s="36"/>
      <c r="Z46" s="36"/>
      <c r="AA46" s="36"/>
      <c r="AB46" s="36"/>
      <c r="AC46" s="36"/>
      <c r="AD46" s="36"/>
      <c r="AE46" s="35"/>
      <c r="AF46" s="35"/>
      <c r="AG46" s="36"/>
      <c r="AH46" s="36"/>
      <c r="AI46" s="36"/>
      <c r="AJ46" s="35"/>
      <c r="AK46" s="35"/>
      <c r="AL46" s="35"/>
      <c r="AM46" s="36"/>
      <c r="AN46" s="36"/>
      <c r="AO46" s="36"/>
      <c r="AP46" s="35"/>
      <c r="AQ46" s="35"/>
      <c r="AR46" s="37" t="str">
        <f aca="false">IF(A46="","",COUNTIF(MDT!$B$5:$B$104,A46))</f>
        <v/>
      </c>
      <c r="AS46" s="37" t="str">
        <f aca="false">IF(A46="","",COUNTIFS(MDT!$B$5:$B$104,A46,MDT!$E$5:$E$104,"נדחה — מידע חסר"))</f>
        <v/>
      </c>
      <c r="AT46" s="36"/>
      <c r="AU46" s="35"/>
      <c r="AV46" s="33" t="str">
        <f aca="false">IF(OR(X46="",Z46=""),"",Z46-X46)</f>
        <v/>
      </c>
      <c r="AW46" s="37" t="str">
        <f aca="false">IF(OR(Z46="",AC46=""),"",AC46-Z46)</f>
        <v/>
      </c>
      <c r="AX46" s="37" t="str">
        <f aca="false">IF(OR(AD46="",AI46=""),"",AI46-AD46)</f>
        <v/>
      </c>
      <c r="AY46" s="37" t="str">
        <f aca="false">IF(OR(Z46="",AI46=""),"",AI46-Z46)</f>
        <v/>
      </c>
      <c r="AZ46" s="38" t="str">
        <f aca="false">IF(AY46="","",IF(AY46&lt;=30,1,0))</f>
        <v/>
      </c>
      <c r="BA46" s="38" t="str">
        <f aca="false">IF(AY46="","",IF(AY46&gt;60,1,0))</f>
        <v/>
      </c>
      <c r="BB46" s="38" t="str">
        <f aca="false">IF(AY46="","",IF(AY46&gt;67,1,0))</f>
        <v/>
      </c>
      <c r="BC46" s="38" t="str">
        <f aca="false">IF(OR(AJ46&lt;&gt;"ניתוח",AX46=""),"",IF(AX46&lt;=30,1,0))</f>
        <v/>
      </c>
      <c r="BD46" s="37" t="str">
        <f aca="false">IF(OR(AG46="",AI46="",AJ46&lt;&gt;"ניתוח"),"",AI46-AG46)</f>
        <v/>
      </c>
      <c r="BE46" s="33" t="str">
        <f aca="false">IF(OR(AH46="",AI46="",AND(AJ46&lt;&gt;"הקרנות",AJ46&lt;&gt;"כימו-הקרנות")),"",AI46-AH46)</f>
        <v/>
      </c>
      <c r="BF46" s="37" t="str">
        <f aca="false">IF(OR(AJ46&lt;&gt;"ניתוח",AI46="",AN46=""),"",AN46-AI46)</f>
        <v/>
      </c>
      <c r="BG46" s="37" t="str">
        <f aca="false">IF(OR(AJ46&lt;&gt;"ניתוח",AI46="",AO46=""),"",AO46-AI46)</f>
        <v/>
      </c>
      <c r="BH46" s="38" t="str">
        <f aca="false">IF(BG46="","",IF(BG46&lt;=42,1,0))</f>
        <v/>
      </c>
      <c r="BI46" s="35"/>
    </row>
    <row r="47" customFormat="false" ht="15" hidden="false" customHeight="true" outlineLevel="0" collapsed="false">
      <c r="A47" s="33" t="str">
        <f aca="false">IF(OR(B47="",C47="",D47="",Z47=""),"","HIS-"&amp;RIGHT(YEAR(Z47),2)&amp;"-"&amp;TEXT(B47,"000")&amp;"-"&amp;C47&amp;"-"&amp;D47&amp;"-"&amp;TEXT(MONTH(Z47),"00"))</f>
        <v/>
      </c>
      <c r="B47" s="34" t="n">
        <v>42</v>
      </c>
      <c r="C47" s="35"/>
      <c r="D47" s="35"/>
      <c r="E47" s="39" t="s">
        <v>275</v>
      </c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6"/>
      <c r="Y47" s="36"/>
      <c r="Z47" s="36"/>
      <c r="AA47" s="36"/>
      <c r="AB47" s="36"/>
      <c r="AC47" s="36"/>
      <c r="AD47" s="36"/>
      <c r="AE47" s="35"/>
      <c r="AF47" s="35"/>
      <c r="AG47" s="36"/>
      <c r="AH47" s="36"/>
      <c r="AI47" s="36"/>
      <c r="AJ47" s="35"/>
      <c r="AK47" s="35"/>
      <c r="AL47" s="35"/>
      <c r="AM47" s="36"/>
      <c r="AN47" s="36"/>
      <c r="AO47" s="36"/>
      <c r="AP47" s="35"/>
      <c r="AQ47" s="35"/>
      <c r="AR47" s="37" t="str">
        <f aca="false">IF(A47="","",COUNTIF(MDT!$B$5:$B$104,A47))</f>
        <v/>
      </c>
      <c r="AS47" s="37" t="str">
        <f aca="false">IF(A47="","",COUNTIFS(MDT!$B$5:$B$104,A47,MDT!$E$5:$E$104,"נדחה — מידע חסר"))</f>
        <v/>
      </c>
      <c r="AT47" s="36"/>
      <c r="AU47" s="35"/>
      <c r="AV47" s="33" t="str">
        <f aca="false">IF(OR(X47="",Z47=""),"",Z47-X47)</f>
        <v/>
      </c>
      <c r="AW47" s="37" t="str">
        <f aca="false">IF(OR(Z47="",AC47=""),"",AC47-Z47)</f>
        <v/>
      </c>
      <c r="AX47" s="37" t="str">
        <f aca="false">IF(OR(AD47="",AI47=""),"",AI47-AD47)</f>
        <v/>
      </c>
      <c r="AY47" s="37" t="str">
        <f aca="false">IF(OR(Z47="",AI47=""),"",AI47-Z47)</f>
        <v/>
      </c>
      <c r="AZ47" s="38" t="str">
        <f aca="false">IF(AY47="","",IF(AY47&lt;=30,1,0))</f>
        <v/>
      </c>
      <c r="BA47" s="38" t="str">
        <f aca="false">IF(AY47="","",IF(AY47&gt;60,1,0))</f>
        <v/>
      </c>
      <c r="BB47" s="38" t="str">
        <f aca="false">IF(AY47="","",IF(AY47&gt;67,1,0))</f>
        <v/>
      </c>
      <c r="BC47" s="38" t="str">
        <f aca="false">IF(OR(AJ47&lt;&gt;"ניתוח",AX47=""),"",IF(AX47&lt;=30,1,0))</f>
        <v/>
      </c>
      <c r="BD47" s="37" t="str">
        <f aca="false">IF(OR(AG47="",AI47="",AJ47&lt;&gt;"ניתוח"),"",AI47-AG47)</f>
        <v/>
      </c>
      <c r="BE47" s="33" t="str">
        <f aca="false">IF(OR(AH47="",AI47="",AND(AJ47&lt;&gt;"הקרנות",AJ47&lt;&gt;"כימו-הקרנות")),"",AI47-AH47)</f>
        <v/>
      </c>
      <c r="BF47" s="37" t="str">
        <f aca="false">IF(OR(AJ47&lt;&gt;"ניתוח",AI47="",AN47=""),"",AN47-AI47)</f>
        <v/>
      </c>
      <c r="BG47" s="37" t="str">
        <f aca="false">IF(OR(AJ47&lt;&gt;"ניתוח",AI47="",AO47=""),"",AO47-AI47)</f>
        <v/>
      </c>
      <c r="BH47" s="38" t="str">
        <f aca="false">IF(BG47="","",IF(BG47&lt;=42,1,0))</f>
        <v/>
      </c>
      <c r="BI47" s="35"/>
    </row>
    <row r="48" customFormat="false" ht="15" hidden="false" customHeight="true" outlineLevel="0" collapsed="false">
      <c r="A48" s="33" t="str">
        <f aca="false">IF(OR(B48="",C48="",D48="",Z48=""),"","HIS-"&amp;RIGHT(YEAR(Z48),2)&amp;"-"&amp;TEXT(B48,"000")&amp;"-"&amp;C48&amp;"-"&amp;D48&amp;"-"&amp;TEXT(MONTH(Z48),"00"))</f>
        <v/>
      </c>
      <c r="B48" s="34" t="n">
        <v>43</v>
      </c>
      <c r="C48" s="35"/>
      <c r="D48" s="35"/>
      <c r="E48" s="39" t="s">
        <v>275</v>
      </c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6"/>
      <c r="Y48" s="36"/>
      <c r="Z48" s="36"/>
      <c r="AA48" s="36"/>
      <c r="AB48" s="36"/>
      <c r="AC48" s="36"/>
      <c r="AD48" s="36"/>
      <c r="AE48" s="35"/>
      <c r="AF48" s="35"/>
      <c r="AG48" s="36"/>
      <c r="AH48" s="36"/>
      <c r="AI48" s="36"/>
      <c r="AJ48" s="35"/>
      <c r="AK48" s="35"/>
      <c r="AL48" s="35"/>
      <c r="AM48" s="36"/>
      <c r="AN48" s="36"/>
      <c r="AO48" s="36"/>
      <c r="AP48" s="35"/>
      <c r="AQ48" s="35"/>
      <c r="AR48" s="37" t="str">
        <f aca="false">IF(A48="","",COUNTIF(MDT!$B$5:$B$104,A48))</f>
        <v/>
      </c>
      <c r="AS48" s="37" t="str">
        <f aca="false">IF(A48="","",COUNTIFS(MDT!$B$5:$B$104,A48,MDT!$E$5:$E$104,"נדחה — מידע חסר"))</f>
        <v/>
      </c>
      <c r="AT48" s="36"/>
      <c r="AU48" s="35"/>
      <c r="AV48" s="33" t="str">
        <f aca="false">IF(OR(X48="",Z48=""),"",Z48-X48)</f>
        <v/>
      </c>
      <c r="AW48" s="37" t="str">
        <f aca="false">IF(OR(Z48="",AC48=""),"",AC48-Z48)</f>
        <v/>
      </c>
      <c r="AX48" s="37" t="str">
        <f aca="false">IF(OR(AD48="",AI48=""),"",AI48-AD48)</f>
        <v/>
      </c>
      <c r="AY48" s="37" t="str">
        <f aca="false">IF(OR(Z48="",AI48=""),"",AI48-Z48)</f>
        <v/>
      </c>
      <c r="AZ48" s="38" t="str">
        <f aca="false">IF(AY48="","",IF(AY48&lt;=30,1,0))</f>
        <v/>
      </c>
      <c r="BA48" s="38" t="str">
        <f aca="false">IF(AY48="","",IF(AY48&gt;60,1,0))</f>
        <v/>
      </c>
      <c r="BB48" s="38" t="str">
        <f aca="false">IF(AY48="","",IF(AY48&gt;67,1,0))</f>
        <v/>
      </c>
      <c r="BC48" s="38" t="str">
        <f aca="false">IF(OR(AJ48&lt;&gt;"ניתוח",AX48=""),"",IF(AX48&lt;=30,1,0))</f>
        <v/>
      </c>
      <c r="BD48" s="37" t="str">
        <f aca="false">IF(OR(AG48="",AI48="",AJ48&lt;&gt;"ניתוח"),"",AI48-AG48)</f>
        <v/>
      </c>
      <c r="BE48" s="33" t="str">
        <f aca="false">IF(OR(AH48="",AI48="",AND(AJ48&lt;&gt;"הקרנות",AJ48&lt;&gt;"כימו-הקרנות")),"",AI48-AH48)</f>
        <v/>
      </c>
      <c r="BF48" s="37" t="str">
        <f aca="false">IF(OR(AJ48&lt;&gt;"ניתוח",AI48="",AN48=""),"",AN48-AI48)</f>
        <v/>
      </c>
      <c r="BG48" s="37" t="str">
        <f aca="false">IF(OR(AJ48&lt;&gt;"ניתוח",AI48="",AO48=""),"",AO48-AI48)</f>
        <v/>
      </c>
      <c r="BH48" s="38" t="str">
        <f aca="false">IF(BG48="","",IF(BG48&lt;=42,1,0))</f>
        <v/>
      </c>
      <c r="BI48" s="35"/>
    </row>
    <row r="49" customFormat="false" ht="15" hidden="false" customHeight="true" outlineLevel="0" collapsed="false">
      <c r="A49" s="33" t="str">
        <f aca="false">IF(OR(B49="",C49="",D49="",Z49=""),"","HIS-"&amp;RIGHT(YEAR(Z49),2)&amp;"-"&amp;TEXT(B49,"000")&amp;"-"&amp;C49&amp;"-"&amp;D49&amp;"-"&amp;TEXT(MONTH(Z49),"00"))</f>
        <v/>
      </c>
      <c r="B49" s="34" t="n">
        <v>44</v>
      </c>
      <c r="C49" s="35"/>
      <c r="D49" s="35"/>
      <c r="E49" s="39" t="s">
        <v>275</v>
      </c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6"/>
      <c r="Y49" s="36"/>
      <c r="Z49" s="36"/>
      <c r="AA49" s="36"/>
      <c r="AB49" s="36"/>
      <c r="AC49" s="36"/>
      <c r="AD49" s="36"/>
      <c r="AE49" s="35"/>
      <c r="AF49" s="35"/>
      <c r="AG49" s="36"/>
      <c r="AH49" s="36"/>
      <c r="AI49" s="36"/>
      <c r="AJ49" s="35"/>
      <c r="AK49" s="35"/>
      <c r="AL49" s="35"/>
      <c r="AM49" s="36"/>
      <c r="AN49" s="36"/>
      <c r="AO49" s="36"/>
      <c r="AP49" s="35"/>
      <c r="AQ49" s="35"/>
      <c r="AR49" s="37" t="str">
        <f aca="false">IF(A49="","",COUNTIF(MDT!$B$5:$B$104,A49))</f>
        <v/>
      </c>
      <c r="AS49" s="37" t="str">
        <f aca="false">IF(A49="","",COUNTIFS(MDT!$B$5:$B$104,A49,MDT!$E$5:$E$104,"נדחה — מידע חסר"))</f>
        <v/>
      </c>
      <c r="AT49" s="36"/>
      <c r="AU49" s="35"/>
      <c r="AV49" s="33" t="str">
        <f aca="false">IF(OR(X49="",Z49=""),"",Z49-X49)</f>
        <v/>
      </c>
      <c r="AW49" s="37" t="str">
        <f aca="false">IF(OR(Z49="",AC49=""),"",AC49-Z49)</f>
        <v/>
      </c>
      <c r="AX49" s="37" t="str">
        <f aca="false">IF(OR(AD49="",AI49=""),"",AI49-AD49)</f>
        <v/>
      </c>
      <c r="AY49" s="37" t="str">
        <f aca="false">IF(OR(Z49="",AI49=""),"",AI49-Z49)</f>
        <v/>
      </c>
      <c r="AZ49" s="38" t="str">
        <f aca="false">IF(AY49="","",IF(AY49&lt;=30,1,0))</f>
        <v/>
      </c>
      <c r="BA49" s="38" t="str">
        <f aca="false">IF(AY49="","",IF(AY49&gt;60,1,0))</f>
        <v/>
      </c>
      <c r="BB49" s="38" t="str">
        <f aca="false">IF(AY49="","",IF(AY49&gt;67,1,0))</f>
        <v/>
      </c>
      <c r="BC49" s="38" t="str">
        <f aca="false">IF(OR(AJ49&lt;&gt;"ניתוח",AX49=""),"",IF(AX49&lt;=30,1,0))</f>
        <v/>
      </c>
      <c r="BD49" s="37" t="str">
        <f aca="false">IF(OR(AG49="",AI49="",AJ49&lt;&gt;"ניתוח"),"",AI49-AG49)</f>
        <v/>
      </c>
      <c r="BE49" s="33" t="str">
        <f aca="false">IF(OR(AH49="",AI49="",AND(AJ49&lt;&gt;"הקרנות",AJ49&lt;&gt;"כימו-הקרנות")),"",AI49-AH49)</f>
        <v/>
      </c>
      <c r="BF49" s="37" t="str">
        <f aca="false">IF(OR(AJ49&lt;&gt;"ניתוח",AI49="",AN49=""),"",AN49-AI49)</f>
        <v/>
      </c>
      <c r="BG49" s="37" t="str">
        <f aca="false">IF(OR(AJ49&lt;&gt;"ניתוח",AI49="",AO49=""),"",AO49-AI49)</f>
        <v/>
      </c>
      <c r="BH49" s="38" t="str">
        <f aca="false">IF(BG49="","",IF(BG49&lt;=42,1,0))</f>
        <v/>
      </c>
      <c r="BI49" s="35"/>
    </row>
    <row r="50" customFormat="false" ht="15" hidden="false" customHeight="true" outlineLevel="0" collapsed="false">
      <c r="A50" s="33" t="str">
        <f aca="false">IF(OR(B50="",C50="",D50="",Z50=""),"","HIS-"&amp;RIGHT(YEAR(Z50),2)&amp;"-"&amp;TEXT(B50,"000")&amp;"-"&amp;C50&amp;"-"&amp;D50&amp;"-"&amp;TEXT(MONTH(Z50),"00"))</f>
        <v/>
      </c>
      <c r="B50" s="34" t="n">
        <v>45</v>
      </c>
      <c r="C50" s="35"/>
      <c r="D50" s="35"/>
      <c r="E50" s="39" t="s">
        <v>275</v>
      </c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6"/>
      <c r="Y50" s="36"/>
      <c r="Z50" s="36"/>
      <c r="AA50" s="36"/>
      <c r="AB50" s="36"/>
      <c r="AC50" s="36"/>
      <c r="AD50" s="36"/>
      <c r="AE50" s="35"/>
      <c r="AF50" s="35"/>
      <c r="AG50" s="36"/>
      <c r="AH50" s="36"/>
      <c r="AI50" s="36"/>
      <c r="AJ50" s="35"/>
      <c r="AK50" s="35"/>
      <c r="AL50" s="35"/>
      <c r="AM50" s="36"/>
      <c r="AN50" s="36"/>
      <c r="AO50" s="36"/>
      <c r="AP50" s="35"/>
      <c r="AQ50" s="35"/>
      <c r="AR50" s="37" t="str">
        <f aca="false">IF(A50="","",COUNTIF(MDT!$B$5:$B$104,A50))</f>
        <v/>
      </c>
      <c r="AS50" s="37" t="str">
        <f aca="false">IF(A50="","",COUNTIFS(MDT!$B$5:$B$104,A50,MDT!$E$5:$E$104,"נדחה — מידע חסר"))</f>
        <v/>
      </c>
      <c r="AT50" s="36"/>
      <c r="AU50" s="35"/>
      <c r="AV50" s="33" t="str">
        <f aca="false">IF(OR(X50="",Z50=""),"",Z50-X50)</f>
        <v/>
      </c>
      <c r="AW50" s="37" t="str">
        <f aca="false">IF(OR(Z50="",AC50=""),"",AC50-Z50)</f>
        <v/>
      </c>
      <c r="AX50" s="37" t="str">
        <f aca="false">IF(OR(AD50="",AI50=""),"",AI50-AD50)</f>
        <v/>
      </c>
      <c r="AY50" s="37" t="str">
        <f aca="false">IF(OR(Z50="",AI50=""),"",AI50-Z50)</f>
        <v/>
      </c>
      <c r="AZ50" s="38" t="str">
        <f aca="false">IF(AY50="","",IF(AY50&lt;=30,1,0))</f>
        <v/>
      </c>
      <c r="BA50" s="38" t="str">
        <f aca="false">IF(AY50="","",IF(AY50&gt;60,1,0))</f>
        <v/>
      </c>
      <c r="BB50" s="38" t="str">
        <f aca="false">IF(AY50="","",IF(AY50&gt;67,1,0))</f>
        <v/>
      </c>
      <c r="BC50" s="38" t="str">
        <f aca="false">IF(OR(AJ50&lt;&gt;"ניתוח",AX50=""),"",IF(AX50&lt;=30,1,0))</f>
        <v/>
      </c>
      <c r="BD50" s="37" t="str">
        <f aca="false">IF(OR(AG50="",AI50="",AJ50&lt;&gt;"ניתוח"),"",AI50-AG50)</f>
        <v/>
      </c>
      <c r="BE50" s="33" t="str">
        <f aca="false">IF(OR(AH50="",AI50="",AND(AJ50&lt;&gt;"הקרנות",AJ50&lt;&gt;"כימו-הקרנות")),"",AI50-AH50)</f>
        <v/>
      </c>
      <c r="BF50" s="37" t="str">
        <f aca="false">IF(OR(AJ50&lt;&gt;"ניתוח",AI50="",AN50=""),"",AN50-AI50)</f>
        <v/>
      </c>
      <c r="BG50" s="37" t="str">
        <f aca="false">IF(OR(AJ50&lt;&gt;"ניתוח",AI50="",AO50=""),"",AO50-AI50)</f>
        <v/>
      </c>
      <c r="BH50" s="38" t="str">
        <f aca="false">IF(BG50="","",IF(BG50&lt;=42,1,0))</f>
        <v/>
      </c>
      <c r="BI50" s="35"/>
    </row>
    <row r="51" customFormat="false" ht="15" hidden="false" customHeight="true" outlineLevel="0" collapsed="false">
      <c r="A51" s="33" t="str">
        <f aca="false">IF(OR(B51="",C51="",D51="",Z51=""),"","HIS-"&amp;RIGHT(YEAR(Z51),2)&amp;"-"&amp;TEXT(B51,"000")&amp;"-"&amp;C51&amp;"-"&amp;D51&amp;"-"&amp;TEXT(MONTH(Z51),"00"))</f>
        <v/>
      </c>
      <c r="B51" s="34" t="n">
        <v>46</v>
      </c>
      <c r="C51" s="35"/>
      <c r="D51" s="35"/>
      <c r="E51" s="39" t="s">
        <v>275</v>
      </c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6"/>
      <c r="Y51" s="36"/>
      <c r="Z51" s="36"/>
      <c r="AA51" s="36"/>
      <c r="AB51" s="36"/>
      <c r="AC51" s="36"/>
      <c r="AD51" s="36"/>
      <c r="AE51" s="35"/>
      <c r="AF51" s="35"/>
      <c r="AG51" s="36"/>
      <c r="AH51" s="36"/>
      <c r="AI51" s="36"/>
      <c r="AJ51" s="35"/>
      <c r="AK51" s="35"/>
      <c r="AL51" s="35"/>
      <c r="AM51" s="36"/>
      <c r="AN51" s="36"/>
      <c r="AO51" s="36"/>
      <c r="AP51" s="35"/>
      <c r="AQ51" s="35"/>
      <c r="AR51" s="37" t="str">
        <f aca="false">IF(A51="","",COUNTIF(MDT!$B$5:$B$104,A51))</f>
        <v/>
      </c>
      <c r="AS51" s="37" t="str">
        <f aca="false">IF(A51="","",COUNTIFS(MDT!$B$5:$B$104,A51,MDT!$E$5:$E$104,"נדחה — מידע חסר"))</f>
        <v/>
      </c>
      <c r="AT51" s="36"/>
      <c r="AU51" s="35"/>
      <c r="AV51" s="33" t="str">
        <f aca="false">IF(OR(X51="",Z51=""),"",Z51-X51)</f>
        <v/>
      </c>
      <c r="AW51" s="37" t="str">
        <f aca="false">IF(OR(Z51="",AC51=""),"",AC51-Z51)</f>
        <v/>
      </c>
      <c r="AX51" s="37" t="str">
        <f aca="false">IF(OR(AD51="",AI51=""),"",AI51-AD51)</f>
        <v/>
      </c>
      <c r="AY51" s="37" t="str">
        <f aca="false">IF(OR(Z51="",AI51=""),"",AI51-Z51)</f>
        <v/>
      </c>
      <c r="AZ51" s="38" t="str">
        <f aca="false">IF(AY51="","",IF(AY51&lt;=30,1,0))</f>
        <v/>
      </c>
      <c r="BA51" s="38" t="str">
        <f aca="false">IF(AY51="","",IF(AY51&gt;60,1,0))</f>
        <v/>
      </c>
      <c r="BB51" s="38" t="str">
        <f aca="false">IF(AY51="","",IF(AY51&gt;67,1,0))</f>
        <v/>
      </c>
      <c r="BC51" s="38" t="str">
        <f aca="false">IF(OR(AJ51&lt;&gt;"ניתוח",AX51=""),"",IF(AX51&lt;=30,1,0))</f>
        <v/>
      </c>
      <c r="BD51" s="37" t="str">
        <f aca="false">IF(OR(AG51="",AI51="",AJ51&lt;&gt;"ניתוח"),"",AI51-AG51)</f>
        <v/>
      </c>
      <c r="BE51" s="33" t="str">
        <f aca="false">IF(OR(AH51="",AI51="",AND(AJ51&lt;&gt;"הקרנות",AJ51&lt;&gt;"כימו-הקרנות")),"",AI51-AH51)</f>
        <v/>
      </c>
      <c r="BF51" s="37" t="str">
        <f aca="false">IF(OR(AJ51&lt;&gt;"ניתוח",AI51="",AN51=""),"",AN51-AI51)</f>
        <v/>
      </c>
      <c r="BG51" s="37" t="str">
        <f aca="false">IF(OR(AJ51&lt;&gt;"ניתוח",AI51="",AO51=""),"",AO51-AI51)</f>
        <v/>
      </c>
      <c r="BH51" s="38" t="str">
        <f aca="false">IF(BG51="","",IF(BG51&lt;=42,1,0))</f>
        <v/>
      </c>
      <c r="BI51" s="35"/>
    </row>
    <row r="52" customFormat="false" ht="15" hidden="false" customHeight="true" outlineLevel="0" collapsed="false">
      <c r="A52" s="33" t="str">
        <f aca="false">IF(OR(B52="",C52="",D52="",Z52=""),"","HIS-"&amp;RIGHT(YEAR(Z52),2)&amp;"-"&amp;TEXT(B52,"000")&amp;"-"&amp;C52&amp;"-"&amp;D52&amp;"-"&amp;TEXT(MONTH(Z52),"00"))</f>
        <v/>
      </c>
      <c r="B52" s="34" t="n">
        <v>47</v>
      </c>
      <c r="C52" s="35"/>
      <c r="D52" s="35"/>
      <c r="E52" s="39" t="s">
        <v>275</v>
      </c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6"/>
      <c r="Y52" s="36"/>
      <c r="Z52" s="36"/>
      <c r="AA52" s="36"/>
      <c r="AB52" s="36"/>
      <c r="AC52" s="36"/>
      <c r="AD52" s="36"/>
      <c r="AE52" s="35"/>
      <c r="AF52" s="35"/>
      <c r="AG52" s="36"/>
      <c r="AH52" s="36"/>
      <c r="AI52" s="36"/>
      <c r="AJ52" s="35"/>
      <c r="AK52" s="35"/>
      <c r="AL52" s="35"/>
      <c r="AM52" s="36"/>
      <c r="AN52" s="36"/>
      <c r="AO52" s="36"/>
      <c r="AP52" s="35"/>
      <c r="AQ52" s="35"/>
      <c r="AR52" s="37" t="str">
        <f aca="false">IF(A52="","",COUNTIF(MDT!$B$5:$B$104,A52))</f>
        <v/>
      </c>
      <c r="AS52" s="37" t="str">
        <f aca="false">IF(A52="","",COUNTIFS(MDT!$B$5:$B$104,A52,MDT!$E$5:$E$104,"נדחה — מידע חסר"))</f>
        <v/>
      </c>
      <c r="AT52" s="36"/>
      <c r="AU52" s="35"/>
      <c r="AV52" s="33" t="str">
        <f aca="false">IF(OR(X52="",Z52=""),"",Z52-X52)</f>
        <v/>
      </c>
      <c r="AW52" s="37" t="str">
        <f aca="false">IF(OR(Z52="",AC52=""),"",AC52-Z52)</f>
        <v/>
      </c>
      <c r="AX52" s="37" t="str">
        <f aca="false">IF(OR(AD52="",AI52=""),"",AI52-AD52)</f>
        <v/>
      </c>
      <c r="AY52" s="37" t="str">
        <f aca="false">IF(OR(Z52="",AI52=""),"",AI52-Z52)</f>
        <v/>
      </c>
      <c r="AZ52" s="38" t="str">
        <f aca="false">IF(AY52="","",IF(AY52&lt;=30,1,0))</f>
        <v/>
      </c>
      <c r="BA52" s="38" t="str">
        <f aca="false">IF(AY52="","",IF(AY52&gt;60,1,0))</f>
        <v/>
      </c>
      <c r="BB52" s="38" t="str">
        <f aca="false">IF(AY52="","",IF(AY52&gt;67,1,0))</f>
        <v/>
      </c>
      <c r="BC52" s="38" t="str">
        <f aca="false">IF(OR(AJ52&lt;&gt;"ניתוח",AX52=""),"",IF(AX52&lt;=30,1,0))</f>
        <v/>
      </c>
      <c r="BD52" s="37" t="str">
        <f aca="false">IF(OR(AG52="",AI52="",AJ52&lt;&gt;"ניתוח"),"",AI52-AG52)</f>
        <v/>
      </c>
      <c r="BE52" s="33" t="str">
        <f aca="false">IF(OR(AH52="",AI52="",AND(AJ52&lt;&gt;"הקרנות",AJ52&lt;&gt;"כימו-הקרנות")),"",AI52-AH52)</f>
        <v/>
      </c>
      <c r="BF52" s="37" t="str">
        <f aca="false">IF(OR(AJ52&lt;&gt;"ניתוח",AI52="",AN52=""),"",AN52-AI52)</f>
        <v/>
      </c>
      <c r="BG52" s="37" t="str">
        <f aca="false">IF(OR(AJ52&lt;&gt;"ניתוח",AI52="",AO52=""),"",AO52-AI52)</f>
        <v/>
      </c>
      <c r="BH52" s="38" t="str">
        <f aca="false">IF(BG52="","",IF(BG52&lt;=42,1,0))</f>
        <v/>
      </c>
      <c r="BI52" s="35"/>
    </row>
    <row r="53" customFormat="false" ht="15" hidden="false" customHeight="true" outlineLevel="0" collapsed="false">
      <c r="A53" s="33" t="str">
        <f aca="false">IF(OR(B53="",C53="",D53="",Z53=""),"","HIS-"&amp;RIGHT(YEAR(Z53),2)&amp;"-"&amp;TEXT(B53,"000")&amp;"-"&amp;C53&amp;"-"&amp;D53&amp;"-"&amp;TEXT(MONTH(Z53),"00"))</f>
        <v/>
      </c>
      <c r="B53" s="34" t="n">
        <v>48</v>
      </c>
      <c r="C53" s="35"/>
      <c r="D53" s="35"/>
      <c r="E53" s="39" t="s">
        <v>275</v>
      </c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6"/>
      <c r="Y53" s="36"/>
      <c r="Z53" s="36"/>
      <c r="AA53" s="36"/>
      <c r="AB53" s="36"/>
      <c r="AC53" s="36"/>
      <c r="AD53" s="36"/>
      <c r="AE53" s="35"/>
      <c r="AF53" s="35"/>
      <c r="AG53" s="36"/>
      <c r="AH53" s="36"/>
      <c r="AI53" s="36"/>
      <c r="AJ53" s="35"/>
      <c r="AK53" s="35"/>
      <c r="AL53" s="35"/>
      <c r="AM53" s="36"/>
      <c r="AN53" s="36"/>
      <c r="AO53" s="36"/>
      <c r="AP53" s="35"/>
      <c r="AQ53" s="35"/>
      <c r="AR53" s="37" t="str">
        <f aca="false">IF(A53="","",COUNTIF(MDT!$B$5:$B$104,A53))</f>
        <v/>
      </c>
      <c r="AS53" s="37" t="str">
        <f aca="false">IF(A53="","",COUNTIFS(MDT!$B$5:$B$104,A53,MDT!$E$5:$E$104,"נדחה — מידע חסר"))</f>
        <v/>
      </c>
      <c r="AT53" s="36"/>
      <c r="AU53" s="35"/>
      <c r="AV53" s="33" t="str">
        <f aca="false">IF(OR(X53="",Z53=""),"",Z53-X53)</f>
        <v/>
      </c>
      <c r="AW53" s="37" t="str">
        <f aca="false">IF(OR(Z53="",AC53=""),"",AC53-Z53)</f>
        <v/>
      </c>
      <c r="AX53" s="37" t="str">
        <f aca="false">IF(OR(AD53="",AI53=""),"",AI53-AD53)</f>
        <v/>
      </c>
      <c r="AY53" s="37" t="str">
        <f aca="false">IF(OR(Z53="",AI53=""),"",AI53-Z53)</f>
        <v/>
      </c>
      <c r="AZ53" s="38" t="str">
        <f aca="false">IF(AY53="","",IF(AY53&lt;=30,1,0))</f>
        <v/>
      </c>
      <c r="BA53" s="38" t="str">
        <f aca="false">IF(AY53="","",IF(AY53&gt;60,1,0))</f>
        <v/>
      </c>
      <c r="BB53" s="38" t="str">
        <f aca="false">IF(AY53="","",IF(AY53&gt;67,1,0))</f>
        <v/>
      </c>
      <c r="BC53" s="38" t="str">
        <f aca="false">IF(OR(AJ53&lt;&gt;"ניתוח",AX53=""),"",IF(AX53&lt;=30,1,0))</f>
        <v/>
      </c>
      <c r="BD53" s="37" t="str">
        <f aca="false">IF(OR(AG53="",AI53="",AJ53&lt;&gt;"ניתוח"),"",AI53-AG53)</f>
        <v/>
      </c>
      <c r="BE53" s="33" t="str">
        <f aca="false">IF(OR(AH53="",AI53="",AND(AJ53&lt;&gt;"הקרנות",AJ53&lt;&gt;"כימו-הקרנות")),"",AI53-AH53)</f>
        <v/>
      </c>
      <c r="BF53" s="37" t="str">
        <f aca="false">IF(OR(AJ53&lt;&gt;"ניתוח",AI53="",AN53=""),"",AN53-AI53)</f>
        <v/>
      </c>
      <c r="BG53" s="37" t="str">
        <f aca="false">IF(OR(AJ53&lt;&gt;"ניתוח",AI53="",AO53=""),"",AO53-AI53)</f>
        <v/>
      </c>
      <c r="BH53" s="38" t="str">
        <f aca="false">IF(BG53="","",IF(BG53&lt;=42,1,0))</f>
        <v/>
      </c>
      <c r="BI53" s="35"/>
    </row>
    <row r="54" customFormat="false" ht="15" hidden="false" customHeight="true" outlineLevel="0" collapsed="false">
      <c r="A54" s="33" t="str">
        <f aca="false">IF(OR(B54="",C54="",D54="",Z54=""),"","HIS-"&amp;RIGHT(YEAR(Z54),2)&amp;"-"&amp;TEXT(B54,"000")&amp;"-"&amp;C54&amp;"-"&amp;D54&amp;"-"&amp;TEXT(MONTH(Z54),"00"))</f>
        <v/>
      </c>
      <c r="B54" s="34" t="n">
        <v>49</v>
      </c>
      <c r="C54" s="35"/>
      <c r="D54" s="35"/>
      <c r="E54" s="39" t="s">
        <v>275</v>
      </c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6"/>
      <c r="Y54" s="36"/>
      <c r="Z54" s="36"/>
      <c r="AA54" s="36"/>
      <c r="AB54" s="36"/>
      <c r="AC54" s="36"/>
      <c r="AD54" s="36"/>
      <c r="AE54" s="35"/>
      <c r="AF54" s="35"/>
      <c r="AG54" s="36"/>
      <c r="AH54" s="36"/>
      <c r="AI54" s="36"/>
      <c r="AJ54" s="35"/>
      <c r="AK54" s="35"/>
      <c r="AL54" s="35"/>
      <c r="AM54" s="36"/>
      <c r="AN54" s="36"/>
      <c r="AO54" s="36"/>
      <c r="AP54" s="35"/>
      <c r="AQ54" s="35"/>
      <c r="AR54" s="37" t="str">
        <f aca="false">IF(A54="","",COUNTIF(MDT!$B$5:$B$104,A54))</f>
        <v/>
      </c>
      <c r="AS54" s="37" t="str">
        <f aca="false">IF(A54="","",COUNTIFS(MDT!$B$5:$B$104,A54,MDT!$E$5:$E$104,"נדחה — מידע חסר"))</f>
        <v/>
      </c>
      <c r="AT54" s="36"/>
      <c r="AU54" s="35"/>
      <c r="AV54" s="33" t="str">
        <f aca="false">IF(OR(X54="",Z54=""),"",Z54-X54)</f>
        <v/>
      </c>
      <c r="AW54" s="37" t="str">
        <f aca="false">IF(OR(Z54="",AC54=""),"",AC54-Z54)</f>
        <v/>
      </c>
      <c r="AX54" s="37" t="str">
        <f aca="false">IF(OR(AD54="",AI54=""),"",AI54-AD54)</f>
        <v/>
      </c>
      <c r="AY54" s="37" t="str">
        <f aca="false">IF(OR(Z54="",AI54=""),"",AI54-Z54)</f>
        <v/>
      </c>
      <c r="AZ54" s="38" t="str">
        <f aca="false">IF(AY54="","",IF(AY54&lt;=30,1,0))</f>
        <v/>
      </c>
      <c r="BA54" s="38" t="str">
        <f aca="false">IF(AY54="","",IF(AY54&gt;60,1,0))</f>
        <v/>
      </c>
      <c r="BB54" s="38" t="str">
        <f aca="false">IF(AY54="","",IF(AY54&gt;67,1,0))</f>
        <v/>
      </c>
      <c r="BC54" s="38" t="str">
        <f aca="false">IF(OR(AJ54&lt;&gt;"ניתוח",AX54=""),"",IF(AX54&lt;=30,1,0))</f>
        <v/>
      </c>
      <c r="BD54" s="37" t="str">
        <f aca="false">IF(OR(AG54="",AI54="",AJ54&lt;&gt;"ניתוח"),"",AI54-AG54)</f>
        <v/>
      </c>
      <c r="BE54" s="33" t="str">
        <f aca="false">IF(OR(AH54="",AI54="",AND(AJ54&lt;&gt;"הקרנות",AJ54&lt;&gt;"כימו-הקרנות")),"",AI54-AH54)</f>
        <v/>
      </c>
      <c r="BF54" s="37" t="str">
        <f aca="false">IF(OR(AJ54&lt;&gt;"ניתוח",AI54="",AN54=""),"",AN54-AI54)</f>
        <v/>
      </c>
      <c r="BG54" s="37" t="str">
        <f aca="false">IF(OR(AJ54&lt;&gt;"ניתוח",AI54="",AO54=""),"",AO54-AI54)</f>
        <v/>
      </c>
      <c r="BH54" s="38" t="str">
        <f aca="false">IF(BG54="","",IF(BG54&lt;=42,1,0))</f>
        <v/>
      </c>
      <c r="BI54" s="35"/>
    </row>
    <row r="55" customFormat="false" ht="15" hidden="false" customHeight="true" outlineLevel="0" collapsed="false">
      <c r="A55" s="33" t="str">
        <f aca="false">IF(OR(B55="",C55="",D55="",Z55=""),"","HIS-"&amp;RIGHT(YEAR(Z55),2)&amp;"-"&amp;TEXT(B55,"000")&amp;"-"&amp;C55&amp;"-"&amp;D55&amp;"-"&amp;TEXT(MONTH(Z55),"00"))</f>
        <v/>
      </c>
      <c r="B55" s="34" t="n">
        <v>50</v>
      </c>
      <c r="C55" s="35"/>
      <c r="D55" s="35"/>
      <c r="E55" s="39" t="s">
        <v>275</v>
      </c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6"/>
      <c r="Y55" s="36"/>
      <c r="Z55" s="36"/>
      <c r="AA55" s="36"/>
      <c r="AB55" s="36"/>
      <c r="AC55" s="36"/>
      <c r="AD55" s="36"/>
      <c r="AE55" s="35"/>
      <c r="AF55" s="35"/>
      <c r="AG55" s="36"/>
      <c r="AH55" s="36"/>
      <c r="AI55" s="36"/>
      <c r="AJ55" s="35"/>
      <c r="AK55" s="35"/>
      <c r="AL55" s="35"/>
      <c r="AM55" s="36"/>
      <c r="AN55" s="36"/>
      <c r="AO55" s="36"/>
      <c r="AP55" s="35"/>
      <c r="AQ55" s="35"/>
      <c r="AR55" s="37" t="str">
        <f aca="false">IF(A55="","",COUNTIF(MDT!$B$5:$B$104,A55))</f>
        <v/>
      </c>
      <c r="AS55" s="37" t="str">
        <f aca="false">IF(A55="","",COUNTIFS(MDT!$B$5:$B$104,A55,MDT!$E$5:$E$104,"נדחה — מידע חסר"))</f>
        <v/>
      </c>
      <c r="AT55" s="36"/>
      <c r="AU55" s="35"/>
      <c r="AV55" s="33" t="str">
        <f aca="false">IF(OR(X55="",Z55=""),"",Z55-X55)</f>
        <v/>
      </c>
      <c r="AW55" s="37" t="str">
        <f aca="false">IF(OR(Z55="",AC55=""),"",AC55-Z55)</f>
        <v/>
      </c>
      <c r="AX55" s="37" t="str">
        <f aca="false">IF(OR(AD55="",AI55=""),"",AI55-AD55)</f>
        <v/>
      </c>
      <c r="AY55" s="37" t="str">
        <f aca="false">IF(OR(Z55="",AI55=""),"",AI55-Z55)</f>
        <v/>
      </c>
      <c r="AZ55" s="38" t="str">
        <f aca="false">IF(AY55="","",IF(AY55&lt;=30,1,0))</f>
        <v/>
      </c>
      <c r="BA55" s="38" t="str">
        <f aca="false">IF(AY55="","",IF(AY55&gt;60,1,0))</f>
        <v/>
      </c>
      <c r="BB55" s="38" t="str">
        <f aca="false">IF(AY55="","",IF(AY55&gt;67,1,0))</f>
        <v/>
      </c>
      <c r="BC55" s="38" t="str">
        <f aca="false">IF(OR(AJ55&lt;&gt;"ניתוח",AX55=""),"",IF(AX55&lt;=30,1,0))</f>
        <v/>
      </c>
      <c r="BD55" s="37" t="str">
        <f aca="false">IF(OR(AG55="",AI55="",AJ55&lt;&gt;"ניתוח"),"",AI55-AG55)</f>
        <v/>
      </c>
      <c r="BE55" s="33" t="str">
        <f aca="false">IF(OR(AH55="",AI55="",AND(AJ55&lt;&gt;"הקרנות",AJ55&lt;&gt;"כימו-הקרנות")),"",AI55-AH55)</f>
        <v/>
      </c>
      <c r="BF55" s="37" t="str">
        <f aca="false">IF(OR(AJ55&lt;&gt;"ניתוח",AI55="",AN55=""),"",AN55-AI55)</f>
        <v/>
      </c>
      <c r="BG55" s="37" t="str">
        <f aca="false">IF(OR(AJ55&lt;&gt;"ניתוח",AI55="",AO55=""),"",AO55-AI55)</f>
        <v/>
      </c>
      <c r="BH55" s="38" t="str">
        <f aca="false">IF(BG55="","",IF(BG55&lt;=42,1,0))</f>
        <v/>
      </c>
      <c r="BI55" s="35"/>
    </row>
    <row r="56" customFormat="false" ht="15" hidden="false" customHeight="true" outlineLevel="0" collapsed="false">
      <c r="A56" s="33" t="str">
        <f aca="false">IF(OR(B56="",C56="",D56="",Z56=""),"","HIS-"&amp;RIGHT(YEAR(Z56),2)&amp;"-"&amp;TEXT(B56,"000")&amp;"-"&amp;C56&amp;"-"&amp;D56&amp;"-"&amp;TEXT(MONTH(Z56),"00"))</f>
        <v/>
      </c>
      <c r="B56" s="34" t="n">
        <v>51</v>
      </c>
      <c r="C56" s="35"/>
      <c r="D56" s="35"/>
      <c r="E56" s="39" t="s">
        <v>275</v>
      </c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6"/>
      <c r="Y56" s="36"/>
      <c r="Z56" s="36"/>
      <c r="AA56" s="36"/>
      <c r="AB56" s="36"/>
      <c r="AC56" s="36"/>
      <c r="AD56" s="36"/>
      <c r="AE56" s="35"/>
      <c r="AF56" s="35"/>
      <c r="AG56" s="36"/>
      <c r="AH56" s="36"/>
      <c r="AI56" s="36"/>
      <c r="AJ56" s="35"/>
      <c r="AK56" s="35"/>
      <c r="AL56" s="35"/>
      <c r="AM56" s="36"/>
      <c r="AN56" s="36"/>
      <c r="AO56" s="36"/>
      <c r="AP56" s="35"/>
      <c r="AQ56" s="35"/>
      <c r="AR56" s="37" t="str">
        <f aca="false">IF(A56="","",COUNTIF(MDT!$B$5:$B$104,A56))</f>
        <v/>
      </c>
      <c r="AS56" s="37" t="str">
        <f aca="false">IF(A56="","",COUNTIFS(MDT!$B$5:$B$104,A56,MDT!$E$5:$E$104,"נדחה — מידע חסר"))</f>
        <v/>
      </c>
      <c r="AT56" s="36"/>
      <c r="AU56" s="35"/>
      <c r="AV56" s="33" t="str">
        <f aca="false">IF(OR(X56="",Z56=""),"",Z56-X56)</f>
        <v/>
      </c>
      <c r="AW56" s="37" t="str">
        <f aca="false">IF(OR(Z56="",AC56=""),"",AC56-Z56)</f>
        <v/>
      </c>
      <c r="AX56" s="37" t="str">
        <f aca="false">IF(OR(AD56="",AI56=""),"",AI56-AD56)</f>
        <v/>
      </c>
      <c r="AY56" s="37" t="str">
        <f aca="false">IF(OR(Z56="",AI56=""),"",AI56-Z56)</f>
        <v/>
      </c>
      <c r="AZ56" s="38" t="str">
        <f aca="false">IF(AY56="","",IF(AY56&lt;=30,1,0))</f>
        <v/>
      </c>
      <c r="BA56" s="38" t="str">
        <f aca="false">IF(AY56="","",IF(AY56&gt;60,1,0))</f>
        <v/>
      </c>
      <c r="BB56" s="38" t="str">
        <f aca="false">IF(AY56="","",IF(AY56&gt;67,1,0))</f>
        <v/>
      </c>
      <c r="BC56" s="38" t="str">
        <f aca="false">IF(OR(AJ56&lt;&gt;"ניתוח",AX56=""),"",IF(AX56&lt;=30,1,0))</f>
        <v/>
      </c>
      <c r="BD56" s="37" t="str">
        <f aca="false">IF(OR(AG56="",AI56="",AJ56&lt;&gt;"ניתוח"),"",AI56-AG56)</f>
        <v/>
      </c>
      <c r="BE56" s="33" t="str">
        <f aca="false">IF(OR(AH56="",AI56="",AND(AJ56&lt;&gt;"הקרנות",AJ56&lt;&gt;"כימו-הקרנות")),"",AI56-AH56)</f>
        <v/>
      </c>
      <c r="BF56" s="37" t="str">
        <f aca="false">IF(OR(AJ56&lt;&gt;"ניתוח",AI56="",AN56=""),"",AN56-AI56)</f>
        <v/>
      </c>
      <c r="BG56" s="37" t="str">
        <f aca="false">IF(OR(AJ56&lt;&gt;"ניתוח",AI56="",AO56=""),"",AO56-AI56)</f>
        <v/>
      </c>
      <c r="BH56" s="38" t="str">
        <f aca="false">IF(BG56="","",IF(BG56&lt;=42,1,0))</f>
        <v/>
      </c>
      <c r="BI56" s="35"/>
    </row>
    <row r="57" customFormat="false" ht="15" hidden="false" customHeight="true" outlineLevel="0" collapsed="false">
      <c r="A57" s="33" t="str">
        <f aca="false">IF(OR(B57="",C57="",D57="",Z57=""),"","HIS-"&amp;RIGHT(YEAR(Z57),2)&amp;"-"&amp;TEXT(B57,"000")&amp;"-"&amp;C57&amp;"-"&amp;D57&amp;"-"&amp;TEXT(MONTH(Z57),"00"))</f>
        <v/>
      </c>
      <c r="B57" s="34" t="n">
        <v>52</v>
      </c>
      <c r="C57" s="35"/>
      <c r="D57" s="35"/>
      <c r="E57" s="39" t="s">
        <v>275</v>
      </c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6"/>
      <c r="Y57" s="36"/>
      <c r="Z57" s="36"/>
      <c r="AA57" s="36"/>
      <c r="AB57" s="36"/>
      <c r="AC57" s="36"/>
      <c r="AD57" s="36"/>
      <c r="AE57" s="35"/>
      <c r="AF57" s="35"/>
      <c r="AG57" s="36"/>
      <c r="AH57" s="36"/>
      <c r="AI57" s="36"/>
      <c r="AJ57" s="35"/>
      <c r="AK57" s="35"/>
      <c r="AL57" s="35"/>
      <c r="AM57" s="36"/>
      <c r="AN57" s="36"/>
      <c r="AO57" s="36"/>
      <c r="AP57" s="35"/>
      <c r="AQ57" s="35"/>
      <c r="AR57" s="37" t="str">
        <f aca="false">IF(A57="","",COUNTIF(MDT!$B$5:$B$104,A57))</f>
        <v/>
      </c>
      <c r="AS57" s="37" t="str">
        <f aca="false">IF(A57="","",COUNTIFS(MDT!$B$5:$B$104,A57,MDT!$E$5:$E$104,"נדחה — מידע חסר"))</f>
        <v/>
      </c>
      <c r="AT57" s="36"/>
      <c r="AU57" s="35"/>
      <c r="AV57" s="33" t="str">
        <f aca="false">IF(OR(X57="",Z57=""),"",Z57-X57)</f>
        <v/>
      </c>
      <c r="AW57" s="37" t="str">
        <f aca="false">IF(OR(Z57="",AC57=""),"",AC57-Z57)</f>
        <v/>
      </c>
      <c r="AX57" s="37" t="str">
        <f aca="false">IF(OR(AD57="",AI57=""),"",AI57-AD57)</f>
        <v/>
      </c>
      <c r="AY57" s="37" t="str">
        <f aca="false">IF(OR(Z57="",AI57=""),"",AI57-Z57)</f>
        <v/>
      </c>
      <c r="AZ57" s="38" t="str">
        <f aca="false">IF(AY57="","",IF(AY57&lt;=30,1,0))</f>
        <v/>
      </c>
      <c r="BA57" s="38" t="str">
        <f aca="false">IF(AY57="","",IF(AY57&gt;60,1,0))</f>
        <v/>
      </c>
      <c r="BB57" s="38" t="str">
        <f aca="false">IF(AY57="","",IF(AY57&gt;67,1,0))</f>
        <v/>
      </c>
      <c r="BC57" s="38" t="str">
        <f aca="false">IF(OR(AJ57&lt;&gt;"ניתוח",AX57=""),"",IF(AX57&lt;=30,1,0))</f>
        <v/>
      </c>
      <c r="BD57" s="37" t="str">
        <f aca="false">IF(OR(AG57="",AI57="",AJ57&lt;&gt;"ניתוח"),"",AI57-AG57)</f>
        <v/>
      </c>
      <c r="BE57" s="33" t="str">
        <f aca="false">IF(OR(AH57="",AI57="",AND(AJ57&lt;&gt;"הקרנות",AJ57&lt;&gt;"כימו-הקרנות")),"",AI57-AH57)</f>
        <v/>
      </c>
      <c r="BF57" s="37" t="str">
        <f aca="false">IF(OR(AJ57&lt;&gt;"ניתוח",AI57="",AN57=""),"",AN57-AI57)</f>
        <v/>
      </c>
      <c r="BG57" s="37" t="str">
        <f aca="false">IF(OR(AJ57&lt;&gt;"ניתוח",AI57="",AO57=""),"",AO57-AI57)</f>
        <v/>
      </c>
      <c r="BH57" s="38" t="str">
        <f aca="false">IF(BG57="","",IF(BG57&lt;=42,1,0))</f>
        <v/>
      </c>
      <c r="BI57" s="35"/>
    </row>
    <row r="58" customFormat="false" ht="15" hidden="false" customHeight="true" outlineLevel="0" collapsed="false">
      <c r="A58" s="33" t="str">
        <f aca="false">IF(OR(B58="",C58="",D58="",Z58=""),"","HIS-"&amp;RIGHT(YEAR(Z58),2)&amp;"-"&amp;TEXT(B58,"000")&amp;"-"&amp;C58&amp;"-"&amp;D58&amp;"-"&amp;TEXT(MONTH(Z58),"00"))</f>
        <v/>
      </c>
      <c r="B58" s="34" t="n">
        <v>53</v>
      </c>
      <c r="C58" s="35"/>
      <c r="D58" s="35"/>
      <c r="E58" s="39" t="s">
        <v>275</v>
      </c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6"/>
      <c r="Y58" s="36"/>
      <c r="Z58" s="36"/>
      <c r="AA58" s="36"/>
      <c r="AB58" s="36"/>
      <c r="AC58" s="36"/>
      <c r="AD58" s="36"/>
      <c r="AE58" s="35"/>
      <c r="AF58" s="35"/>
      <c r="AG58" s="36"/>
      <c r="AH58" s="36"/>
      <c r="AI58" s="36"/>
      <c r="AJ58" s="35"/>
      <c r="AK58" s="35"/>
      <c r="AL58" s="35"/>
      <c r="AM58" s="36"/>
      <c r="AN58" s="36"/>
      <c r="AO58" s="36"/>
      <c r="AP58" s="35"/>
      <c r="AQ58" s="35"/>
      <c r="AR58" s="37" t="str">
        <f aca="false">IF(A58="","",COUNTIF(MDT!$B$5:$B$104,A58))</f>
        <v/>
      </c>
      <c r="AS58" s="37" t="str">
        <f aca="false">IF(A58="","",COUNTIFS(MDT!$B$5:$B$104,A58,MDT!$E$5:$E$104,"נדחה — מידע חסר"))</f>
        <v/>
      </c>
      <c r="AT58" s="36"/>
      <c r="AU58" s="35"/>
      <c r="AV58" s="33" t="str">
        <f aca="false">IF(OR(X58="",Z58=""),"",Z58-X58)</f>
        <v/>
      </c>
      <c r="AW58" s="37" t="str">
        <f aca="false">IF(OR(Z58="",AC58=""),"",AC58-Z58)</f>
        <v/>
      </c>
      <c r="AX58" s="37" t="str">
        <f aca="false">IF(OR(AD58="",AI58=""),"",AI58-AD58)</f>
        <v/>
      </c>
      <c r="AY58" s="37" t="str">
        <f aca="false">IF(OR(Z58="",AI58=""),"",AI58-Z58)</f>
        <v/>
      </c>
      <c r="AZ58" s="38" t="str">
        <f aca="false">IF(AY58="","",IF(AY58&lt;=30,1,0))</f>
        <v/>
      </c>
      <c r="BA58" s="38" t="str">
        <f aca="false">IF(AY58="","",IF(AY58&gt;60,1,0))</f>
        <v/>
      </c>
      <c r="BB58" s="38" t="str">
        <f aca="false">IF(AY58="","",IF(AY58&gt;67,1,0))</f>
        <v/>
      </c>
      <c r="BC58" s="38" t="str">
        <f aca="false">IF(OR(AJ58&lt;&gt;"ניתוח",AX58=""),"",IF(AX58&lt;=30,1,0))</f>
        <v/>
      </c>
      <c r="BD58" s="37" t="str">
        <f aca="false">IF(OR(AG58="",AI58="",AJ58&lt;&gt;"ניתוח"),"",AI58-AG58)</f>
        <v/>
      </c>
      <c r="BE58" s="33" t="str">
        <f aca="false">IF(OR(AH58="",AI58="",AND(AJ58&lt;&gt;"הקרנות",AJ58&lt;&gt;"כימו-הקרנות")),"",AI58-AH58)</f>
        <v/>
      </c>
      <c r="BF58" s="37" t="str">
        <f aca="false">IF(OR(AJ58&lt;&gt;"ניתוח",AI58="",AN58=""),"",AN58-AI58)</f>
        <v/>
      </c>
      <c r="BG58" s="37" t="str">
        <f aca="false">IF(OR(AJ58&lt;&gt;"ניתוח",AI58="",AO58=""),"",AO58-AI58)</f>
        <v/>
      </c>
      <c r="BH58" s="38" t="str">
        <f aca="false">IF(BG58="","",IF(BG58&lt;=42,1,0))</f>
        <v/>
      </c>
      <c r="BI58" s="35"/>
    </row>
    <row r="59" customFormat="false" ht="15" hidden="false" customHeight="true" outlineLevel="0" collapsed="false">
      <c r="A59" s="33" t="str">
        <f aca="false">IF(OR(B59="",C59="",D59="",Z59=""),"","HIS-"&amp;RIGHT(YEAR(Z59),2)&amp;"-"&amp;TEXT(B59,"000")&amp;"-"&amp;C59&amp;"-"&amp;D59&amp;"-"&amp;TEXT(MONTH(Z59),"00"))</f>
        <v/>
      </c>
      <c r="B59" s="34" t="n">
        <v>54</v>
      </c>
      <c r="C59" s="35"/>
      <c r="D59" s="35"/>
      <c r="E59" s="39" t="s">
        <v>275</v>
      </c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6"/>
      <c r="Y59" s="36"/>
      <c r="Z59" s="36"/>
      <c r="AA59" s="36"/>
      <c r="AB59" s="36"/>
      <c r="AC59" s="36"/>
      <c r="AD59" s="36"/>
      <c r="AE59" s="35"/>
      <c r="AF59" s="35"/>
      <c r="AG59" s="36"/>
      <c r="AH59" s="36"/>
      <c r="AI59" s="36"/>
      <c r="AJ59" s="35"/>
      <c r="AK59" s="35"/>
      <c r="AL59" s="35"/>
      <c r="AM59" s="36"/>
      <c r="AN59" s="36"/>
      <c r="AO59" s="36"/>
      <c r="AP59" s="35"/>
      <c r="AQ59" s="35"/>
      <c r="AR59" s="37" t="str">
        <f aca="false">IF(A59="","",COUNTIF(MDT!$B$5:$B$104,A59))</f>
        <v/>
      </c>
      <c r="AS59" s="37" t="str">
        <f aca="false">IF(A59="","",COUNTIFS(MDT!$B$5:$B$104,A59,MDT!$E$5:$E$104,"נדחה — מידע חסר"))</f>
        <v/>
      </c>
      <c r="AT59" s="36"/>
      <c r="AU59" s="35"/>
      <c r="AV59" s="33" t="str">
        <f aca="false">IF(OR(X59="",Z59=""),"",Z59-X59)</f>
        <v/>
      </c>
      <c r="AW59" s="37" t="str">
        <f aca="false">IF(OR(Z59="",AC59=""),"",AC59-Z59)</f>
        <v/>
      </c>
      <c r="AX59" s="37" t="str">
        <f aca="false">IF(OR(AD59="",AI59=""),"",AI59-AD59)</f>
        <v/>
      </c>
      <c r="AY59" s="37" t="str">
        <f aca="false">IF(OR(Z59="",AI59=""),"",AI59-Z59)</f>
        <v/>
      </c>
      <c r="AZ59" s="38" t="str">
        <f aca="false">IF(AY59="","",IF(AY59&lt;=30,1,0))</f>
        <v/>
      </c>
      <c r="BA59" s="38" t="str">
        <f aca="false">IF(AY59="","",IF(AY59&gt;60,1,0))</f>
        <v/>
      </c>
      <c r="BB59" s="38" t="str">
        <f aca="false">IF(AY59="","",IF(AY59&gt;67,1,0))</f>
        <v/>
      </c>
      <c r="BC59" s="38" t="str">
        <f aca="false">IF(OR(AJ59&lt;&gt;"ניתוח",AX59=""),"",IF(AX59&lt;=30,1,0))</f>
        <v/>
      </c>
      <c r="BD59" s="37" t="str">
        <f aca="false">IF(OR(AG59="",AI59="",AJ59&lt;&gt;"ניתוח"),"",AI59-AG59)</f>
        <v/>
      </c>
      <c r="BE59" s="33" t="str">
        <f aca="false">IF(OR(AH59="",AI59="",AND(AJ59&lt;&gt;"הקרנות",AJ59&lt;&gt;"כימו-הקרנות")),"",AI59-AH59)</f>
        <v/>
      </c>
      <c r="BF59" s="37" t="str">
        <f aca="false">IF(OR(AJ59&lt;&gt;"ניתוח",AI59="",AN59=""),"",AN59-AI59)</f>
        <v/>
      </c>
      <c r="BG59" s="37" t="str">
        <f aca="false">IF(OR(AJ59&lt;&gt;"ניתוח",AI59="",AO59=""),"",AO59-AI59)</f>
        <v/>
      </c>
      <c r="BH59" s="38" t="str">
        <f aca="false">IF(BG59="","",IF(BG59&lt;=42,1,0))</f>
        <v/>
      </c>
      <c r="BI59" s="35"/>
    </row>
    <row r="60" customFormat="false" ht="15" hidden="false" customHeight="true" outlineLevel="0" collapsed="false">
      <c r="A60" s="33" t="str">
        <f aca="false">IF(OR(B60="",C60="",D60="",Z60=""),"","HIS-"&amp;RIGHT(YEAR(Z60),2)&amp;"-"&amp;TEXT(B60,"000")&amp;"-"&amp;C60&amp;"-"&amp;D60&amp;"-"&amp;TEXT(MONTH(Z60),"00"))</f>
        <v/>
      </c>
      <c r="B60" s="34" t="n">
        <v>55</v>
      </c>
      <c r="C60" s="35"/>
      <c r="D60" s="35"/>
      <c r="E60" s="39" t="s">
        <v>275</v>
      </c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6"/>
      <c r="Y60" s="36"/>
      <c r="Z60" s="36"/>
      <c r="AA60" s="36"/>
      <c r="AB60" s="36"/>
      <c r="AC60" s="36"/>
      <c r="AD60" s="36"/>
      <c r="AE60" s="35"/>
      <c r="AF60" s="35"/>
      <c r="AG60" s="36"/>
      <c r="AH60" s="36"/>
      <c r="AI60" s="36"/>
      <c r="AJ60" s="35"/>
      <c r="AK60" s="35"/>
      <c r="AL60" s="35"/>
      <c r="AM60" s="36"/>
      <c r="AN60" s="36"/>
      <c r="AO60" s="36"/>
      <c r="AP60" s="35"/>
      <c r="AQ60" s="35"/>
      <c r="AR60" s="37" t="str">
        <f aca="false">IF(A60="","",COUNTIF(MDT!$B$5:$B$104,A60))</f>
        <v/>
      </c>
      <c r="AS60" s="37" t="str">
        <f aca="false">IF(A60="","",COUNTIFS(MDT!$B$5:$B$104,A60,MDT!$E$5:$E$104,"נדחה — מידע חסר"))</f>
        <v/>
      </c>
      <c r="AT60" s="36"/>
      <c r="AU60" s="35"/>
      <c r="AV60" s="33" t="str">
        <f aca="false">IF(OR(X60="",Z60=""),"",Z60-X60)</f>
        <v/>
      </c>
      <c r="AW60" s="37" t="str">
        <f aca="false">IF(OR(Z60="",AC60=""),"",AC60-Z60)</f>
        <v/>
      </c>
      <c r="AX60" s="37" t="str">
        <f aca="false">IF(OR(AD60="",AI60=""),"",AI60-AD60)</f>
        <v/>
      </c>
      <c r="AY60" s="37" t="str">
        <f aca="false">IF(OR(Z60="",AI60=""),"",AI60-Z60)</f>
        <v/>
      </c>
      <c r="AZ60" s="38" t="str">
        <f aca="false">IF(AY60="","",IF(AY60&lt;=30,1,0))</f>
        <v/>
      </c>
      <c r="BA60" s="38" t="str">
        <f aca="false">IF(AY60="","",IF(AY60&gt;60,1,0))</f>
        <v/>
      </c>
      <c r="BB60" s="38" t="str">
        <f aca="false">IF(AY60="","",IF(AY60&gt;67,1,0))</f>
        <v/>
      </c>
      <c r="BC60" s="38" t="str">
        <f aca="false">IF(OR(AJ60&lt;&gt;"ניתוח",AX60=""),"",IF(AX60&lt;=30,1,0))</f>
        <v/>
      </c>
      <c r="BD60" s="37" t="str">
        <f aca="false">IF(OR(AG60="",AI60="",AJ60&lt;&gt;"ניתוח"),"",AI60-AG60)</f>
        <v/>
      </c>
      <c r="BE60" s="33" t="str">
        <f aca="false">IF(OR(AH60="",AI60="",AND(AJ60&lt;&gt;"הקרנות",AJ60&lt;&gt;"כימו-הקרנות")),"",AI60-AH60)</f>
        <v/>
      </c>
      <c r="BF60" s="37" t="str">
        <f aca="false">IF(OR(AJ60&lt;&gt;"ניתוח",AI60="",AN60=""),"",AN60-AI60)</f>
        <v/>
      </c>
      <c r="BG60" s="37" t="str">
        <f aca="false">IF(OR(AJ60&lt;&gt;"ניתוח",AI60="",AO60=""),"",AO60-AI60)</f>
        <v/>
      </c>
      <c r="BH60" s="38" t="str">
        <f aca="false">IF(BG60="","",IF(BG60&lt;=42,1,0))</f>
        <v/>
      </c>
      <c r="BI60" s="35"/>
    </row>
    <row r="61" customFormat="false" ht="15" hidden="false" customHeight="true" outlineLevel="0" collapsed="false">
      <c r="A61" s="33" t="str">
        <f aca="false">IF(OR(B61="",C61="",D61="",Z61=""),"","HIS-"&amp;RIGHT(YEAR(Z61),2)&amp;"-"&amp;TEXT(B61,"000")&amp;"-"&amp;C61&amp;"-"&amp;D61&amp;"-"&amp;TEXT(MONTH(Z61),"00"))</f>
        <v/>
      </c>
      <c r="B61" s="34" t="n">
        <v>56</v>
      </c>
      <c r="C61" s="35"/>
      <c r="D61" s="35"/>
      <c r="E61" s="39" t="s">
        <v>275</v>
      </c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6"/>
      <c r="Y61" s="36"/>
      <c r="Z61" s="36"/>
      <c r="AA61" s="36"/>
      <c r="AB61" s="36"/>
      <c r="AC61" s="36"/>
      <c r="AD61" s="36"/>
      <c r="AE61" s="35"/>
      <c r="AF61" s="35"/>
      <c r="AG61" s="36"/>
      <c r="AH61" s="36"/>
      <c r="AI61" s="36"/>
      <c r="AJ61" s="35"/>
      <c r="AK61" s="35"/>
      <c r="AL61" s="35"/>
      <c r="AM61" s="36"/>
      <c r="AN61" s="36"/>
      <c r="AO61" s="36"/>
      <c r="AP61" s="35"/>
      <c r="AQ61" s="35"/>
      <c r="AR61" s="37" t="str">
        <f aca="false">IF(A61="","",COUNTIF(MDT!$B$5:$B$104,A61))</f>
        <v/>
      </c>
      <c r="AS61" s="37" t="str">
        <f aca="false">IF(A61="","",COUNTIFS(MDT!$B$5:$B$104,A61,MDT!$E$5:$E$104,"נדחה — מידע חסר"))</f>
        <v/>
      </c>
      <c r="AT61" s="36"/>
      <c r="AU61" s="35"/>
      <c r="AV61" s="33" t="str">
        <f aca="false">IF(OR(X61="",Z61=""),"",Z61-X61)</f>
        <v/>
      </c>
      <c r="AW61" s="37" t="str">
        <f aca="false">IF(OR(Z61="",AC61=""),"",AC61-Z61)</f>
        <v/>
      </c>
      <c r="AX61" s="37" t="str">
        <f aca="false">IF(OR(AD61="",AI61=""),"",AI61-AD61)</f>
        <v/>
      </c>
      <c r="AY61" s="37" t="str">
        <f aca="false">IF(OR(Z61="",AI61=""),"",AI61-Z61)</f>
        <v/>
      </c>
      <c r="AZ61" s="38" t="str">
        <f aca="false">IF(AY61="","",IF(AY61&lt;=30,1,0))</f>
        <v/>
      </c>
      <c r="BA61" s="38" t="str">
        <f aca="false">IF(AY61="","",IF(AY61&gt;60,1,0))</f>
        <v/>
      </c>
      <c r="BB61" s="38" t="str">
        <f aca="false">IF(AY61="","",IF(AY61&gt;67,1,0))</f>
        <v/>
      </c>
      <c r="BC61" s="38" t="str">
        <f aca="false">IF(OR(AJ61&lt;&gt;"ניתוח",AX61=""),"",IF(AX61&lt;=30,1,0))</f>
        <v/>
      </c>
      <c r="BD61" s="37" t="str">
        <f aca="false">IF(OR(AG61="",AI61="",AJ61&lt;&gt;"ניתוח"),"",AI61-AG61)</f>
        <v/>
      </c>
      <c r="BE61" s="33" t="str">
        <f aca="false">IF(OR(AH61="",AI61="",AND(AJ61&lt;&gt;"הקרנות",AJ61&lt;&gt;"כימו-הקרנות")),"",AI61-AH61)</f>
        <v/>
      </c>
      <c r="BF61" s="37" t="str">
        <f aca="false">IF(OR(AJ61&lt;&gt;"ניתוח",AI61="",AN61=""),"",AN61-AI61)</f>
        <v/>
      </c>
      <c r="BG61" s="37" t="str">
        <f aca="false">IF(OR(AJ61&lt;&gt;"ניתוח",AI61="",AO61=""),"",AO61-AI61)</f>
        <v/>
      </c>
      <c r="BH61" s="38" t="str">
        <f aca="false">IF(BG61="","",IF(BG61&lt;=42,1,0))</f>
        <v/>
      </c>
      <c r="BI61" s="35"/>
    </row>
    <row r="62" customFormat="false" ht="15" hidden="false" customHeight="true" outlineLevel="0" collapsed="false">
      <c r="A62" s="33" t="str">
        <f aca="false">IF(OR(B62="",C62="",D62="",Z62=""),"","HIS-"&amp;RIGHT(YEAR(Z62),2)&amp;"-"&amp;TEXT(B62,"000")&amp;"-"&amp;C62&amp;"-"&amp;D62&amp;"-"&amp;TEXT(MONTH(Z62),"00"))</f>
        <v/>
      </c>
      <c r="B62" s="34" t="n">
        <v>57</v>
      </c>
      <c r="C62" s="35"/>
      <c r="D62" s="35"/>
      <c r="E62" s="39" t="s">
        <v>275</v>
      </c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6"/>
      <c r="Y62" s="36"/>
      <c r="Z62" s="36"/>
      <c r="AA62" s="36"/>
      <c r="AB62" s="36"/>
      <c r="AC62" s="36"/>
      <c r="AD62" s="36"/>
      <c r="AE62" s="35"/>
      <c r="AF62" s="35"/>
      <c r="AG62" s="36"/>
      <c r="AH62" s="36"/>
      <c r="AI62" s="36"/>
      <c r="AJ62" s="35"/>
      <c r="AK62" s="35"/>
      <c r="AL62" s="35"/>
      <c r="AM62" s="36"/>
      <c r="AN62" s="36"/>
      <c r="AO62" s="36"/>
      <c r="AP62" s="35"/>
      <c r="AQ62" s="35"/>
      <c r="AR62" s="37" t="str">
        <f aca="false">IF(A62="","",COUNTIF(MDT!$B$5:$B$104,A62))</f>
        <v/>
      </c>
      <c r="AS62" s="37" t="str">
        <f aca="false">IF(A62="","",COUNTIFS(MDT!$B$5:$B$104,A62,MDT!$E$5:$E$104,"נדחה — מידע חסר"))</f>
        <v/>
      </c>
      <c r="AT62" s="36"/>
      <c r="AU62" s="35"/>
      <c r="AV62" s="33" t="str">
        <f aca="false">IF(OR(X62="",Z62=""),"",Z62-X62)</f>
        <v/>
      </c>
      <c r="AW62" s="37" t="str">
        <f aca="false">IF(OR(Z62="",AC62=""),"",AC62-Z62)</f>
        <v/>
      </c>
      <c r="AX62" s="37" t="str">
        <f aca="false">IF(OR(AD62="",AI62=""),"",AI62-AD62)</f>
        <v/>
      </c>
      <c r="AY62" s="37" t="str">
        <f aca="false">IF(OR(Z62="",AI62=""),"",AI62-Z62)</f>
        <v/>
      </c>
      <c r="AZ62" s="38" t="str">
        <f aca="false">IF(AY62="","",IF(AY62&lt;=30,1,0))</f>
        <v/>
      </c>
      <c r="BA62" s="38" t="str">
        <f aca="false">IF(AY62="","",IF(AY62&gt;60,1,0))</f>
        <v/>
      </c>
      <c r="BB62" s="38" t="str">
        <f aca="false">IF(AY62="","",IF(AY62&gt;67,1,0))</f>
        <v/>
      </c>
      <c r="BC62" s="38" t="str">
        <f aca="false">IF(OR(AJ62&lt;&gt;"ניתוח",AX62=""),"",IF(AX62&lt;=30,1,0))</f>
        <v/>
      </c>
      <c r="BD62" s="37" t="str">
        <f aca="false">IF(OR(AG62="",AI62="",AJ62&lt;&gt;"ניתוח"),"",AI62-AG62)</f>
        <v/>
      </c>
      <c r="BE62" s="33" t="str">
        <f aca="false">IF(OR(AH62="",AI62="",AND(AJ62&lt;&gt;"הקרנות",AJ62&lt;&gt;"כימו-הקרנות")),"",AI62-AH62)</f>
        <v/>
      </c>
      <c r="BF62" s="37" t="str">
        <f aca="false">IF(OR(AJ62&lt;&gt;"ניתוח",AI62="",AN62=""),"",AN62-AI62)</f>
        <v/>
      </c>
      <c r="BG62" s="37" t="str">
        <f aca="false">IF(OR(AJ62&lt;&gt;"ניתוח",AI62="",AO62=""),"",AO62-AI62)</f>
        <v/>
      </c>
      <c r="BH62" s="38" t="str">
        <f aca="false">IF(BG62="","",IF(BG62&lt;=42,1,0))</f>
        <v/>
      </c>
      <c r="BI62" s="35"/>
    </row>
    <row r="63" customFormat="false" ht="15" hidden="false" customHeight="true" outlineLevel="0" collapsed="false">
      <c r="A63" s="33" t="str">
        <f aca="false">IF(OR(B63="",C63="",D63="",Z63=""),"","HIS-"&amp;RIGHT(YEAR(Z63),2)&amp;"-"&amp;TEXT(B63,"000")&amp;"-"&amp;C63&amp;"-"&amp;D63&amp;"-"&amp;TEXT(MONTH(Z63),"00"))</f>
        <v/>
      </c>
      <c r="B63" s="34" t="n">
        <v>58</v>
      </c>
      <c r="C63" s="35"/>
      <c r="D63" s="35"/>
      <c r="E63" s="39" t="s">
        <v>275</v>
      </c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6"/>
      <c r="Y63" s="36"/>
      <c r="Z63" s="36"/>
      <c r="AA63" s="36"/>
      <c r="AB63" s="36"/>
      <c r="AC63" s="36"/>
      <c r="AD63" s="36"/>
      <c r="AE63" s="35"/>
      <c r="AF63" s="35"/>
      <c r="AG63" s="36"/>
      <c r="AH63" s="36"/>
      <c r="AI63" s="36"/>
      <c r="AJ63" s="35"/>
      <c r="AK63" s="35"/>
      <c r="AL63" s="35"/>
      <c r="AM63" s="36"/>
      <c r="AN63" s="36"/>
      <c r="AO63" s="36"/>
      <c r="AP63" s="35"/>
      <c r="AQ63" s="35"/>
      <c r="AR63" s="37" t="str">
        <f aca="false">IF(A63="","",COUNTIF(MDT!$B$5:$B$104,A63))</f>
        <v/>
      </c>
      <c r="AS63" s="37" t="str">
        <f aca="false">IF(A63="","",COUNTIFS(MDT!$B$5:$B$104,A63,MDT!$E$5:$E$104,"נדחה — מידע חסר"))</f>
        <v/>
      </c>
      <c r="AT63" s="36"/>
      <c r="AU63" s="35"/>
      <c r="AV63" s="33" t="str">
        <f aca="false">IF(OR(X63="",Z63=""),"",Z63-X63)</f>
        <v/>
      </c>
      <c r="AW63" s="37" t="str">
        <f aca="false">IF(OR(Z63="",AC63=""),"",AC63-Z63)</f>
        <v/>
      </c>
      <c r="AX63" s="37" t="str">
        <f aca="false">IF(OR(AD63="",AI63=""),"",AI63-AD63)</f>
        <v/>
      </c>
      <c r="AY63" s="37" t="str">
        <f aca="false">IF(OR(Z63="",AI63=""),"",AI63-Z63)</f>
        <v/>
      </c>
      <c r="AZ63" s="38" t="str">
        <f aca="false">IF(AY63="","",IF(AY63&lt;=30,1,0))</f>
        <v/>
      </c>
      <c r="BA63" s="38" t="str">
        <f aca="false">IF(AY63="","",IF(AY63&gt;60,1,0))</f>
        <v/>
      </c>
      <c r="BB63" s="38" t="str">
        <f aca="false">IF(AY63="","",IF(AY63&gt;67,1,0))</f>
        <v/>
      </c>
      <c r="BC63" s="38" t="str">
        <f aca="false">IF(OR(AJ63&lt;&gt;"ניתוח",AX63=""),"",IF(AX63&lt;=30,1,0))</f>
        <v/>
      </c>
      <c r="BD63" s="37" t="str">
        <f aca="false">IF(OR(AG63="",AI63="",AJ63&lt;&gt;"ניתוח"),"",AI63-AG63)</f>
        <v/>
      </c>
      <c r="BE63" s="33" t="str">
        <f aca="false">IF(OR(AH63="",AI63="",AND(AJ63&lt;&gt;"הקרנות",AJ63&lt;&gt;"כימו-הקרנות")),"",AI63-AH63)</f>
        <v/>
      </c>
      <c r="BF63" s="37" t="str">
        <f aca="false">IF(OR(AJ63&lt;&gt;"ניתוח",AI63="",AN63=""),"",AN63-AI63)</f>
        <v/>
      </c>
      <c r="BG63" s="37" t="str">
        <f aca="false">IF(OR(AJ63&lt;&gt;"ניתוח",AI63="",AO63=""),"",AO63-AI63)</f>
        <v/>
      </c>
      <c r="BH63" s="38" t="str">
        <f aca="false">IF(BG63="","",IF(BG63&lt;=42,1,0))</f>
        <v/>
      </c>
      <c r="BI63" s="35"/>
    </row>
    <row r="64" customFormat="false" ht="15" hidden="false" customHeight="true" outlineLevel="0" collapsed="false">
      <c r="A64" s="33" t="str">
        <f aca="false">IF(OR(B64="",C64="",D64="",Z64=""),"","HIS-"&amp;RIGHT(YEAR(Z64),2)&amp;"-"&amp;TEXT(B64,"000")&amp;"-"&amp;C64&amp;"-"&amp;D64&amp;"-"&amp;TEXT(MONTH(Z64),"00"))</f>
        <v/>
      </c>
      <c r="B64" s="34" t="n">
        <v>59</v>
      </c>
      <c r="C64" s="35"/>
      <c r="D64" s="35"/>
      <c r="E64" s="39" t="s">
        <v>275</v>
      </c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6"/>
      <c r="Y64" s="36"/>
      <c r="Z64" s="36"/>
      <c r="AA64" s="36"/>
      <c r="AB64" s="36"/>
      <c r="AC64" s="36"/>
      <c r="AD64" s="36"/>
      <c r="AE64" s="35"/>
      <c r="AF64" s="35"/>
      <c r="AG64" s="36"/>
      <c r="AH64" s="36"/>
      <c r="AI64" s="36"/>
      <c r="AJ64" s="35"/>
      <c r="AK64" s="35"/>
      <c r="AL64" s="35"/>
      <c r="AM64" s="36"/>
      <c r="AN64" s="36"/>
      <c r="AO64" s="36"/>
      <c r="AP64" s="35"/>
      <c r="AQ64" s="35"/>
      <c r="AR64" s="37" t="str">
        <f aca="false">IF(A64="","",COUNTIF(MDT!$B$5:$B$104,A64))</f>
        <v/>
      </c>
      <c r="AS64" s="37" t="str">
        <f aca="false">IF(A64="","",COUNTIFS(MDT!$B$5:$B$104,A64,MDT!$E$5:$E$104,"נדחה — מידע חסר"))</f>
        <v/>
      </c>
      <c r="AT64" s="36"/>
      <c r="AU64" s="35"/>
      <c r="AV64" s="33" t="str">
        <f aca="false">IF(OR(X64="",Z64=""),"",Z64-X64)</f>
        <v/>
      </c>
      <c r="AW64" s="37" t="str">
        <f aca="false">IF(OR(Z64="",AC64=""),"",AC64-Z64)</f>
        <v/>
      </c>
      <c r="AX64" s="37" t="str">
        <f aca="false">IF(OR(AD64="",AI64=""),"",AI64-AD64)</f>
        <v/>
      </c>
      <c r="AY64" s="37" t="str">
        <f aca="false">IF(OR(Z64="",AI64=""),"",AI64-Z64)</f>
        <v/>
      </c>
      <c r="AZ64" s="38" t="str">
        <f aca="false">IF(AY64="","",IF(AY64&lt;=30,1,0))</f>
        <v/>
      </c>
      <c r="BA64" s="38" t="str">
        <f aca="false">IF(AY64="","",IF(AY64&gt;60,1,0))</f>
        <v/>
      </c>
      <c r="BB64" s="38" t="str">
        <f aca="false">IF(AY64="","",IF(AY64&gt;67,1,0))</f>
        <v/>
      </c>
      <c r="BC64" s="38" t="str">
        <f aca="false">IF(OR(AJ64&lt;&gt;"ניתוח",AX64=""),"",IF(AX64&lt;=30,1,0))</f>
        <v/>
      </c>
      <c r="BD64" s="37" t="str">
        <f aca="false">IF(OR(AG64="",AI64="",AJ64&lt;&gt;"ניתוח"),"",AI64-AG64)</f>
        <v/>
      </c>
      <c r="BE64" s="33" t="str">
        <f aca="false">IF(OR(AH64="",AI64="",AND(AJ64&lt;&gt;"הקרנות",AJ64&lt;&gt;"כימו-הקרנות")),"",AI64-AH64)</f>
        <v/>
      </c>
      <c r="BF64" s="37" t="str">
        <f aca="false">IF(OR(AJ64&lt;&gt;"ניתוח",AI64="",AN64=""),"",AN64-AI64)</f>
        <v/>
      </c>
      <c r="BG64" s="37" t="str">
        <f aca="false">IF(OR(AJ64&lt;&gt;"ניתוח",AI64="",AO64=""),"",AO64-AI64)</f>
        <v/>
      </c>
      <c r="BH64" s="38" t="str">
        <f aca="false">IF(BG64="","",IF(BG64&lt;=42,1,0))</f>
        <v/>
      </c>
      <c r="BI64" s="35"/>
    </row>
    <row r="65" customFormat="false" ht="15" hidden="false" customHeight="true" outlineLevel="0" collapsed="false">
      <c r="A65" s="33" t="str">
        <f aca="false">IF(OR(B65="",C65="",D65="",Z65=""),"","HIS-"&amp;RIGHT(YEAR(Z65),2)&amp;"-"&amp;TEXT(B65,"000")&amp;"-"&amp;C65&amp;"-"&amp;D65&amp;"-"&amp;TEXT(MONTH(Z65),"00"))</f>
        <v/>
      </c>
      <c r="B65" s="34" t="n">
        <v>60</v>
      </c>
      <c r="C65" s="35"/>
      <c r="D65" s="35"/>
      <c r="E65" s="39" t="s">
        <v>275</v>
      </c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6"/>
      <c r="Y65" s="36"/>
      <c r="Z65" s="36"/>
      <c r="AA65" s="36"/>
      <c r="AB65" s="36"/>
      <c r="AC65" s="36"/>
      <c r="AD65" s="36"/>
      <c r="AE65" s="35"/>
      <c r="AF65" s="35"/>
      <c r="AG65" s="36"/>
      <c r="AH65" s="36"/>
      <c r="AI65" s="36"/>
      <c r="AJ65" s="35"/>
      <c r="AK65" s="35"/>
      <c r="AL65" s="35"/>
      <c r="AM65" s="36"/>
      <c r="AN65" s="36"/>
      <c r="AO65" s="36"/>
      <c r="AP65" s="35"/>
      <c r="AQ65" s="35"/>
      <c r="AR65" s="37" t="str">
        <f aca="false">IF(A65="","",COUNTIF(MDT!$B$5:$B$104,A65))</f>
        <v/>
      </c>
      <c r="AS65" s="37" t="str">
        <f aca="false">IF(A65="","",COUNTIFS(MDT!$B$5:$B$104,A65,MDT!$E$5:$E$104,"נדחה — מידע חסר"))</f>
        <v/>
      </c>
      <c r="AT65" s="36"/>
      <c r="AU65" s="35"/>
      <c r="AV65" s="33" t="str">
        <f aca="false">IF(OR(X65="",Z65=""),"",Z65-X65)</f>
        <v/>
      </c>
      <c r="AW65" s="37" t="str">
        <f aca="false">IF(OR(Z65="",AC65=""),"",AC65-Z65)</f>
        <v/>
      </c>
      <c r="AX65" s="37" t="str">
        <f aca="false">IF(OR(AD65="",AI65=""),"",AI65-AD65)</f>
        <v/>
      </c>
      <c r="AY65" s="37" t="str">
        <f aca="false">IF(OR(Z65="",AI65=""),"",AI65-Z65)</f>
        <v/>
      </c>
      <c r="AZ65" s="38" t="str">
        <f aca="false">IF(AY65="","",IF(AY65&lt;=30,1,0))</f>
        <v/>
      </c>
      <c r="BA65" s="38" t="str">
        <f aca="false">IF(AY65="","",IF(AY65&gt;60,1,0))</f>
        <v/>
      </c>
      <c r="BB65" s="38" t="str">
        <f aca="false">IF(AY65="","",IF(AY65&gt;67,1,0))</f>
        <v/>
      </c>
      <c r="BC65" s="38" t="str">
        <f aca="false">IF(OR(AJ65&lt;&gt;"ניתוח",AX65=""),"",IF(AX65&lt;=30,1,0))</f>
        <v/>
      </c>
      <c r="BD65" s="37" t="str">
        <f aca="false">IF(OR(AG65="",AI65="",AJ65&lt;&gt;"ניתוח"),"",AI65-AG65)</f>
        <v/>
      </c>
      <c r="BE65" s="33" t="str">
        <f aca="false">IF(OR(AH65="",AI65="",AND(AJ65&lt;&gt;"הקרנות",AJ65&lt;&gt;"כימו-הקרנות")),"",AI65-AH65)</f>
        <v/>
      </c>
      <c r="BF65" s="37" t="str">
        <f aca="false">IF(OR(AJ65&lt;&gt;"ניתוח",AI65="",AN65=""),"",AN65-AI65)</f>
        <v/>
      </c>
      <c r="BG65" s="37" t="str">
        <f aca="false">IF(OR(AJ65&lt;&gt;"ניתוח",AI65="",AO65=""),"",AO65-AI65)</f>
        <v/>
      </c>
      <c r="BH65" s="38" t="str">
        <f aca="false">IF(BG65="","",IF(BG65&lt;=42,1,0))</f>
        <v/>
      </c>
      <c r="BI65" s="35"/>
    </row>
  </sheetData>
  <conditionalFormatting sqref="AV5:AV65">
    <cfRule type="expression" priority="2" aboveAverage="0" equalAverage="0" bottom="0" percent="0" rank="0" text="" dxfId="0">
      <formula>AND(ISNUMBER(AV5),AV5&lt;0)</formula>
    </cfRule>
  </conditionalFormatting>
  <conditionalFormatting sqref="AW5:AW65">
    <cfRule type="expression" priority="3" aboveAverage="0" equalAverage="0" bottom="0" percent="0" rank="0" text="" dxfId="0">
      <formula>AND(ISNUMBER(AW5),AW5&lt;0)</formula>
    </cfRule>
  </conditionalFormatting>
  <conditionalFormatting sqref="AX5:AX65">
    <cfRule type="expression" priority="4" aboveAverage="0" equalAverage="0" bottom="0" percent="0" rank="0" text="" dxfId="0">
      <formula>AND(ISNUMBER(AX5),AX5&lt;0)</formula>
    </cfRule>
  </conditionalFormatting>
  <conditionalFormatting sqref="AY5:AY65">
    <cfRule type="expression" priority="5" aboveAverage="0" equalAverage="0" bottom="0" percent="0" rank="0" text="" dxfId="0">
      <formula>AND(ISNUMBER(AY5),AY5&lt;0)</formula>
    </cfRule>
  </conditionalFormatting>
  <conditionalFormatting sqref="BD5:BD65">
    <cfRule type="expression" priority="6" aboveAverage="0" equalAverage="0" bottom="0" percent="0" rank="0" text="" dxfId="0">
      <formula>AND(ISNUMBER(BD5),BD5&lt;0)</formula>
    </cfRule>
  </conditionalFormatting>
  <conditionalFormatting sqref="BE5:BE65">
    <cfRule type="expression" priority="7" aboveAverage="0" equalAverage="0" bottom="0" percent="0" rank="0" text="" dxfId="0">
      <formula>AND(ISNUMBER(BE5),BE5&lt;0)</formula>
    </cfRule>
  </conditionalFormatting>
  <conditionalFormatting sqref="BF5:BF65">
    <cfRule type="expression" priority="8" aboveAverage="0" equalAverage="0" bottom="0" percent="0" rank="0" text="" dxfId="0">
      <formula>AND(ISNUMBER(BF5),BF5&lt;0)</formula>
    </cfRule>
  </conditionalFormatting>
  <conditionalFormatting sqref="BG5:BG65">
    <cfRule type="expression" priority="9" aboveAverage="0" equalAverage="0" bottom="0" percent="0" rank="0" text="" dxfId="0">
      <formula>AND(ISNUMBER(BG5),BG5&lt;0)</formula>
    </cfRule>
  </conditionalFormatting>
  <conditionalFormatting sqref="A6:A65">
    <cfRule type="expression" priority="10" aboveAverage="0" equalAverage="0" bottom="0" percent="0" rank="0" text="" dxfId="0">
      <formula>AND(A6&lt;&gt;"",COUNTIF($A$6:$A$65,A6)&gt;1)</formula>
    </cfRule>
  </conditionalFormatting>
  <dataValidations count="42">
    <dataValidation allowBlank="true" error="מספר שלם בין 18 ל-110" errorStyle="stop" operator="between" showDropDown="false" showErrorMessage="true" showInputMessage="false" sqref="G5:G65" type="whole">
      <formula1>18</formula1>
      <formula2>110</formula2>
    </dataValidation>
    <dataValidation allowBlank="true" error="מספר שלם בין 0 ל-200" errorStyle="stop" operator="between" showDropDown="false" showErrorMessage="true" showInputMessage="false" sqref="K5:K65" type="whole">
      <formula1>0</formula1>
      <formula2>200</formula2>
    </dataValidation>
    <dataValidation allowBlank="true" error="בחר ערך מהרשימה" errorStyle="stop" errorTitle="ערך לא תקין" operator="between" showDropDown="false" showErrorMessage="true" showInputMessage="false" sqref="C5:C65" type="list">
      <formula1>L_site</formula1>
      <formula2>0</formula2>
    </dataValidation>
    <dataValidation allowBlank="true" error="בחר ערך מהרשימה" errorStyle="stop" errorTitle="ערך לא תקין" operator="between" showDropDown="false" showErrorMessage="true" showInputMessage="false" sqref="D5:D65" type="list">
      <formula1>L_side</formula1>
      <formula2>0</formula2>
    </dataValidation>
    <dataValidation allowBlank="true" error="בחר ערך מהרשימה" errorStyle="stop" errorTitle="ערך לא תקין" operator="between" showDropDown="false" showErrorMessage="true" showInputMessage="false" sqref="F5:F65" type="list">
      <formula1>L_status</formula1>
      <formula2>0</formula2>
    </dataValidation>
    <dataValidation allowBlank="true" error="בחר ערך מהרשימה" errorStyle="stop" errorTitle="ערך לא תקין" operator="between" showDropDown="false" showErrorMessage="true" showInputMessage="false" sqref="H5:H65" type="list">
      <formula1>L_sex</formula1>
      <formula2>0</formula2>
    </dataValidation>
    <dataValidation allowBlank="true" error="בחר ערך מהרשימה" errorStyle="stop" errorTitle="ערך לא תקין" operator="between" showDropDown="false" showErrorMessage="true" showInputMessage="false" sqref="I5:I65" type="list">
      <formula1>L_ecog</formula1>
      <formula2>0</formula2>
    </dataValidation>
    <dataValidation allowBlank="true" error="בחר ערך מהרשימה" errorStyle="stop" errorTitle="ערך לא תקין" operator="between" showDropDown="false" showErrorMessage="true" showInputMessage="false" sqref="J5:J65" type="list">
      <formula1>L_smoke</formula1>
      <formula2>0</formula2>
    </dataValidation>
    <dataValidation allowBlank="true" error="בחר ערך מהרשימה" errorStyle="stop" errorTitle="ערך לא תקין" operator="between" showDropDown="false" showErrorMessage="true" showInputMessage="false" sqref="L5:L65" type="list">
      <formula1>L_alc</formula1>
      <formula2>0</formula2>
    </dataValidation>
    <dataValidation allowBlank="true" error="בחר ערך מהרשימה" errorStyle="stop" errorTitle="ערך לא תקין" operator="between" showDropDown="false" showErrorMessage="true" showInputMessage="false" sqref="M5:M65" type="list">
      <formula1>L_ace</formula1>
      <formula2>0</formula2>
    </dataValidation>
    <dataValidation allowBlank="true" error="בחר ערך מהרשימה" errorStyle="stop" errorTitle="ערך לא תקין" operator="between" showDropDown="false" showErrorMessage="true" showInputMessage="false" sqref="N5:N65" type="list">
      <formula1>L_dist</formula1>
      <formula2>0</formula2>
    </dataValidation>
    <dataValidation allowBlank="true" error="בחר ערך מהרשימה" errorStyle="stop" errorTitle="ערך לא תקין" operator="between" showDropDown="false" showErrorMessage="true" showInputMessage="false" sqref="O5:O65" type="list">
      <formula1>L_hist</formula1>
      <formula2>0</formula2>
    </dataValidation>
    <dataValidation allowBlank="true" error="בחר ערך מהרשימה" errorStyle="stop" errorTitle="ערך לא תקין" operator="between" showDropDown="false" showErrorMessage="true" showInputMessage="false" sqref="P5:P65" type="list">
      <formula1>L_T</formula1>
      <formula2>0</formula2>
    </dataValidation>
    <dataValidation allowBlank="true" error="בחר ערך מהרשימה" errorStyle="stop" errorTitle="ערך לא תקין" operator="between" showDropDown="false" showErrorMessage="true" showInputMessage="false" sqref="Q5:Q65" type="list">
      <formula1>L_N</formula1>
      <formula2>0</formula2>
    </dataValidation>
    <dataValidation allowBlank="true" error="בחר ערך מהרשימה" errorStyle="stop" errorTitle="ערך לא תקין" operator="between" showDropDown="false" showErrorMessage="true" showInputMessage="false" sqref="R5:R65" type="list">
      <formula1>L_M</formula1>
      <formula2>0</formula2>
    </dataValidation>
    <dataValidation allowBlank="true" error="בחר ערך מהרשימה" errorStyle="stop" errorTitle="ערך לא תקין" operator="between" showDropDown="false" showErrorMessage="true" showInputMessage="false" sqref="S5:S65" type="list">
      <formula1>L_stage</formula1>
      <formula2>0</formula2>
    </dataValidation>
    <dataValidation allowBlank="true" error="בחר ערך מהרשימה" errorStyle="stop" errorTitle="ערך לא תקין" operator="between" showDropDown="false" showErrorMessage="true" showInputMessage="false" sqref="T5:T65" type="list">
      <formula1>L_marker</formula1>
      <formula2>0</formula2>
    </dataValidation>
    <dataValidation allowBlank="true" error="בחר ערך מהרשימה" errorStyle="stop" errorTitle="ערך לא תקין" operator="between" showDropDown="false" showErrorMessage="true" showInputMessage="false" sqref="U5:U65" type="list">
      <formula1>L_marker</formula1>
      <formula2>0</formula2>
    </dataValidation>
    <dataValidation allowBlank="true" error="בחר ערך מהרשימה" errorStyle="stop" errorTitle="ערך לא תקין" operator="between" showDropDown="false" showErrorMessage="true" showInputMessage="false" sqref="V5:V65" type="list">
      <formula1>L_T</formula1>
      <formula2>0</formula2>
    </dataValidation>
    <dataValidation allowBlank="true" error="בחר ערך מהרשימה" errorStyle="stop" errorTitle="ערך לא תקין" operator="between" showDropDown="false" showErrorMessage="true" showInputMessage="false" sqref="W5:W65" type="list">
      <formula1>L_N</formula1>
      <formula2>0</formula2>
    </dataValidation>
    <dataValidation allowBlank="true" error="תאריך בפורמט dd/mm/yyyy, בין 2020 ל-2030" errorStyle="stop" operator="between" showDropDown="false" showErrorMessage="true" showInputMessage="false" sqref="X5:X65" type="date">
      <formula1>DATE(2020,1,1)</formula1>
      <formula2>DATE(2030,12,31)</formula2>
    </dataValidation>
    <dataValidation allowBlank="true" error="תאריך בפורמט dd/mm/yyyy, בין 2020 ל-2030" errorStyle="stop" operator="between" showDropDown="false" showErrorMessage="true" showInputMessage="false" sqref="Y5:Y65" type="date">
      <formula1>DATE(2020,1,1)</formula1>
      <formula2>DATE(2030,12,31)</formula2>
    </dataValidation>
    <dataValidation allowBlank="true" error="תאריך בפורמט dd/mm/yyyy, בין 2020 ל-2030" errorStyle="stop" operator="between" showDropDown="false" showErrorMessage="true" showInputMessage="false" sqref="Z5:Z65" type="date">
      <formula1>DATE(2020,1,1)</formula1>
      <formula2>DATE(2030,12,31)</formula2>
    </dataValidation>
    <dataValidation allowBlank="true" error="תאריך בפורמט dd/mm/yyyy, בין 2020 ל-2030" errorStyle="stop" operator="between" showDropDown="false" showErrorMessage="true" showInputMessage="false" sqref="AA5:AA65" type="date">
      <formula1>DATE(2020,1,1)</formula1>
      <formula2>DATE(2030,12,31)</formula2>
    </dataValidation>
    <dataValidation allowBlank="true" error="תאריך בפורמט dd/mm/yyyy, בין 2020 ל-2030" errorStyle="stop" operator="between" showDropDown="false" showErrorMessage="true" showInputMessage="false" sqref="AB5:AB65" type="date">
      <formula1>DATE(2020,1,1)</formula1>
      <formula2>DATE(2030,12,31)</formula2>
    </dataValidation>
    <dataValidation allowBlank="true" error="תאריך בפורמט dd/mm/yyyy, בין 2020 ל-2030" errorStyle="stop" operator="between" showDropDown="false" showErrorMessage="true" showInputMessage="false" sqref="AC5:AC65" type="date">
      <formula1>DATE(2020,1,1)</formula1>
      <formula2>DATE(2030,12,31)</formula2>
    </dataValidation>
    <dataValidation allowBlank="true" error="תאריך בפורמט dd/mm/yyyy, בין 2020 ל-2030" errorStyle="stop" operator="between" showDropDown="false" showErrorMessage="true" showInputMessage="false" sqref="AD5:AD65" type="date">
      <formula1>DATE(2020,1,1)</formula1>
      <formula2>DATE(2030,12,31)</formula2>
    </dataValidation>
    <dataValidation allowBlank="true" error="בחר ערך מהרשימה" errorStyle="stop" errorTitle="ערך לא תקין" operator="between" showDropDown="false" showErrorMessage="true" showInputMessage="false" sqref="AE5:AE65" type="list">
      <formula1>L_mod</formula1>
      <formula2>0</formula2>
    </dataValidation>
    <dataValidation allowBlank="true" error="בחר ערך מהרשימה" errorStyle="stop" errorTitle="ערך לא תקין" operator="between" showDropDown="false" showErrorMessage="true" showInputMessage="false" sqref="AF5:AF65" type="list">
      <formula1>L_txsite</formula1>
      <formula2>0</formula2>
    </dataValidation>
    <dataValidation allowBlank="true" error="תאריך בפורמט dd/mm/yyyy, בין 2020 ל-2030" errorStyle="stop" operator="between" showDropDown="false" showErrorMessage="true" showInputMessage="false" sqref="AG5:AG65" type="date">
      <formula1>DATE(2020,1,1)</formula1>
      <formula2>DATE(2030,12,31)</formula2>
    </dataValidation>
    <dataValidation allowBlank="true" error="תאריך בפורמט dd/mm/yyyy, בין 2020 ל-2030" errorStyle="stop" operator="between" showDropDown="false" showErrorMessage="true" showInputMessage="false" sqref="AH5:AH65" type="date">
      <formula1>DATE(2020,1,1)</formula1>
      <formula2>DATE(2030,12,31)</formula2>
    </dataValidation>
    <dataValidation allowBlank="true" error="תאריך בפורמט dd/mm/yyyy, בין 2020 ל-2030" errorStyle="stop" operator="between" showDropDown="false" showErrorMessage="true" showInputMessage="false" sqref="AI5:AI65" type="date">
      <formula1>DATE(2020,1,1)</formula1>
      <formula2>DATE(2030,12,31)</formula2>
    </dataValidation>
    <dataValidation allowBlank="true" error="בחר ערך מהרשימה" errorStyle="stop" errorTitle="ערך לא תקין" operator="between" showDropDown="false" showErrorMessage="true" showInputMessage="false" sqref="AJ5:AJ65" type="list">
      <formula1>L_mod</formula1>
      <formula2>0</formula2>
    </dataValidation>
    <dataValidation allowBlank="true" error="בחר ערך מהרשימה" errorStyle="stop" errorTitle="ערך לא תקין" operator="between" showDropDown="false" showErrorMessage="true" showInputMessage="false" sqref="AK5:AK65" type="list">
      <formula1>L_yn</formula1>
      <formula2>0</formula2>
    </dataValidation>
    <dataValidation allowBlank="true" error="בחר ערך מהרשימה" errorStyle="stop" errorTitle="ערך לא תקין" operator="between" showDropDown="false" showErrorMessage="true" showInputMessage="false" sqref="AL5:AL65" type="list">
      <formula1>L_nonconc</formula1>
      <formula2>0</formula2>
    </dataValidation>
    <dataValidation allowBlank="true" error="תאריך בפורמט dd/mm/yyyy, בין 2020 ל-2030" errorStyle="stop" operator="between" showDropDown="false" showErrorMessage="true" showInputMessage="false" sqref="AM5:AM65" type="date">
      <formula1>DATE(2020,1,1)</formula1>
      <formula2>DATE(2030,12,31)</formula2>
    </dataValidation>
    <dataValidation allowBlank="true" error="תאריך בפורמט dd/mm/yyyy, בין 2020 ל-2030" errorStyle="stop" operator="between" showDropDown="false" showErrorMessage="true" showInputMessage="false" sqref="AN5:AN65" type="date">
      <formula1>DATE(2020,1,1)</formula1>
      <formula2>DATE(2030,12,31)</formula2>
    </dataValidation>
    <dataValidation allowBlank="true" error="תאריך בפורמט dd/mm/yyyy, בין 2020 ל-2030" errorStyle="stop" operator="between" showDropDown="false" showErrorMessage="true" showInputMessage="false" sqref="AO5:AO65" type="date">
      <formula1>DATE(2020,1,1)</formula1>
      <formula2>DATE(2030,12,31)</formula2>
    </dataValidation>
    <dataValidation allowBlank="true" error="בחר ערך מהרשימה" errorStyle="stop" errorTitle="ערך לא תקין" operator="between" showDropDown="false" showErrorMessage="true" showInputMessage="false" sqref="AP5:AP65" type="list">
      <formula1>L_yn</formula1>
      <formula2>0</formula2>
    </dataValidation>
    <dataValidation allowBlank="true" error="בחר ערך מהרשימה" errorStyle="stop" errorTitle="ערך לא תקין" operator="between" showDropDown="false" showErrorMessage="true" showInputMessage="false" sqref="AQ5:AQ65" type="list">
      <formula1>L_yn</formula1>
      <formula2>0</formula2>
    </dataValidation>
    <dataValidation allowBlank="true" error="תאריך בפורמט dd/mm/yyyy, בין 2020 ל-2030" errorStyle="stop" operator="between" showDropDown="false" showErrorMessage="true" showInputMessage="false" sqref="AT5:AT65" type="date">
      <formula1>DATE(2020,1,1)</formula1>
      <formula2>DATE(2030,12,31)</formula2>
    </dataValidation>
    <dataValidation allowBlank="true" error="בחר ערך מהרשימה" errorStyle="stop" errorTitle="ערך לא תקין" operator="between" showDropDown="false" showErrorMessage="true" showInputMessage="false" sqref="AU5:AU65" type="list">
      <formula1>L_closer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4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25"/>
    <col collapsed="false" customWidth="true" hidden="false" outlineLevel="0" max="3" min="3" style="1" width="9"/>
    <col collapsed="false" customWidth="true" hidden="false" outlineLevel="0" max="4" min="4" style="1" width="12"/>
    <col collapsed="false" customWidth="true" hidden="false" outlineLevel="0" max="5" min="5" style="1" width="16"/>
    <col collapsed="false" customWidth="true" hidden="false" outlineLevel="0" max="6" min="6" style="1" width="22"/>
    <col collapsed="false" customWidth="true" hidden="false" outlineLevel="0" max="11" min="7" style="1" width="10"/>
    <col collapsed="false" customWidth="true" hidden="false" outlineLevel="0" max="12" min="12" style="1" width="11"/>
  </cols>
  <sheetData>
    <row r="1" customFormat="false" ht="15" hidden="false" customHeight="true" outlineLevel="0" collapsed="false">
      <c r="A1" s="24" t="s">
        <v>318</v>
      </c>
    </row>
    <row r="3" customFormat="false" ht="39.75" hidden="false" customHeight="true" outlineLevel="0" collapsed="false">
      <c r="A3" s="26" t="s">
        <v>319</v>
      </c>
      <c r="B3" s="26" t="s">
        <v>320</v>
      </c>
      <c r="C3" s="26" t="s">
        <v>321</v>
      </c>
      <c r="D3" s="26" t="s">
        <v>322</v>
      </c>
      <c r="E3" s="26" t="s">
        <v>323</v>
      </c>
      <c r="F3" s="26" t="s">
        <v>324</v>
      </c>
      <c r="G3" s="26" t="s">
        <v>325</v>
      </c>
      <c r="H3" s="26" t="s">
        <v>326</v>
      </c>
      <c r="I3" s="26" t="s">
        <v>327</v>
      </c>
      <c r="J3" s="26" t="s">
        <v>328</v>
      </c>
      <c r="K3" s="26" t="s">
        <v>329</v>
      </c>
      <c r="L3" s="26" t="s">
        <v>330</v>
      </c>
    </row>
    <row r="4" customFormat="false" ht="15" hidden="false" customHeight="true" outlineLevel="0" collapsed="false">
      <c r="A4" s="27" t="s">
        <v>331</v>
      </c>
      <c r="B4" s="27" t="s">
        <v>332</v>
      </c>
      <c r="C4" s="27" t="s">
        <v>333</v>
      </c>
      <c r="D4" s="27" t="s">
        <v>334</v>
      </c>
      <c r="E4" s="27" t="s">
        <v>335</v>
      </c>
      <c r="F4" s="27" t="s">
        <v>336</v>
      </c>
      <c r="G4" s="27" t="s">
        <v>337</v>
      </c>
      <c r="H4" s="27" t="s">
        <v>338</v>
      </c>
      <c r="I4" s="27" t="s">
        <v>339</v>
      </c>
      <c r="J4" s="27" t="s">
        <v>340</v>
      </c>
      <c r="K4" s="27" t="s">
        <v>341</v>
      </c>
      <c r="L4" s="27" t="s">
        <v>342</v>
      </c>
    </row>
    <row r="5" customFormat="false" ht="15" hidden="false" customHeight="true" outlineLevel="0" collapsed="false">
      <c r="A5" s="37" t="s">
        <v>343</v>
      </c>
      <c r="B5" s="35" t="s">
        <v>344</v>
      </c>
      <c r="C5" s="37" t="n">
        <f aca="false">IF(B5="","",COUNTIF($B$5:B5,B5))</f>
        <v>1</v>
      </c>
      <c r="D5" s="36" t="n">
        <v>46184</v>
      </c>
      <c r="E5" s="35" t="s">
        <v>345</v>
      </c>
      <c r="F5" s="35"/>
      <c r="G5" s="35"/>
      <c r="H5" s="35"/>
      <c r="I5" s="35"/>
      <c r="J5" s="35"/>
      <c r="K5" s="35"/>
      <c r="L5" s="40" t="str">
        <f aca="false">IF(OR(B5="",COUNTIF(H5:K5,"?*")=0),"",COUNTIF(H5:K5,"כן")/4)</f>
        <v/>
      </c>
    </row>
    <row r="6" customFormat="false" ht="15" hidden="false" customHeight="true" outlineLevel="0" collapsed="false">
      <c r="A6" s="37" t="s">
        <v>346</v>
      </c>
      <c r="B6" s="35" t="s">
        <v>347</v>
      </c>
      <c r="C6" s="37" t="n">
        <f aca="false">IF(B6="","",COUNTIF($B$5:B6,B6))</f>
        <v>1</v>
      </c>
      <c r="D6" s="36" t="n">
        <v>46184</v>
      </c>
      <c r="E6" s="35" t="s">
        <v>345</v>
      </c>
      <c r="F6" s="35"/>
      <c r="G6" s="35"/>
      <c r="H6" s="35"/>
      <c r="I6" s="35"/>
      <c r="J6" s="35"/>
      <c r="K6" s="35"/>
      <c r="L6" s="40" t="str">
        <f aca="false">IF(OR(B6="",COUNTIF(H6:K6,"?*")=0),"",COUNTIF(H6:K6,"כן")/4)</f>
        <v/>
      </c>
    </row>
    <row r="7" customFormat="false" ht="15" hidden="false" customHeight="true" outlineLevel="0" collapsed="false">
      <c r="A7" s="37" t="s">
        <v>348</v>
      </c>
      <c r="B7" s="35" t="s">
        <v>349</v>
      </c>
      <c r="C7" s="37" t="n">
        <f aca="false">IF(B7="","",COUNTIF($B$5:B7,B7))</f>
        <v>1</v>
      </c>
      <c r="D7" s="36" t="n">
        <v>46184</v>
      </c>
      <c r="E7" s="35" t="s">
        <v>345</v>
      </c>
      <c r="F7" s="35"/>
      <c r="G7" s="35"/>
      <c r="H7" s="35"/>
      <c r="I7" s="35"/>
      <c r="J7" s="35"/>
      <c r="K7" s="35"/>
      <c r="L7" s="40" t="str">
        <f aca="false">IF(OR(B7="",COUNTIF(H7:K7,"?*")=0),"",COUNTIF(H7:K7,"כן")/4)</f>
        <v/>
      </c>
    </row>
    <row r="8" customFormat="false" ht="15" hidden="false" customHeight="true" outlineLevel="0" collapsed="false">
      <c r="A8" s="37" t="s">
        <v>350</v>
      </c>
      <c r="B8" s="35" t="s">
        <v>351</v>
      </c>
      <c r="C8" s="37" t="n">
        <f aca="false">IF(B8="","",COUNTIF($B$5:B8,B8))</f>
        <v>1</v>
      </c>
      <c r="D8" s="36" t="n">
        <v>46191</v>
      </c>
      <c r="E8" s="35" t="s">
        <v>345</v>
      </c>
      <c r="F8" s="35"/>
      <c r="G8" s="35"/>
      <c r="H8" s="35"/>
      <c r="I8" s="35"/>
      <c r="J8" s="35"/>
      <c r="K8" s="35"/>
      <c r="L8" s="40" t="str">
        <f aca="false">IF(OR(B8="",COUNTIF(H8:K8,"?*")=0),"",COUNTIF(H8:K8,"כן")/4)</f>
        <v/>
      </c>
    </row>
    <row r="9" customFormat="false" ht="15" hidden="false" customHeight="true" outlineLevel="0" collapsed="false">
      <c r="A9" s="37" t="s">
        <v>352</v>
      </c>
      <c r="B9" s="35" t="s">
        <v>353</v>
      </c>
      <c r="C9" s="37" t="n">
        <f aca="false">IF(B9="","",COUNTIF($B$5:B9,B9))</f>
        <v>1</v>
      </c>
      <c r="D9" s="36" t="n">
        <v>46191</v>
      </c>
      <c r="E9" s="35" t="s">
        <v>345</v>
      </c>
      <c r="F9" s="35"/>
      <c r="G9" s="35"/>
      <c r="H9" s="35"/>
      <c r="I9" s="35"/>
      <c r="J9" s="35"/>
      <c r="K9" s="35"/>
      <c r="L9" s="40" t="str">
        <f aca="false">IF(OR(B9="",COUNTIF(H9:K9,"?*")=0),"",COUNTIF(H9:K9,"כן")/4)</f>
        <v/>
      </c>
    </row>
    <row r="10" customFormat="false" ht="15" hidden="false" customHeight="true" outlineLevel="0" collapsed="false">
      <c r="A10" s="37" t="s">
        <v>354</v>
      </c>
      <c r="B10" s="35" t="s">
        <v>355</v>
      </c>
      <c r="C10" s="37" t="n">
        <f aca="false">IF(B10="","",COUNTIF($B$5:B10,B10))</f>
        <v>1</v>
      </c>
      <c r="D10" s="36" t="n">
        <v>46191</v>
      </c>
      <c r="E10" s="35" t="s">
        <v>345</v>
      </c>
      <c r="F10" s="35"/>
      <c r="G10" s="35"/>
      <c r="H10" s="35"/>
      <c r="I10" s="35"/>
      <c r="J10" s="35"/>
      <c r="K10" s="35"/>
      <c r="L10" s="40" t="str">
        <f aca="false">IF(OR(B10="",COUNTIF(H10:K10,"?*")=0),"",COUNTIF(H10:K10,"כן")/4)</f>
        <v/>
      </c>
    </row>
    <row r="11" customFormat="false" ht="15" hidden="false" customHeight="true" outlineLevel="0" collapsed="false">
      <c r="A11" s="37" t="s">
        <v>356</v>
      </c>
      <c r="B11" s="35" t="s">
        <v>357</v>
      </c>
      <c r="C11" s="37" t="n">
        <f aca="false">IF(B11="","",COUNTIF($B$5:B11,B11))</f>
        <v>1</v>
      </c>
      <c r="D11" s="36" t="n">
        <v>46191</v>
      </c>
      <c r="E11" s="35" t="s">
        <v>345</v>
      </c>
      <c r="F11" s="35"/>
      <c r="G11" s="35"/>
      <c r="H11" s="35"/>
      <c r="I11" s="35"/>
      <c r="J11" s="35"/>
      <c r="K11" s="35"/>
      <c r="L11" s="40" t="str">
        <f aca="false">IF(OR(B11="",COUNTIF(H11:K11,"?*")=0),"",COUNTIF(H11:K11,"כן")/4)</f>
        <v/>
      </c>
    </row>
    <row r="12" customFormat="false" ht="15" hidden="false" customHeight="true" outlineLevel="0" collapsed="false">
      <c r="A12" s="37" t="s">
        <v>358</v>
      </c>
      <c r="B12" s="35" t="s">
        <v>359</v>
      </c>
      <c r="C12" s="37" t="n">
        <f aca="false">IF(B12="","",COUNTIF($B$5:B12,B12))</f>
        <v>1</v>
      </c>
      <c r="D12" s="36" t="n">
        <v>46191</v>
      </c>
      <c r="E12" s="35" t="s">
        <v>345</v>
      </c>
      <c r="F12" s="35"/>
      <c r="G12" s="35"/>
      <c r="H12" s="35"/>
      <c r="I12" s="35"/>
      <c r="J12" s="35"/>
      <c r="K12" s="35"/>
      <c r="L12" s="40" t="str">
        <f aca="false">IF(OR(B12="",COUNTIF(H12:K12,"?*")=0),"",COUNTIF(H12:K12,"כן")/4)</f>
        <v/>
      </c>
    </row>
    <row r="13" customFormat="false" ht="15" hidden="false" customHeight="true" outlineLevel="0" collapsed="false">
      <c r="A13" s="37" t="s">
        <v>360</v>
      </c>
      <c r="B13" s="35" t="s">
        <v>361</v>
      </c>
      <c r="C13" s="37" t="n">
        <f aca="false">IF(B13="","",COUNTIF($B$5:B13,B13))</f>
        <v>1</v>
      </c>
      <c r="D13" s="36" t="n">
        <v>46198</v>
      </c>
      <c r="E13" s="35" t="s">
        <v>362</v>
      </c>
      <c r="F13" s="35"/>
      <c r="G13" s="35"/>
      <c r="H13" s="35"/>
      <c r="I13" s="35"/>
      <c r="J13" s="35"/>
      <c r="K13" s="35"/>
      <c r="L13" s="40" t="str">
        <f aca="false">IF(OR(B13="",COUNTIF(H13:K13,"?*")=0),"",COUNTIF(H13:K13,"כן")/4)</f>
        <v/>
      </c>
    </row>
    <row r="14" customFormat="false" ht="15" hidden="false" customHeight="true" outlineLevel="0" collapsed="false">
      <c r="A14" s="37" t="s">
        <v>363</v>
      </c>
      <c r="B14" s="35" t="s">
        <v>364</v>
      </c>
      <c r="C14" s="37" t="n">
        <f aca="false">IF(B14="","",COUNTIF($B$5:B14,B14))</f>
        <v>1</v>
      </c>
      <c r="D14" s="36" t="n">
        <v>46198</v>
      </c>
      <c r="E14" s="35" t="s">
        <v>362</v>
      </c>
      <c r="F14" s="35"/>
      <c r="G14" s="35"/>
      <c r="H14" s="35"/>
      <c r="I14" s="35"/>
      <c r="J14" s="35"/>
      <c r="K14" s="35"/>
      <c r="L14" s="40" t="str">
        <f aca="false">IF(OR(B14="",COUNTIF(H14:K14,"?*")=0),"",COUNTIF(H14:K14,"כן")/4)</f>
        <v/>
      </c>
    </row>
    <row r="15" customFormat="false" ht="15" hidden="false" customHeight="true" outlineLevel="0" collapsed="false">
      <c r="A15" s="37" t="s">
        <v>365</v>
      </c>
      <c r="B15" s="35" t="s">
        <v>366</v>
      </c>
      <c r="C15" s="37" t="n">
        <f aca="false">IF(B15="","",COUNTIF($B$5:B15,B15))</f>
        <v>1</v>
      </c>
      <c r="D15" s="36" t="n">
        <v>46198</v>
      </c>
      <c r="E15" s="35" t="s">
        <v>345</v>
      </c>
      <c r="F15" s="35"/>
      <c r="G15" s="35"/>
      <c r="H15" s="35"/>
      <c r="I15" s="35"/>
      <c r="J15" s="35"/>
      <c r="K15" s="35"/>
      <c r="L15" s="40" t="str">
        <f aca="false">IF(OR(B15="",COUNTIF(H15:K15,"?*")=0),"",COUNTIF(H15:K15,"כן")/4)</f>
        <v/>
      </c>
    </row>
    <row r="16" customFormat="false" ht="15" hidden="false" customHeight="true" outlineLevel="0" collapsed="false">
      <c r="A16" s="37" t="s">
        <v>367</v>
      </c>
      <c r="B16" s="35" t="s">
        <v>368</v>
      </c>
      <c r="C16" s="37" t="n">
        <f aca="false">IF(B16="","",COUNTIF($B$5:B16,B16))</f>
        <v>1</v>
      </c>
      <c r="D16" s="36" t="n">
        <v>46198</v>
      </c>
      <c r="E16" s="35" t="s">
        <v>362</v>
      </c>
      <c r="F16" s="35"/>
      <c r="G16" s="35"/>
      <c r="H16" s="35"/>
      <c r="I16" s="35"/>
      <c r="J16" s="35"/>
      <c r="K16" s="35"/>
      <c r="L16" s="40" t="str">
        <f aca="false">IF(OR(B16="",COUNTIF(H16:K16,"?*")=0),"",COUNTIF(H16:K16,"כן")/4)</f>
        <v/>
      </c>
    </row>
    <row r="17" customFormat="false" ht="15" hidden="false" customHeight="true" outlineLevel="0" collapsed="false">
      <c r="A17" s="37" t="s">
        <v>369</v>
      </c>
      <c r="B17" s="35" t="s">
        <v>370</v>
      </c>
      <c r="C17" s="37" t="n">
        <f aca="false">IF(B17="","",COUNTIF($B$5:B17,B17))</f>
        <v>1</v>
      </c>
      <c r="D17" s="36" t="n">
        <v>46198</v>
      </c>
      <c r="E17" s="35" t="s">
        <v>345</v>
      </c>
      <c r="F17" s="35"/>
      <c r="G17" s="35"/>
      <c r="H17" s="35"/>
      <c r="I17" s="35"/>
      <c r="J17" s="35"/>
      <c r="K17" s="35"/>
      <c r="L17" s="40" t="str">
        <f aca="false">IF(OR(B17="",COUNTIF(H17:K17,"?*")=0),"",COUNTIF(H17:K17,"כן")/4)</f>
        <v/>
      </c>
    </row>
    <row r="18" customFormat="false" ht="15" hidden="false" customHeight="true" outlineLevel="0" collapsed="false">
      <c r="A18" s="37" t="s">
        <v>371</v>
      </c>
      <c r="B18" s="35" t="s">
        <v>372</v>
      </c>
      <c r="C18" s="37" t="n">
        <f aca="false">IF(B18="","",COUNTIF($B$5:B18,B18))</f>
        <v>1</v>
      </c>
      <c r="D18" s="36" t="n">
        <v>46198</v>
      </c>
      <c r="E18" s="35" t="s">
        <v>345</v>
      </c>
      <c r="F18" s="35"/>
      <c r="G18" s="35"/>
      <c r="H18" s="35"/>
      <c r="I18" s="35"/>
      <c r="J18" s="35"/>
      <c r="K18" s="35"/>
      <c r="L18" s="40" t="str">
        <f aca="false">IF(OR(B18="",COUNTIF(H18:K18,"?*")=0),"",COUNTIF(H18:K18,"כן")/4)</f>
        <v/>
      </c>
    </row>
    <row r="19" customFormat="false" ht="15" hidden="false" customHeight="true" outlineLevel="0" collapsed="false">
      <c r="A19" s="37" t="s">
        <v>373</v>
      </c>
      <c r="B19" s="35" t="s">
        <v>361</v>
      </c>
      <c r="C19" s="37" t="n">
        <f aca="false">IF(B19="","",COUNTIF($B$5:B19,B19))</f>
        <v>2</v>
      </c>
      <c r="D19" s="36" t="n">
        <v>46205</v>
      </c>
      <c r="E19" s="35" t="s">
        <v>345</v>
      </c>
      <c r="F19" s="35"/>
      <c r="G19" s="35"/>
      <c r="H19" s="35"/>
      <c r="I19" s="35"/>
      <c r="J19" s="35"/>
      <c r="K19" s="35"/>
      <c r="L19" s="40" t="str">
        <f aca="false">IF(OR(B19="",COUNTIF(H19:K19,"?*")=0),"",COUNTIF(H19:K19,"כן")/4)</f>
        <v/>
      </c>
    </row>
    <row r="20" customFormat="false" ht="15" hidden="false" customHeight="true" outlineLevel="0" collapsed="false">
      <c r="A20" s="37" t="s">
        <v>374</v>
      </c>
      <c r="B20" s="35" t="s">
        <v>364</v>
      </c>
      <c r="C20" s="37" t="n">
        <f aca="false">IF(B20="","",COUNTIF($B$5:B20,B20))</f>
        <v>2</v>
      </c>
      <c r="D20" s="36" t="n">
        <v>46205</v>
      </c>
      <c r="E20" s="35" t="s">
        <v>345</v>
      </c>
      <c r="F20" s="35"/>
      <c r="G20" s="35"/>
      <c r="H20" s="35"/>
      <c r="I20" s="35"/>
      <c r="J20" s="35"/>
      <c r="K20" s="35"/>
      <c r="L20" s="40" t="str">
        <f aca="false">IF(OR(B20="",COUNTIF(H20:K20,"?*")=0),"",COUNTIF(H20:K20,"כן")/4)</f>
        <v/>
      </c>
    </row>
    <row r="21" customFormat="false" ht="15" hidden="false" customHeight="true" outlineLevel="0" collapsed="false">
      <c r="A21" s="37" t="s">
        <v>375</v>
      </c>
      <c r="B21" s="35" t="s">
        <v>376</v>
      </c>
      <c r="C21" s="37" t="n">
        <f aca="false">IF(B21="","",COUNTIF($B$5:B21,B21))</f>
        <v>1</v>
      </c>
      <c r="D21" s="36" t="n">
        <v>46205</v>
      </c>
      <c r="E21" s="35" t="s">
        <v>345</v>
      </c>
      <c r="F21" s="35"/>
      <c r="G21" s="35"/>
      <c r="H21" s="35"/>
      <c r="I21" s="35"/>
      <c r="J21" s="35"/>
      <c r="K21" s="35"/>
      <c r="L21" s="40" t="str">
        <f aca="false">IF(OR(B21="",COUNTIF(H21:K21,"?*")=0),"",COUNTIF(H21:K21,"כן")/4)</f>
        <v/>
      </c>
    </row>
    <row r="22" customFormat="false" ht="15" hidden="false" customHeight="true" outlineLevel="0" collapsed="false">
      <c r="A22" s="37" t="s">
        <v>377</v>
      </c>
      <c r="B22" s="35" t="s">
        <v>368</v>
      </c>
      <c r="C22" s="37" t="n">
        <f aca="false">IF(B22="","",COUNTIF($B$5:B22,B22))</f>
        <v>2</v>
      </c>
      <c r="D22" s="36" t="n">
        <v>46205</v>
      </c>
      <c r="E22" s="35" t="s">
        <v>345</v>
      </c>
      <c r="F22" s="35"/>
      <c r="G22" s="35"/>
      <c r="H22" s="35"/>
      <c r="I22" s="35"/>
      <c r="J22" s="35"/>
      <c r="K22" s="35"/>
      <c r="L22" s="40" t="str">
        <f aca="false">IF(OR(B22="",COUNTIF(H22:K22,"?*")=0),"",COUNTIF(H22:K22,"כן")/4)</f>
        <v/>
      </c>
    </row>
    <row r="23" customFormat="false" ht="15" hidden="false" customHeight="true" outlineLevel="0" collapsed="false">
      <c r="A23" s="37" t="s">
        <v>378</v>
      </c>
      <c r="B23" s="35" t="s">
        <v>379</v>
      </c>
      <c r="C23" s="37" t="n">
        <f aca="false">IF(B23="","",COUNTIF($B$5:B23,B23))</f>
        <v>1</v>
      </c>
      <c r="D23" s="36" t="n">
        <v>46205</v>
      </c>
      <c r="E23" s="35" t="s">
        <v>345</v>
      </c>
      <c r="F23" s="35"/>
      <c r="G23" s="35"/>
      <c r="H23" s="35"/>
      <c r="I23" s="35"/>
      <c r="J23" s="35"/>
      <c r="K23" s="35"/>
      <c r="L23" s="40" t="str">
        <f aca="false">IF(OR(B23="",COUNTIF(H23:K23,"?*")=0),"",COUNTIF(H23:K23,"כן")/4)</f>
        <v/>
      </c>
    </row>
    <row r="24" customFormat="false" ht="15" hidden="false" customHeight="true" outlineLevel="0" collapsed="false">
      <c r="A24" s="37" t="s">
        <v>380</v>
      </c>
      <c r="B24" s="35" t="s">
        <v>381</v>
      </c>
      <c r="C24" s="37" t="n">
        <f aca="false">IF(B24="","",COUNTIF($B$5:B24,B24))</f>
        <v>1</v>
      </c>
      <c r="D24" s="36" t="n">
        <v>46205</v>
      </c>
      <c r="E24" s="35" t="s">
        <v>345</v>
      </c>
      <c r="F24" s="35"/>
      <c r="G24" s="35"/>
      <c r="H24" s="35"/>
      <c r="I24" s="35"/>
      <c r="J24" s="35"/>
      <c r="K24" s="35"/>
      <c r="L24" s="40" t="str">
        <f aca="false">IF(OR(B24="",COUNTIF(H24:K24,"?*")=0),"",COUNTIF(H24:K24,"כן")/4)</f>
        <v/>
      </c>
    </row>
    <row r="25" customFormat="false" ht="15" hidden="false" customHeight="true" outlineLevel="0" collapsed="false">
      <c r="A25" s="37" t="s">
        <v>382</v>
      </c>
      <c r="B25" s="35" t="s">
        <v>383</v>
      </c>
      <c r="C25" s="37" t="n">
        <f aca="false">IF(B25="","",COUNTIF($B$5:B25,B25))</f>
        <v>1</v>
      </c>
      <c r="D25" s="36" t="n">
        <v>46205</v>
      </c>
      <c r="E25" s="35" t="s">
        <v>345</v>
      </c>
      <c r="F25" s="35"/>
      <c r="G25" s="35"/>
      <c r="H25" s="35"/>
      <c r="I25" s="35"/>
      <c r="J25" s="35"/>
      <c r="K25" s="35"/>
      <c r="L25" s="40" t="str">
        <f aca="false">IF(OR(B25="",COUNTIF(H25:K25,"?*")=0),"",COUNTIF(H25:K25,"כן")/4)</f>
        <v/>
      </c>
    </row>
    <row r="26" customFormat="false" ht="15" hidden="false" customHeight="true" outlineLevel="0" collapsed="false">
      <c r="A26" s="37" t="s">
        <v>384</v>
      </c>
      <c r="B26" s="35" t="s">
        <v>385</v>
      </c>
      <c r="C26" s="37" t="n">
        <f aca="false">IF(B26="","",COUNTIF($B$5:B26,B26))</f>
        <v>1</v>
      </c>
      <c r="D26" s="36" t="n">
        <v>46205</v>
      </c>
      <c r="E26" s="35" t="s">
        <v>345</v>
      </c>
      <c r="F26" s="35"/>
      <c r="G26" s="35"/>
      <c r="H26" s="35"/>
      <c r="I26" s="35"/>
      <c r="J26" s="35"/>
      <c r="K26" s="35"/>
      <c r="L26" s="40" t="str">
        <f aca="false">IF(OR(B26="",COUNTIF(H26:K26,"?*")=0),"",COUNTIF(H26:K26,"כן")/4)</f>
        <v/>
      </c>
    </row>
    <row r="27" customFormat="false" ht="15" hidden="false" customHeight="true" outlineLevel="0" collapsed="false">
      <c r="A27" s="37" t="s">
        <v>386</v>
      </c>
      <c r="B27" s="35" t="s">
        <v>387</v>
      </c>
      <c r="C27" s="37" t="n">
        <f aca="false">IF(B27="","",COUNTIF($B$5:B27,B27))</f>
        <v>1</v>
      </c>
      <c r="D27" s="36" t="n">
        <v>46205</v>
      </c>
      <c r="E27" s="35" t="s">
        <v>345</v>
      </c>
      <c r="F27" s="35"/>
      <c r="G27" s="35"/>
      <c r="H27" s="35"/>
      <c r="I27" s="35"/>
      <c r="J27" s="35"/>
      <c r="K27" s="35"/>
      <c r="L27" s="40" t="str">
        <f aca="false">IF(OR(B27="",COUNTIF(H27:K27,"?*")=0),"",COUNTIF(H27:K27,"כן")/4)</f>
        <v/>
      </c>
    </row>
    <row r="28" customFormat="false" ht="15" hidden="false" customHeight="true" outlineLevel="0" collapsed="false">
      <c r="A28" s="37" t="s">
        <v>388</v>
      </c>
      <c r="B28" s="35" t="s">
        <v>344</v>
      </c>
      <c r="C28" s="37" t="n">
        <f aca="false">IF(B28="","",COUNTIF($B$5:B28,B28))</f>
        <v>2</v>
      </c>
      <c r="D28" s="36" t="n">
        <v>46212</v>
      </c>
      <c r="E28" s="35" t="s">
        <v>345</v>
      </c>
      <c r="F28" s="35"/>
      <c r="G28" s="35"/>
      <c r="H28" s="35"/>
      <c r="I28" s="35"/>
      <c r="J28" s="35"/>
      <c r="K28" s="35"/>
      <c r="L28" s="40" t="str">
        <f aca="false">IF(OR(B28="",COUNTIF(H28:K28,"?*")=0),"",COUNTIF(H28:K28,"כן")/4)</f>
        <v/>
      </c>
    </row>
    <row r="29" customFormat="false" ht="15" hidden="false" customHeight="true" outlineLevel="0" collapsed="false">
      <c r="A29" s="37" t="s">
        <v>389</v>
      </c>
      <c r="B29" s="35" t="s">
        <v>366</v>
      </c>
      <c r="C29" s="37" t="n">
        <f aca="false">IF(B29="","",COUNTIF($B$5:B29,B29))</f>
        <v>2</v>
      </c>
      <c r="D29" s="36" t="n">
        <v>46233</v>
      </c>
      <c r="E29" s="35" t="s">
        <v>345</v>
      </c>
      <c r="F29" s="35"/>
      <c r="G29" s="35"/>
      <c r="H29" s="35"/>
      <c r="I29" s="35"/>
      <c r="J29" s="35"/>
      <c r="K29" s="35"/>
      <c r="L29" s="40" t="str">
        <f aca="false">IF(OR(B29="",COUNTIF(H29:K29,"?*")=0),"",COUNTIF(H29:K29,"כן")/4)</f>
        <v/>
      </c>
    </row>
    <row r="30" customFormat="false" ht="15" hidden="false" customHeight="true" outlineLevel="0" collapsed="false">
      <c r="A30" s="37" t="s">
        <v>390</v>
      </c>
      <c r="B30" s="35" t="s">
        <v>368</v>
      </c>
      <c r="C30" s="37" t="n">
        <f aca="false">IF(B30="","",COUNTIF($B$5:B30,B30))</f>
        <v>3</v>
      </c>
      <c r="D30" s="36" t="n">
        <v>46240</v>
      </c>
      <c r="E30" s="35" t="s">
        <v>345</v>
      </c>
      <c r="F30" s="35"/>
      <c r="G30" s="35"/>
      <c r="H30" s="35"/>
      <c r="I30" s="35"/>
      <c r="J30" s="35"/>
      <c r="K30" s="35"/>
      <c r="L30" s="40" t="str">
        <f aca="false">IF(OR(B30="",COUNTIF(H30:K30,"?*")=0),"",COUNTIF(H30:K30,"כן")/4)</f>
        <v/>
      </c>
    </row>
    <row r="31" customFormat="false" ht="15" hidden="false" customHeight="true" outlineLevel="0" collapsed="false">
      <c r="A31" s="37" t="s">
        <v>391</v>
      </c>
      <c r="B31" s="35"/>
      <c r="C31" s="37" t="str">
        <f aca="false">IF(B31="","",COUNTIF($B$5:B31,B31))</f>
        <v/>
      </c>
      <c r="D31" s="36"/>
      <c r="E31" s="35"/>
      <c r="F31" s="35"/>
      <c r="G31" s="35"/>
      <c r="H31" s="35"/>
      <c r="I31" s="35"/>
      <c r="J31" s="35"/>
      <c r="K31" s="35"/>
      <c r="L31" s="40" t="str">
        <f aca="false">IF(OR(B31="",COUNTIF(H31:K31,"?*")=0),"",COUNTIF(H31:K31,"כן")/4)</f>
        <v/>
      </c>
    </row>
    <row r="32" customFormat="false" ht="15" hidden="false" customHeight="true" outlineLevel="0" collapsed="false">
      <c r="A32" s="37" t="s">
        <v>392</v>
      </c>
      <c r="B32" s="35"/>
      <c r="C32" s="37" t="str">
        <f aca="false">IF(B32="","",COUNTIF($B$5:B32,B32))</f>
        <v/>
      </c>
      <c r="D32" s="36"/>
      <c r="E32" s="35"/>
      <c r="F32" s="35"/>
      <c r="G32" s="35"/>
      <c r="H32" s="35"/>
      <c r="I32" s="35"/>
      <c r="J32" s="35"/>
      <c r="K32" s="35"/>
      <c r="L32" s="40" t="str">
        <f aca="false">IF(OR(B32="",COUNTIF(H32:K32,"?*")=0),"",COUNTIF(H32:K32,"כן")/4)</f>
        <v/>
      </c>
    </row>
    <row r="33" customFormat="false" ht="15" hidden="false" customHeight="true" outlineLevel="0" collapsed="false">
      <c r="A33" s="37" t="s">
        <v>393</v>
      </c>
      <c r="B33" s="35"/>
      <c r="C33" s="37" t="str">
        <f aca="false">IF(B33="","",COUNTIF($B$5:B33,B33))</f>
        <v/>
      </c>
      <c r="D33" s="36"/>
      <c r="E33" s="35"/>
      <c r="F33" s="35"/>
      <c r="G33" s="35"/>
      <c r="H33" s="35"/>
      <c r="I33" s="35"/>
      <c r="J33" s="35"/>
      <c r="K33" s="35"/>
      <c r="L33" s="40" t="str">
        <f aca="false">IF(OR(B33="",COUNTIF(H33:K33,"?*")=0),"",COUNTIF(H33:K33,"כן")/4)</f>
        <v/>
      </c>
    </row>
    <row r="34" customFormat="false" ht="15" hidden="false" customHeight="true" outlineLevel="0" collapsed="false">
      <c r="A34" s="37" t="s">
        <v>394</v>
      </c>
      <c r="B34" s="35"/>
      <c r="C34" s="37" t="str">
        <f aca="false">IF(B34="","",COUNTIF($B$5:B34,B34))</f>
        <v/>
      </c>
      <c r="D34" s="36"/>
      <c r="E34" s="35"/>
      <c r="F34" s="35"/>
      <c r="G34" s="35"/>
      <c r="H34" s="35"/>
      <c r="I34" s="35"/>
      <c r="J34" s="35"/>
      <c r="K34" s="35"/>
      <c r="L34" s="40" t="str">
        <f aca="false">IF(OR(B34="",COUNTIF(H34:K34,"?*")=0),"",COUNTIF(H34:K34,"כן")/4)</f>
        <v/>
      </c>
    </row>
    <row r="35" customFormat="false" ht="15" hidden="false" customHeight="true" outlineLevel="0" collapsed="false">
      <c r="A35" s="37" t="s">
        <v>395</v>
      </c>
      <c r="B35" s="35"/>
      <c r="C35" s="37" t="str">
        <f aca="false">IF(B35="","",COUNTIF($B$5:B35,B35))</f>
        <v/>
      </c>
      <c r="D35" s="36"/>
      <c r="E35" s="35"/>
      <c r="F35" s="35"/>
      <c r="G35" s="35"/>
      <c r="H35" s="35"/>
      <c r="I35" s="35"/>
      <c r="J35" s="35"/>
      <c r="K35" s="35"/>
      <c r="L35" s="40" t="str">
        <f aca="false">IF(OR(B35="",COUNTIF(H35:K35,"?*")=0),"",COUNTIF(H35:K35,"כן")/4)</f>
        <v/>
      </c>
    </row>
    <row r="36" customFormat="false" ht="15" hidden="false" customHeight="true" outlineLevel="0" collapsed="false">
      <c r="A36" s="37" t="s">
        <v>396</v>
      </c>
      <c r="B36" s="35"/>
      <c r="C36" s="37" t="str">
        <f aca="false">IF(B36="","",COUNTIF($B$5:B36,B36))</f>
        <v/>
      </c>
      <c r="D36" s="36"/>
      <c r="E36" s="35"/>
      <c r="F36" s="35"/>
      <c r="G36" s="35"/>
      <c r="H36" s="35"/>
      <c r="I36" s="35"/>
      <c r="J36" s="35"/>
      <c r="K36" s="35"/>
      <c r="L36" s="40" t="str">
        <f aca="false">IF(OR(B36="",COUNTIF(H36:K36,"?*")=0),"",COUNTIF(H36:K36,"כן")/4)</f>
        <v/>
      </c>
    </row>
    <row r="37" customFormat="false" ht="15" hidden="false" customHeight="true" outlineLevel="0" collapsed="false">
      <c r="A37" s="37" t="s">
        <v>397</v>
      </c>
      <c r="B37" s="35"/>
      <c r="C37" s="37" t="str">
        <f aca="false">IF(B37="","",COUNTIF($B$5:B37,B37))</f>
        <v/>
      </c>
      <c r="D37" s="36"/>
      <c r="E37" s="35"/>
      <c r="F37" s="35"/>
      <c r="G37" s="35"/>
      <c r="H37" s="35"/>
      <c r="I37" s="35"/>
      <c r="J37" s="35"/>
      <c r="K37" s="35"/>
      <c r="L37" s="40" t="str">
        <f aca="false">IF(OR(B37="",COUNTIF(H37:K37,"?*")=0),"",COUNTIF(H37:K37,"כן")/4)</f>
        <v/>
      </c>
    </row>
    <row r="38" customFormat="false" ht="15" hidden="false" customHeight="true" outlineLevel="0" collapsed="false">
      <c r="A38" s="37" t="s">
        <v>398</v>
      </c>
      <c r="B38" s="35"/>
      <c r="C38" s="37" t="str">
        <f aca="false">IF(B38="","",COUNTIF($B$5:B38,B38))</f>
        <v/>
      </c>
      <c r="D38" s="36"/>
      <c r="E38" s="35"/>
      <c r="F38" s="35"/>
      <c r="G38" s="35"/>
      <c r="H38" s="35"/>
      <c r="I38" s="35"/>
      <c r="J38" s="35"/>
      <c r="K38" s="35"/>
      <c r="L38" s="40" t="str">
        <f aca="false">IF(OR(B38="",COUNTIF(H38:K38,"?*")=0),"",COUNTIF(H38:K38,"כן")/4)</f>
        <v/>
      </c>
    </row>
    <row r="39" customFormat="false" ht="15" hidden="false" customHeight="true" outlineLevel="0" collapsed="false">
      <c r="A39" s="37" t="s">
        <v>399</v>
      </c>
      <c r="B39" s="35"/>
      <c r="C39" s="37" t="str">
        <f aca="false">IF(B39="","",COUNTIF($B$5:B39,B39))</f>
        <v/>
      </c>
      <c r="D39" s="36"/>
      <c r="E39" s="35"/>
      <c r="F39" s="35"/>
      <c r="G39" s="35"/>
      <c r="H39" s="35"/>
      <c r="I39" s="35"/>
      <c r="J39" s="35"/>
      <c r="K39" s="35"/>
      <c r="L39" s="40" t="str">
        <f aca="false">IF(OR(B39="",COUNTIF(H39:K39,"?*")=0),"",COUNTIF(H39:K39,"כן")/4)</f>
        <v/>
      </c>
    </row>
    <row r="40" customFormat="false" ht="15" hidden="false" customHeight="true" outlineLevel="0" collapsed="false">
      <c r="A40" s="37" t="s">
        <v>400</v>
      </c>
      <c r="B40" s="35"/>
      <c r="C40" s="37" t="str">
        <f aca="false">IF(B40="","",COUNTIF($B$5:B40,B40))</f>
        <v/>
      </c>
      <c r="D40" s="36"/>
      <c r="E40" s="35"/>
      <c r="F40" s="35"/>
      <c r="G40" s="35"/>
      <c r="H40" s="35"/>
      <c r="I40" s="35"/>
      <c r="J40" s="35"/>
      <c r="K40" s="35"/>
      <c r="L40" s="40" t="str">
        <f aca="false">IF(OR(B40="",COUNTIF(H40:K40,"?*")=0),"",COUNTIF(H40:K40,"כן")/4)</f>
        <v/>
      </c>
    </row>
    <row r="41" customFormat="false" ht="15" hidden="false" customHeight="true" outlineLevel="0" collapsed="false">
      <c r="A41" s="37" t="s">
        <v>401</v>
      </c>
      <c r="B41" s="35"/>
      <c r="C41" s="37" t="str">
        <f aca="false">IF(B41="","",COUNTIF($B$5:B41,B41))</f>
        <v/>
      </c>
      <c r="D41" s="36"/>
      <c r="E41" s="35"/>
      <c r="F41" s="35"/>
      <c r="G41" s="35"/>
      <c r="H41" s="35"/>
      <c r="I41" s="35"/>
      <c r="J41" s="35"/>
      <c r="K41" s="35"/>
      <c r="L41" s="40" t="str">
        <f aca="false">IF(OR(B41="",COUNTIF(H41:K41,"?*")=0),"",COUNTIF(H41:K41,"כן")/4)</f>
        <v/>
      </c>
    </row>
    <row r="42" customFormat="false" ht="15" hidden="false" customHeight="true" outlineLevel="0" collapsed="false">
      <c r="A42" s="37" t="s">
        <v>402</v>
      </c>
      <c r="B42" s="35"/>
      <c r="C42" s="37" t="str">
        <f aca="false">IF(B42="","",COUNTIF($B$5:B42,B42))</f>
        <v/>
      </c>
      <c r="D42" s="36"/>
      <c r="E42" s="35"/>
      <c r="F42" s="35"/>
      <c r="G42" s="35"/>
      <c r="H42" s="35"/>
      <c r="I42" s="35"/>
      <c r="J42" s="35"/>
      <c r="K42" s="35"/>
      <c r="L42" s="40" t="str">
        <f aca="false">IF(OR(B42="",COUNTIF(H42:K42,"?*")=0),"",COUNTIF(H42:K42,"כן")/4)</f>
        <v/>
      </c>
    </row>
    <row r="43" customFormat="false" ht="15" hidden="false" customHeight="true" outlineLevel="0" collapsed="false">
      <c r="A43" s="37" t="s">
        <v>403</v>
      </c>
      <c r="B43" s="35"/>
      <c r="C43" s="37" t="str">
        <f aca="false">IF(B43="","",COUNTIF($B$5:B43,B43))</f>
        <v/>
      </c>
      <c r="D43" s="36"/>
      <c r="E43" s="35"/>
      <c r="F43" s="35"/>
      <c r="G43" s="35"/>
      <c r="H43" s="35"/>
      <c r="I43" s="35"/>
      <c r="J43" s="35"/>
      <c r="K43" s="35"/>
      <c r="L43" s="40" t="str">
        <f aca="false">IF(OR(B43="",COUNTIF(H43:K43,"?*")=0),"",COUNTIF(H43:K43,"כן")/4)</f>
        <v/>
      </c>
    </row>
    <row r="44" customFormat="false" ht="15" hidden="false" customHeight="true" outlineLevel="0" collapsed="false">
      <c r="A44" s="37" t="s">
        <v>404</v>
      </c>
      <c r="B44" s="35"/>
      <c r="C44" s="37" t="str">
        <f aca="false">IF(B44="","",COUNTIF($B$5:B44,B44))</f>
        <v/>
      </c>
      <c r="D44" s="36"/>
      <c r="E44" s="35"/>
      <c r="F44" s="35"/>
      <c r="G44" s="35"/>
      <c r="H44" s="35"/>
      <c r="I44" s="35"/>
      <c r="J44" s="35"/>
      <c r="K44" s="35"/>
      <c r="L44" s="40" t="str">
        <f aca="false">IF(OR(B44="",COUNTIF(H44:K44,"?*")=0),"",COUNTIF(H44:K44,"כן")/4)</f>
        <v/>
      </c>
    </row>
    <row r="45" customFormat="false" ht="15" hidden="false" customHeight="true" outlineLevel="0" collapsed="false">
      <c r="A45" s="37" t="s">
        <v>405</v>
      </c>
      <c r="B45" s="35"/>
      <c r="C45" s="37" t="str">
        <f aca="false">IF(B45="","",COUNTIF($B$5:B45,B45))</f>
        <v/>
      </c>
      <c r="D45" s="36"/>
      <c r="E45" s="35"/>
      <c r="F45" s="35"/>
      <c r="G45" s="35"/>
      <c r="H45" s="35"/>
      <c r="I45" s="35"/>
      <c r="J45" s="35"/>
      <c r="K45" s="35"/>
      <c r="L45" s="40" t="str">
        <f aca="false">IF(OR(B45="",COUNTIF(H45:K45,"?*")=0),"",COUNTIF(H45:K45,"כן")/4)</f>
        <v/>
      </c>
    </row>
    <row r="46" customFormat="false" ht="15" hidden="false" customHeight="true" outlineLevel="0" collapsed="false">
      <c r="A46" s="37" t="s">
        <v>406</v>
      </c>
      <c r="B46" s="35"/>
      <c r="C46" s="37" t="str">
        <f aca="false">IF(B46="","",COUNTIF($B$5:B46,B46))</f>
        <v/>
      </c>
      <c r="D46" s="36"/>
      <c r="E46" s="35"/>
      <c r="F46" s="35"/>
      <c r="G46" s="35"/>
      <c r="H46" s="35"/>
      <c r="I46" s="35"/>
      <c r="J46" s="35"/>
      <c r="K46" s="35"/>
      <c r="L46" s="40" t="str">
        <f aca="false">IF(OR(B46="",COUNTIF(H46:K46,"?*")=0),"",COUNTIF(H46:K46,"כן")/4)</f>
        <v/>
      </c>
    </row>
    <row r="47" customFormat="false" ht="15" hidden="false" customHeight="true" outlineLevel="0" collapsed="false">
      <c r="A47" s="37" t="s">
        <v>407</v>
      </c>
      <c r="B47" s="35"/>
      <c r="C47" s="37" t="str">
        <f aca="false">IF(B47="","",COUNTIF($B$5:B47,B47))</f>
        <v/>
      </c>
      <c r="D47" s="36"/>
      <c r="E47" s="35"/>
      <c r="F47" s="35"/>
      <c r="G47" s="35"/>
      <c r="H47" s="35"/>
      <c r="I47" s="35"/>
      <c r="J47" s="35"/>
      <c r="K47" s="35"/>
      <c r="L47" s="40" t="str">
        <f aca="false">IF(OR(B47="",COUNTIF(H47:K47,"?*")=0),"",COUNTIF(H47:K47,"כן")/4)</f>
        <v/>
      </c>
    </row>
    <row r="48" customFormat="false" ht="15" hidden="false" customHeight="true" outlineLevel="0" collapsed="false">
      <c r="A48" s="37" t="s">
        <v>408</v>
      </c>
      <c r="B48" s="35"/>
      <c r="C48" s="37" t="str">
        <f aca="false">IF(B48="","",COUNTIF($B$5:B48,B48))</f>
        <v/>
      </c>
      <c r="D48" s="36"/>
      <c r="E48" s="35"/>
      <c r="F48" s="35"/>
      <c r="G48" s="35"/>
      <c r="H48" s="35"/>
      <c r="I48" s="35"/>
      <c r="J48" s="35"/>
      <c r="K48" s="35"/>
      <c r="L48" s="40" t="str">
        <f aca="false">IF(OR(B48="",COUNTIF(H48:K48,"?*")=0),"",COUNTIF(H48:K48,"כן")/4)</f>
        <v/>
      </c>
    </row>
    <row r="49" customFormat="false" ht="15" hidden="false" customHeight="true" outlineLevel="0" collapsed="false">
      <c r="A49" s="37" t="s">
        <v>409</v>
      </c>
      <c r="B49" s="35"/>
      <c r="C49" s="37" t="str">
        <f aca="false">IF(B49="","",COUNTIF($B$5:B49,B49))</f>
        <v/>
      </c>
      <c r="D49" s="36"/>
      <c r="E49" s="35"/>
      <c r="F49" s="35"/>
      <c r="G49" s="35"/>
      <c r="H49" s="35"/>
      <c r="I49" s="35"/>
      <c r="J49" s="35"/>
      <c r="K49" s="35"/>
      <c r="L49" s="40" t="str">
        <f aca="false">IF(OR(B49="",COUNTIF(H49:K49,"?*")=0),"",COUNTIF(H49:K49,"כן")/4)</f>
        <v/>
      </c>
    </row>
    <row r="50" customFormat="false" ht="15" hidden="false" customHeight="true" outlineLevel="0" collapsed="false">
      <c r="A50" s="37" t="s">
        <v>410</v>
      </c>
      <c r="B50" s="35"/>
      <c r="C50" s="37" t="str">
        <f aca="false">IF(B50="","",COUNTIF($B$5:B50,B50))</f>
        <v/>
      </c>
      <c r="D50" s="36"/>
      <c r="E50" s="35"/>
      <c r="F50" s="35"/>
      <c r="G50" s="35"/>
      <c r="H50" s="35"/>
      <c r="I50" s="35"/>
      <c r="J50" s="35"/>
      <c r="K50" s="35"/>
      <c r="L50" s="40" t="str">
        <f aca="false">IF(OR(B50="",COUNTIF(H50:K50,"?*")=0),"",COUNTIF(H50:K50,"כן")/4)</f>
        <v/>
      </c>
    </row>
    <row r="51" customFormat="false" ht="15" hidden="false" customHeight="true" outlineLevel="0" collapsed="false">
      <c r="A51" s="37" t="s">
        <v>411</v>
      </c>
      <c r="B51" s="35"/>
      <c r="C51" s="37" t="str">
        <f aca="false">IF(B51="","",COUNTIF($B$5:B51,B51))</f>
        <v/>
      </c>
      <c r="D51" s="36"/>
      <c r="E51" s="35"/>
      <c r="F51" s="35"/>
      <c r="G51" s="35"/>
      <c r="H51" s="35"/>
      <c r="I51" s="35"/>
      <c r="J51" s="35"/>
      <c r="K51" s="35"/>
      <c r="L51" s="40" t="str">
        <f aca="false">IF(OR(B51="",COUNTIF(H51:K51,"?*")=0),"",COUNTIF(H51:K51,"כן")/4)</f>
        <v/>
      </c>
    </row>
    <row r="52" customFormat="false" ht="15" hidden="false" customHeight="true" outlineLevel="0" collapsed="false">
      <c r="A52" s="37" t="s">
        <v>412</v>
      </c>
      <c r="B52" s="35"/>
      <c r="C52" s="37" t="str">
        <f aca="false">IF(B52="","",COUNTIF($B$5:B52,B52))</f>
        <v/>
      </c>
      <c r="D52" s="36"/>
      <c r="E52" s="35"/>
      <c r="F52" s="35"/>
      <c r="G52" s="35"/>
      <c r="H52" s="35"/>
      <c r="I52" s="35"/>
      <c r="J52" s="35"/>
      <c r="K52" s="35"/>
      <c r="L52" s="40" t="str">
        <f aca="false">IF(OR(B52="",COUNTIF(H52:K52,"?*")=0),"",COUNTIF(H52:K52,"כן")/4)</f>
        <v/>
      </c>
    </row>
    <row r="53" customFormat="false" ht="15" hidden="false" customHeight="true" outlineLevel="0" collapsed="false">
      <c r="A53" s="37" t="s">
        <v>413</v>
      </c>
      <c r="B53" s="35"/>
      <c r="C53" s="37" t="str">
        <f aca="false">IF(B53="","",COUNTIF($B$5:B53,B53))</f>
        <v/>
      </c>
      <c r="D53" s="36"/>
      <c r="E53" s="35"/>
      <c r="F53" s="35"/>
      <c r="G53" s="35"/>
      <c r="H53" s="35"/>
      <c r="I53" s="35"/>
      <c r="J53" s="35"/>
      <c r="K53" s="35"/>
      <c r="L53" s="40" t="str">
        <f aca="false">IF(OR(B53="",COUNTIF(H53:K53,"?*")=0),"",COUNTIF(H53:K53,"כן")/4)</f>
        <v/>
      </c>
    </row>
    <row r="54" customFormat="false" ht="15" hidden="false" customHeight="true" outlineLevel="0" collapsed="false">
      <c r="A54" s="37" t="s">
        <v>414</v>
      </c>
      <c r="B54" s="35"/>
      <c r="C54" s="37" t="str">
        <f aca="false">IF(B54="","",COUNTIF($B$5:B54,B54))</f>
        <v/>
      </c>
      <c r="D54" s="36"/>
      <c r="E54" s="35"/>
      <c r="F54" s="35"/>
      <c r="G54" s="35"/>
      <c r="H54" s="35"/>
      <c r="I54" s="35"/>
      <c r="J54" s="35"/>
      <c r="K54" s="35"/>
      <c r="L54" s="40" t="str">
        <f aca="false">IF(OR(B54="",COUNTIF(H54:K54,"?*")=0),"",COUNTIF(H54:K54,"כן")/4)</f>
        <v/>
      </c>
    </row>
    <row r="55" customFormat="false" ht="15" hidden="false" customHeight="true" outlineLevel="0" collapsed="false">
      <c r="A55" s="37" t="s">
        <v>415</v>
      </c>
      <c r="B55" s="35"/>
      <c r="C55" s="37" t="str">
        <f aca="false">IF(B55="","",COUNTIF($B$5:B55,B55))</f>
        <v/>
      </c>
      <c r="D55" s="36"/>
      <c r="E55" s="35"/>
      <c r="F55" s="35"/>
      <c r="G55" s="35"/>
      <c r="H55" s="35"/>
      <c r="I55" s="35"/>
      <c r="J55" s="35"/>
      <c r="K55" s="35"/>
      <c r="L55" s="40" t="str">
        <f aca="false">IF(OR(B55="",COUNTIF(H55:K55,"?*")=0),"",COUNTIF(H55:K55,"כן")/4)</f>
        <v/>
      </c>
    </row>
    <row r="56" customFormat="false" ht="15" hidden="false" customHeight="true" outlineLevel="0" collapsed="false">
      <c r="A56" s="37" t="s">
        <v>416</v>
      </c>
      <c r="B56" s="35"/>
      <c r="C56" s="37" t="str">
        <f aca="false">IF(B56="","",COUNTIF($B$5:B56,B56))</f>
        <v/>
      </c>
      <c r="D56" s="36"/>
      <c r="E56" s="35"/>
      <c r="F56" s="35"/>
      <c r="G56" s="35"/>
      <c r="H56" s="35"/>
      <c r="I56" s="35"/>
      <c r="J56" s="35"/>
      <c r="K56" s="35"/>
      <c r="L56" s="40" t="str">
        <f aca="false">IF(OR(B56="",COUNTIF(H56:K56,"?*")=0),"",COUNTIF(H56:K56,"כן")/4)</f>
        <v/>
      </c>
    </row>
    <row r="57" customFormat="false" ht="15" hidden="false" customHeight="true" outlineLevel="0" collapsed="false">
      <c r="A57" s="37" t="s">
        <v>417</v>
      </c>
      <c r="B57" s="35"/>
      <c r="C57" s="37" t="str">
        <f aca="false">IF(B57="","",COUNTIF($B$5:B57,B57))</f>
        <v/>
      </c>
      <c r="D57" s="36"/>
      <c r="E57" s="35"/>
      <c r="F57" s="35"/>
      <c r="G57" s="35"/>
      <c r="H57" s="35"/>
      <c r="I57" s="35"/>
      <c r="J57" s="35"/>
      <c r="K57" s="35"/>
      <c r="L57" s="40" t="str">
        <f aca="false">IF(OR(B57="",COUNTIF(H57:K57,"?*")=0),"",COUNTIF(H57:K57,"כן")/4)</f>
        <v/>
      </c>
    </row>
    <row r="58" customFormat="false" ht="15" hidden="false" customHeight="true" outlineLevel="0" collapsed="false">
      <c r="A58" s="37" t="s">
        <v>418</v>
      </c>
      <c r="B58" s="35"/>
      <c r="C58" s="37" t="str">
        <f aca="false">IF(B58="","",COUNTIF($B$5:B58,B58))</f>
        <v/>
      </c>
      <c r="D58" s="36"/>
      <c r="E58" s="35"/>
      <c r="F58" s="35"/>
      <c r="G58" s="35"/>
      <c r="H58" s="35"/>
      <c r="I58" s="35"/>
      <c r="J58" s="35"/>
      <c r="K58" s="35"/>
      <c r="L58" s="40" t="str">
        <f aca="false">IF(OR(B58="",COUNTIF(H58:K58,"?*")=0),"",COUNTIF(H58:K58,"כן")/4)</f>
        <v/>
      </c>
    </row>
    <row r="59" customFormat="false" ht="15" hidden="false" customHeight="true" outlineLevel="0" collapsed="false">
      <c r="A59" s="37" t="s">
        <v>419</v>
      </c>
      <c r="B59" s="35"/>
      <c r="C59" s="37" t="str">
        <f aca="false">IF(B59="","",COUNTIF($B$5:B59,B59))</f>
        <v/>
      </c>
      <c r="D59" s="36"/>
      <c r="E59" s="35"/>
      <c r="F59" s="35"/>
      <c r="G59" s="35"/>
      <c r="H59" s="35"/>
      <c r="I59" s="35"/>
      <c r="J59" s="35"/>
      <c r="K59" s="35"/>
      <c r="L59" s="40" t="str">
        <f aca="false">IF(OR(B59="",COUNTIF(H59:K59,"?*")=0),"",COUNTIF(H59:K59,"כן")/4)</f>
        <v/>
      </c>
    </row>
    <row r="60" customFormat="false" ht="15" hidden="false" customHeight="true" outlineLevel="0" collapsed="false">
      <c r="A60" s="37" t="s">
        <v>420</v>
      </c>
      <c r="B60" s="35"/>
      <c r="C60" s="37" t="str">
        <f aca="false">IF(B60="","",COUNTIF($B$5:B60,B60))</f>
        <v/>
      </c>
      <c r="D60" s="36"/>
      <c r="E60" s="35"/>
      <c r="F60" s="35"/>
      <c r="G60" s="35"/>
      <c r="H60" s="35"/>
      <c r="I60" s="35"/>
      <c r="J60" s="35"/>
      <c r="K60" s="35"/>
      <c r="L60" s="40" t="str">
        <f aca="false">IF(OR(B60="",COUNTIF(H60:K60,"?*")=0),"",COUNTIF(H60:K60,"כן")/4)</f>
        <v/>
      </c>
    </row>
    <row r="61" customFormat="false" ht="15" hidden="false" customHeight="true" outlineLevel="0" collapsed="false">
      <c r="A61" s="37" t="s">
        <v>421</v>
      </c>
      <c r="B61" s="35"/>
      <c r="C61" s="37" t="str">
        <f aca="false">IF(B61="","",COUNTIF($B$5:B61,B61))</f>
        <v/>
      </c>
      <c r="D61" s="36"/>
      <c r="E61" s="35"/>
      <c r="F61" s="35"/>
      <c r="G61" s="35"/>
      <c r="H61" s="35"/>
      <c r="I61" s="35"/>
      <c r="J61" s="35"/>
      <c r="K61" s="35"/>
      <c r="L61" s="40" t="str">
        <f aca="false">IF(OR(B61="",COUNTIF(H61:K61,"?*")=0),"",COUNTIF(H61:K61,"כן")/4)</f>
        <v/>
      </c>
    </row>
    <row r="62" customFormat="false" ht="15" hidden="false" customHeight="true" outlineLevel="0" collapsed="false">
      <c r="A62" s="37" t="s">
        <v>422</v>
      </c>
      <c r="B62" s="35"/>
      <c r="C62" s="37" t="str">
        <f aca="false">IF(B62="","",COUNTIF($B$5:B62,B62))</f>
        <v/>
      </c>
      <c r="D62" s="36"/>
      <c r="E62" s="35"/>
      <c r="F62" s="35"/>
      <c r="G62" s="35"/>
      <c r="H62" s="35"/>
      <c r="I62" s="35"/>
      <c r="J62" s="35"/>
      <c r="K62" s="35"/>
      <c r="L62" s="40" t="str">
        <f aca="false">IF(OR(B62="",COUNTIF(H62:K62,"?*")=0),"",COUNTIF(H62:K62,"כן")/4)</f>
        <v/>
      </c>
    </row>
    <row r="63" customFormat="false" ht="15" hidden="false" customHeight="true" outlineLevel="0" collapsed="false">
      <c r="A63" s="37" t="s">
        <v>423</v>
      </c>
      <c r="B63" s="35"/>
      <c r="C63" s="37" t="str">
        <f aca="false">IF(B63="","",COUNTIF($B$5:B63,B63))</f>
        <v/>
      </c>
      <c r="D63" s="36"/>
      <c r="E63" s="35"/>
      <c r="F63" s="35"/>
      <c r="G63" s="35"/>
      <c r="H63" s="35"/>
      <c r="I63" s="35"/>
      <c r="J63" s="35"/>
      <c r="K63" s="35"/>
      <c r="L63" s="40" t="str">
        <f aca="false">IF(OR(B63="",COUNTIF(H63:K63,"?*")=0),"",COUNTIF(H63:K63,"כן")/4)</f>
        <v/>
      </c>
    </row>
    <row r="64" customFormat="false" ht="15" hidden="false" customHeight="true" outlineLevel="0" collapsed="false">
      <c r="A64" s="37" t="s">
        <v>424</v>
      </c>
      <c r="B64" s="35"/>
      <c r="C64" s="37" t="str">
        <f aca="false">IF(B64="","",COUNTIF($B$5:B64,B64))</f>
        <v/>
      </c>
      <c r="D64" s="36"/>
      <c r="E64" s="35"/>
      <c r="F64" s="35"/>
      <c r="G64" s="35"/>
      <c r="H64" s="35"/>
      <c r="I64" s="35"/>
      <c r="J64" s="35"/>
      <c r="K64" s="35"/>
      <c r="L64" s="40" t="str">
        <f aca="false">IF(OR(B64="",COUNTIF(H64:K64,"?*")=0),"",COUNTIF(H64:K64,"כן")/4)</f>
        <v/>
      </c>
    </row>
    <row r="65" customFormat="false" ht="15" hidden="false" customHeight="true" outlineLevel="0" collapsed="false">
      <c r="A65" s="37" t="s">
        <v>425</v>
      </c>
      <c r="B65" s="35"/>
      <c r="C65" s="37" t="str">
        <f aca="false">IF(B65="","",COUNTIF($B$5:B65,B65))</f>
        <v/>
      </c>
      <c r="D65" s="36"/>
      <c r="E65" s="35"/>
      <c r="F65" s="35"/>
      <c r="G65" s="35"/>
      <c r="H65" s="35"/>
      <c r="I65" s="35"/>
      <c r="J65" s="35"/>
      <c r="K65" s="35"/>
      <c r="L65" s="40" t="str">
        <f aca="false">IF(OR(B65="",COUNTIF(H65:K65,"?*")=0),"",COUNTIF(H65:K65,"כן")/4)</f>
        <v/>
      </c>
    </row>
    <row r="66" customFormat="false" ht="15" hidden="false" customHeight="true" outlineLevel="0" collapsed="false">
      <c r="A66" s="37" t="s">
        <v>426</v>
      </c>
      <c r="B66" s="35"/>
      <c r="C66" s="37" t="str">
        <f aca="false">IF(B66="","",COUNTIF($B$5:B66,B66))</f>
        <v/>
      </c>
      <c r="D66" s="36"/>
      <c r="E66" s="35"/>
      <c r="F66" s="35"/>
      <c r="G66" s="35"/>
      <c r="H66" s="35"/>
      <c r="I66" s="35"/>
      <c r="J66" s="35"/>
      <c r="K66" s="35"/>
      <c r="L66" s="40" t="str">
        <f aca="false">IF(OR(B66="",COUNTIF(H66:K66,"?*")=0),"",COUNTIF(H66:K66,"כן")/4)</f>
        <v/>
      </c>
    </row>
    <row r="67" customFormat="false" ht="15" hidden="false" customHeight="true" outlineLevel="0" collapsed="false">
      <c r="A67" s="37" t="s">
        <v>427</v>
      </c>
      <c r="B67" s="35"/>
      <c r="C67" s="37" t="str">
        <f aca="false">IF(B67="","",COUNTIF($B$5:B67,B67))</f>
        <v/>
      </c>
      <c r="D67" s="36"/>
      <c r="E67" s="35"/>
      <c r="F67" s="35"/>
      <c r="G67" s="35"/>
      <c r="H67" s="35"/>
      <c r="I67" s="35"/>
      <c r="J67" s="35"/>
      <c r="K67" s="35"/>
      <c r="L67" s="40" t="str">
        <f aca="false">IF(OR(B67="",COUNTIF(H67:K67,"?*")=0),"",COUNTIF(H67:K67,"כן")/4)</f>
        <v/>
      </c>
    </row>
    <row r="68" customFormat="false" ht="15" hidden="false" customHeight="true" outlineLevel="0" collapsed="false">
      <c r="A68" s="37" t="s">
        <v>428</v>
      </c>
      <c r="B68" s="35"/>
      <c r="C68" s="37" t="str">
        <f aca="false">IF(B68="","",COUNTIF($B$5:B68,B68))</f>
        <v/>
      </c>
      <c r="D68" s="36"/>
      <c r="E68" s="35"/>
      <c r="F68" s="35"/>
      <c r="G68" s="35"/>
      <c r="H68" s="35"/>
      <c r="I68" s="35"/>
      <c r="J68" s="35"/>
      <c r="K68" s="35"/>
      <c r="L68" s="40" t="str">
        <f aca="false">IF(OR(B68="",COUNTIF(H68:K68,"?*")=0),"",COUNTIF(H68:K68,"כן")/4)</f>
        <v/>
      </c>
    </row>
    <row r="69" customFormat="false" ht="15" hidden="false" customHeight="true" outlineLevel="0" collapsed="false">
      <c r="A69" s="37" t="s">
        <v>429</v>
      </c>
      <c r="B69" s="35"/>
      <c r="C69" s="37" t="str">
        <f aca="false">IF(B69="","",COUNTIF($B$5:B69,B69))</f>
        <v/>
      </c>
      <c r="D69" s="36"/>
      <c r="E69" s="35"/>
      <c r="F69" s="35"/>
      <c r="G69" s="35"/>
      <c r="H69" s="35"/>
      <c r="I69" s="35"/>
      <c r="J69" s="35"/>
      <c r="K69" s="35"/>
      <c r="L69" s="40" t="str">
        <f aca="false">IF(OR(B69="",COUNTIF(H69:K69,"?*")=0),"",COUNTIF(H69:K69,"כן")/4)</f>
        <v/>
      </c>
    </row>
    <row r="70" customFormat="false" ht="15" hidden="false" customHeight="true" outlineLevel="0" collapsed="false">
      <c r="A70" s="37" t="s">
        <v>430</v>
      </c>
      <c r="B70" s="35"/>
      <c r="C70" s="37" t="str">
        <f aca="false">IF(B70="","",COUNTIF($B$5:B70,B70))</f>
        <v/>
      </c>
      <c r="D70" s="36"/>
      <c r="E70" s="35"/>
      <c r="F70" s="35"/>
      <c r="G70" s="35"/>
      <c r="H70" s="35"/>
      <c r="I70" s="35"/>
      <c r="J70" s="35"/>
      <c r="K70" s="35"/>
      <c r="L70" s="40" t="str">
        <f aca="false">IF(OR(B70="",COUNTIF(H70:K70,"?*")=0),"",COUNTIF(H70:K70,"כן")/4)</f>
        <v/>
      </c>
    </row>
    <row r="71" customFormat="false" ht="15" hidden="false" customHeight="true" outlineLevel="0" collapsed="false">
      <c r="A71" s="37" t="s">
        <v>431</v>
      </c>
      <c r="B71" s="35"/>
      <c r="C71" s="37" t="str">
        <f aca="false">IF(B71="","",COUNTIF($B$5:B71,B71))</f>
        <v/>
      </c>
      <c r="D71" s="36"/>
      <c r="E71" s="35"/>
      <c r="F71" s="35"/>
      <c r="G71" s="35"/>
      <c r="H71" s="35"/>
      <c r="I71" s="35"/>
      <c r="J71" s="35"/>
      <c r="K71" s="35"/>
      <c r="L71" s="40" t="str">
        <f aca="false">IF(OR(B71="",COUNTIF(H71:K71,"?*")=0),"",COUNTIF(H71:K71,"כן")/4)</f>
        <v/>
      </c>
    </row>
    <row r="72" customFormat="false" ht="15" hidden="false" customHeight="true" outlineLevel="0" collapsed="false">
      <c r="A72" s="37" t="s">
        <v>432</v>
      </c>
      <c r="B72" s="35"/>
      <c r="C72" s="37" t="str">
        <f aca="false">IF(B72="","",COUNTIF($B$5:B72,B72))</f>
        <v/>
      </c>
      <c r="D72" s="36"/>
      <c r="E72" s="35"/>
      <c r="F72" s="35"/>
      <c r="G72" s="35"/>
      <c r="H72" s="35"/>
      <c r="I72" s="35"/>
      <c r="J72" s="35"/>
      <c r="K72" s="35"/>
      <c r="L72" s="40" t="str">
        <f aca="false">IF(OR(B72="",COUNTIF(H72:K72,"?*")=0),"",COUNTIF(H72:K72,"כן")/4)</f>
        <v/>
      </c>
    </row>
    <row r="73" customFormat="false" ht="15" hidden="false" customHeight="true" outlineLevel="0" collapsed="false">
      <c r="A73" s="37" t="s">
        <v>433</v>
      </c>
      <c r="B73" s="35"/>
      <c r="C73" s="37" t="str">
        <f aca="false">IF(B73="","",COUNTIF($B$5:B73,B73))</f>
        <v/>
      </c>
      <c r="D73" s="36"/>
      <c r="E73" s="35"/>
      <c r="F73" s="35"/>
      <c r="G73" s="35"/>
      <c r="H73" s="35"/>
      <c r="I73" s="35"/>
      <c r="J73" s="35"/>
      <c r="K73" s="35"/>
      <c r="L73" s="40" t="str">
        <f aca="false">IF(OR(B73="",COUNTIF(H73:K73,"?*")=0),"",COUNTIF(H73:K73,"כן")/4)</f>
        <v/>
      </c>
    </row>
    <row r="74" customFormat="false" ht="15" hidden="false" customHeight="true" outlineLevel="0" collapsed="false">
      <c r="A74" s="37" t="s">
        <v>434</v>
      </c>
      <c r="B74" s="35"/>
      <c r="C74" s="37" t="str">
        <f aca="false">IF(B74="","",COUNTIF($B$5:B74,B74))</f>
        <v/>
      </c>
      <c r="D74" s="36"/>
      <c r="E74" s="35"/>
      <c r="F74" s="35"/>
      <c r="G74" s="35"/>
      <c r="H74" s="35"/>
      <c r="I74" s="35"/>
      <c r="J74" s="35"/>
      <c r="K74" s="35"/>
      <c r="L74" s="40" t="str">
        <f aca="false">IF(OR(B74="",COUNTIF(H74:K74,"?*")=0),"",COUNTIF(H74:K74,"כן")/4)</f>
        <v/>
      </c>
    </row>
    <row r="75" customFormat="false" ht="15" hidden="false" customHeight="true" outlineLevel="0" collapsed="false">
      <c r="A75" s="37" t="s">
        <v>435</v>
      </c>
      <c r="B75" s="35"/>
      <c r="C75" s="37" t="str">
        <f aca="false">IF(B75="","",COUNTIF($B$5:B75,B75))</f>
        <v/>
      </c>
      <c r="D75" s="36"/>
      <c r="E75" s="35"/>
      <c r="F75" s="35"/>
      <c r="G75" s="35"/>
      <c r="H75" s="35"/>
      <c r="I75" s="35"/>
      <c r="J75" s="35"/>
      <c r="K75" s="35"/>
      <c r="L75" s="40" t="str">
        <f aca="false">IF(OR(B75="",COUNTIF(H75:K75,"?*")=0),"",COUNTIF(H75:K75,"כן")/4)</f>
        <v/>
      </c>
    </row>
    <row r="76" customFormat="false" ht="15" hidden="false" customHeight="true" outlineLevel="0" collapsed="false">
      <c r="A76" s="37" t="s">
        <v>436</v>
      </c>
      <c r="B76" s="35"/>
      <c r="C76" s="37" t="str">
        <f aca="false">IF(B76="","",COUNTIF($B$5:B76,B76))</f>
        <v/>
      </c>
      <c r="D76" s="36"/>
      <c r="E76" s="35"/>
      <c r="F76" s="35"/>
      <c r="G76" s="35"/>
      <c r="H76" s="35"/>
      <c r="I76" s="35"/>
      <c r="J76" s="35"/>
      <c r="K76" s="35"/>
      <c r="L76" s="40" t="str">
        <f aca="false">IF(OR(B76="",COUNTIF(H76:K76,"?*")=0),"",COUNTIF(H76:K76,"כן")/4)</f>
        <v/>
      </c>
    </row>
    <row r="77" customFormat="false" ht="15" hidden="false" customHeight="true" outlineLevel="0" collapsed="false">
      <c r="A77" s="37" t="s">
        <v>437</v>
      </c>
      <c r="B77" s="35"/>
      <c r="C77" s="37" t="str">
        <f aca="false">IF(B77="","",COUNTIF($B$5:B77,B77))</f>
        <v/>
      </c>
      <c r="D77" s="36"/>
      <c r="E77" s="35"/>
      <c r="F77" s="35"/>
      <c r="G77" s="35"/>
      <c r="H77" s="35"/>
      <c r="I77" s="35"/>
      <c r="J77" s="35"/>
      <c r="K77" s="35"/>
      <c r="L77" s="40" t="str">
        <f aca="false">IF(OR(B77="",COUNTIF(H77:K77,"?*")=0),"",COUNTIF(H77:K77,"כן")/4)</f>
        <v/>
      </c>
    </row>
    <row r="78" customFormat="false" ht="15" hidden="false" customHeight="true" outlineLevel="0" collapsed="false">
      <c r="A78" s="37" t="s">
        <v>438</v>
      </c>
      <c r="B78" s="35"/>
      <c r="C78" s="37" t="str">
        <f aca="false">IF(B78="","",COUNTIF($B$5:B78,B78))</f>
        <v/>
      </c>
      <c r="D78" s="36"/>
      <c r="E78" s="35"/>
      <c r="F78" s="35"/>
      <c r="G78" s="35"/>
      <c r="H78" s="35"/>
      <c r="I78" s="35"/>
      <c r="J78" s="35"/>
      <c r="K78" s="35"/>
      <c r="L78" s="40" t="str">
        <f aca="false">IF(OR(B78="",COUNTIF(H78:K78,"?*")=0),"",COUNTIF(H78:K78,"כן")/4)</f>
        <v/>
      </c>
    </row>
    <row r="79" customFormat="false" ht="15" hidden="false" customHeight="true" outlineLevel="0" collapsed="false">
      <c r="A79" s="37" t="s">
        <v>439</v>
      </c>
      <c r="B79" s="35"/>
      <c r="C79" s="37" t="str">
        <f aca="false">IF(B79="","",COUNTIF($B$5:B79,B79))</f>
        <v/>
      </c>
      <c r="D79" s="36"/>
      <c r="E79" s="35"/>
      <c r="F79" s="35"/>
      <c r="G79" s="35"/>
      <c r="H79" s="35"/>
      <c r="I79" s="35"/>
      <c r="J79" s="35"/>
      <c r="K79" s="35"/>
      <c r="L79" s="40" t="str">
        <f aca="false">IF(OR(B79="",COUNTIF(H79:K79,"?*")=0),"",COUNTIF(H79:K79,"כן")/4)</f>
        <v/>
      </c>
    </row>
    <row r="80" customFormat="false" ht="15" hidden="false" customHeight="true" outlineLevel="0" collapsed="false">
      <c r="A80" s="37" t="s">
        <v>440</v>
      </c>
      <c r="B80" s="35"/>
      <c r="C80" s="37" t="str">
        <f aca="false">IF(B80="","",COUNTIF($B$5:B80,B80))</f>
        <v/>
      </c>
      <c r="D80" s="36"/>
      <c r="E80" s="35"/>
      <c r="F80" s="35"/>
      <c r="G80" s="35"/>
      <c r="H80" s="35"/>
      <c r="I80" s="35"/>
      <c r="J80" s="35"/>
      <c r="K80" s="35"/>
      <c r="L80" s="40" t="str">
        <f aca="false">IF(OR(B80="",COUNTIF(H80:K80,"?*")=0),"",COUNTIF(H80:K80,"כן")/4)</f>
        <v/>
      </c>
    </row>
    <row r="81" customFormat="false" ht="15" hidden="false" customHeight="true" outlineLevel="0" collapsed="false">
      <c r="A81" s="37" t="s">
        <v>441</v>
      </c>
      <c r="B81" s="35"/>
      <c r="C81" s="37" t="str">
        <f aca="false">IF(B81="","",COUNTIF($B$5:B81,B81))</f>
        <v/>
      </c>
      <c r="D81" s="36"/>
      <c r="E81" s="35"/>
      <c r="F81" s="35"/>
      <c r="G81" s="35"/>
      <c r="H81" s="35"/>
      <c r="I81" s="35"/>
      <c r="J81" s="35"/>
      <c r="K81" s="35"/>
      <c r="L81" s="40" t="str">
        <f aca="false">IF(OR(B81="",COUNTIF(H81:K81,"?*")=0),"",COUNTIF(H81:K81,"כן")/4)</f>
        <v/>
      </c>
    </row>
    <row r="82" customFormat="false" ht="15" hidden="false" customHeight="true" outlineLevel="0" collapsed="false">
      <c r="A82" s="37" t="s">
        <v>442</v>
      </c>
      <c r="B82" s="35"/>
      <c r="C82" s="37" t="str">
        <f aca="false">IF(B82="","",COUNTIF($B$5:B82,B82))</f>
        <v/>
      </c>
      <c r="D82" s="36"/>
      <c r="E82" s="35"/>
      <c r="F82" s="35"/>
      <c r="G82" s="35"/>
      <c r="H82" s="35"/>
      <c r="I82" s="35"/>
      <c r="J82" s="35"/>
      <c r="K82" s="35"/>
      <c r="L82" s="40" t="str">
        <f aca="false">IF(OR(B82="",COUNTIF(H82:K82,"?*")=0),"",COUNTIF(H82:K82,"כן")/4)</f>
        <v/>
      </c>
    </row>
    <row r="83" customFormat="false" ht="15" hidden="false" customHeight="true" outlineLevel="0" collapsed="false">
      <c r="A83" s="37" t="s">
        <v>443</v>
      </c>
      <c r="B83" s="35"/>
      <c r="C83" s="37" t="str">
        <f aca="false">IF(B83="","",COUNTIF($B$5:B83,B83))</f>
        <v/>
      </c>
      <c r="D83" s="36"/>
      <c r="E83" s="35"/>
      <c r="F83" s="35"/>
      <c r="G83" s="35"/>
      <c r="H83" s="35"/>
      <c r="I83" s="35"/>
      <c r="J83" s="35"/>
      <c r="K83" s="35"/>
      <c r="L83" s="40" t="str">
        <f aca="false">IF(OR(B83="",COUNTIF(H83:K83,"?*")=0),"",COUNTIF(H83:K83,"כן")/4)</f>
        <v/>
      </c>
    </row>
    <row r="84" customFormat="false" ht="15" hidden="false" customHeight="true" outlineLevel="0" collapsed="false">
      <c r="A84" s="37" t="s">
        <v>444</v>
      </c>
      <c r="B84" s="35"/>
      <c r="C84" s="37" t="str">
        <f aca="false">IF(B84="","",COUNTIF($B$5:B84,B84))</f>
        <v/>
      </c>
      <c r="D84" s="36"/>
      <c r="E84" s="35"/>
      <c r="F84" s="35"/>
      <c r="G84" s="35"/>
      <c r="H84" s="35"/>
      <c r="I84" s="35"/>
      <c r="J84" s="35"/>
      <c r="K84" s="35"/>
      <c r="L84" s="40" t="str">
        <f aca="false">IF(OR(B84="",COUNTIF(H84:K84,"?*")=0),"",COUNTIF(H84:K84,"כן")/4)</f>
        <v/>
      </c>
    </row>
    <row r="85" customFormat="false" ht="15" hidden="false" customHeight="true" outlineLevel="0" collapsed="false">
      <c r="A85" s="37" t="s">
        <v>445</v>
      </c>
      <c r="B85" s="35"/>
      <c r="C85" s="37" t="str">
        <f aca="false">IF(B85="","",COUNTIF($B$5:B85,B85))</f>
        <v/>
      </c>
      <c r="D85" s="36"/>
      <c r="E85" s="35"/>
      <c r="F85" s="35"/>
      <c r="G85" s="35"/>
      <c r="H85" s="35"/>
      <c r="I85" s="35"/>
      <c r="J85" s="35"/>
      <c r="K85" s="35"/>
      <c r="L85" s="40" t="str">
        <f aca="false">IF(OR(B85="",COUNTIF(H85:K85,"?*")=0),"",COUNTIF(H85:K85,"כן")/4)</f>
        <v/>
      </c>
    </row>
    <row r="86" customFormat="false" ht="15" hidden="false" customHeight="true" outlineLevel="0" collapsed="false">
      <c r="A86" s="37" t="s">
        <v>446</v>
      </c>
      <c r="B86" s="35"/>
      <c r="C86" s="37" t="str">
        <f aca="false">IF(B86="","",COUNTIF($B$5:B86,B86))</f>
        <v/>
      </c>
      <c r="D86" s="36"/>
      <c r="E86" s="35"/>
      <c r="F86" s="35"/>
      <c r="G86" s="35"/>
      <c r="H86" s="35"/>
      <c r="I86" s="35"/>
      <c r="J86" s="35"/>
      <c r="K86" s="35"/>
      <c r="L86" s="40" t="str">
        <f aca="false">IF(OR(B86="",COUNTIF(H86:K86,"?*")=0),"",COUNTIF(H86:K86,"כן")/4)</f>
        <v/>
      </c>
    </row>
    <row r="87" customFormat="false" ht="15" hidden="false" customHeight="true" outlineLevel="0" collapsed="false">
      <c r="A87" s="37" t="s">
        <v>447</v>
      </c>
      <c r="B87" s="35"/>
      <c r="C87" s="37" t="str">
        <f aca="false">IF(B87="","",COUNTIF($B$5:B87,B87))</f>
        <v/>
      </c>
      <c r="D87" s="36"/>
      <c r="E87" s="35"/>
      <c r="F87" s="35"/>
      <c r="G87" s="35"/>
      <c r="H87" s="35"/>
      <c r="I87" s="35"/>
      <c r="J87" s="35"/>
      <c r="K87" s="35"/>
      <c r="L87" s="40" t="str">
        <f aca="false">IF(OR(B87="",COUNTIF(H87:K87,"?*")=0),"",COUNTIF(H87:K87,"כן")/4)</f>
        <v/>
      </c>
    </row>
    <row r="88" customFormat="false" ht="15" hidden="false" customHeight="true" outlineLevel="0" collapsed="false">
      <c r="A88" s="37" t="s">
        <v>448</v>
      </c>
      <c r="B88" s="35"/>
      <c r="C88" s="37" t="str">
        <f aca="false">IF(B88="","",COUNTIF($B$5:B88,B88))</f>
        <v/>
      </c>
      <c r="D88" s="36"/>
      <c r="E88" s="35"/>
      <c r="F88" s="35"/>
      <c r="G88" s="35"/>
      <c r="H88" s="35"/>
      <c r="I88" s="35"/>
      <c r="J88" s="35"/>
      <c r="K88" s="35"/>
      <c r="L88" s="40" t="str">
        <f aca="false">IF(OR(B88="",COUNTIF(H88:K88,"?*")=0),"",COUNTIF(H88:K88,"כן")/4)</f>
        <v/>
      </c>
    </row>
    <row r="89" customFormat="false" ht="15" hidden="false" customHeight="true" outlineLevel="0" collapsed="false">
      <c r="A89" s="37" t="s">
        <v>449</v>
      </c>
      <c r="B89" s="35"/>
      <c r="C89" s="37" t="str">
        <f aca="false">IF(B89="","",COUNTIF($B$5:B89,B89))</f>
        <v/>
      </c>
      <c r="D89" s="36"/>
      <c r="E89" s="35"/>
      <c r="F89" s="35"/>
      <c r="G89" s="35"/>
      <c r="H89" s="35"/>
      <c r="I89" s="35"/>
      <c r="J89" s="35"/>
      <c r="K89" s="35"/>
      <c r="L89" s="40" t="str">
        <f aca="false">IF(OR(B89="",COUNTIF(H89:K89,"?*")=0),"",COUNTIF(H89:K89,"כן")/4)</f>
        <v/>
      </c>
    </row>
    <row r="90" customFormat="false" ht="15" hidden="false" customHeight="true" outlineLevel="0" collapsed="false">
      <c r="A90" s="37" t="s">
        <v>450</v>
      </c>
      <c r="B90" s="35"/>
      <c r="C90" s="37" t="str">
        <f aca="false">IF(B90="","",COUNTIF($B$5:B90,B90))</f>
        <v/>
      </c>
      <c r="D90" s="36"/>
      <c r="E90" s="35"/>
      <c r="F90" s="35"/>
      <c r="G90" s="35"/>
      <c r="H90" s="35"/>
      <c r="I90" s="35"/>
      <c r="J90" s="35"/>
      <c r="K90" s="35"/>
      <c r="L90" s="40" t="str">
        <f aca="false">IF(OR(B90="",COUNTIF(H90:K90,"?*")=0),"",COUNTIF(H90:K90,"כן")/4)</f>
        <v/>
      </c>
    </row>
    <row r="91" customFormat="false" ht="15" hidden="false" customHeight="true" outlineLevel="0" collapsed="false">
      <c r="A91" s="37" t="s">
        <v>451</v>
      </c>
      <c r="B91" s="35"/>
      <c r="C91" s="37" t="str">
        <f aca="false">IF(B91="","",COUNTIF($B$5:B91,B91))</f>
        <v/>
      </c>
      <c r="D91" s="36"/>
      <c r="E91" s="35"/>
      <c r="F91" s="35"/>
      <c r="G91" s="35"/>
      <c r="H91" s="35"/>
      <c r="I91" s="35"/>
      <c r="J91" s="35"/>
      <c r="K91" s="35"/>
      <c r="L91" s="40" t="str">
        <f aca="false">IF(OR(B91="",COUNTIF(H91:K91,"?*")=0),"",COUNTIF(H91:K91,"כן")/4)</f>
        <v/>
      </c>
    </row>
    <row r="92" customFormat="false" ht="15" hidden="false" customHeight="true" outlineLevel="0" collapsed="false">
      <c r="A92" s="37" t="s">
        <v>452</v>
      </c>
      <c r="B92" s="35"/>
      <c r="C92" s="37" t="str">
        <f aca="false">IF(B92="","",COUNTIF($B$5:B92,B92))</f>
        <v/>
      </c>
      <c r="D92" s="36"/>
      <c r="E92" s="35"/>
      <c r="F92" s="35"/>
      <c r="G92" s="35"/>
      <c r="H92" s="35"/>
      <c r="I92" s="35"/>
      <c r="J92" s="35"/>
      <c r="K92" s="35"/>
      <c r="L92" s="40" t="str">
        <f aca="false">IF(OR(B92="",COUNTIF(H92:K92,"?*")=0),"",COUNTIF(H92:K92,"כן")/4)</f>
        <v/>
      </c>
    </row>
    <row r="93" customFormat="false" ht="15" hidden="false" customHeight="true" outlineLevel="0" collapsed="false">
      <c r="A93" s="37" t="s">
        <v>453</v>
      </c>
      <c r="B93" s="35"/>
      <c r="C93" s="37" t="str">
        <f aca="false">IF(B93="","",COUNTIF($B$5:B93,B93))</f>
        <v/>
      </c>
      <c r="D93" s="36"/>
      <c r="E93" s="35"/>
      <c r="F93" s="35"/>
      <c r="G93" s="35"/>
      <c r="H93" s="35"/>
      <c r="I93" s="35"/>
      <c r="J93" s="35"/>
      <c r="K93" s="35"/>
      <c r="L93" s="40" t="str">
        <f aca="false">IF(OR(B93="",COUNTIF(H93:K93,"?*")=0),"",COUNTIF(H93:K93,"כן")/4)</f>
        <v/>
      </c>
    </row>
    <row r="94" customFormat="false" ht="15" hidden="false" customHeight="true" outlineLevel="0" collapsed="false">
      <c r="A94" s="37" t="s">
        <v>454</v>
      </c>
      <c r="B94" s="35"/>
      <c r="C94" s="37" t="str">
        <f aca="false">IF(B94="","",COUNTIF($B$5:B94,B94))</f>
        <v/>
      </c>
      <c r="D94" s="36"/>
      <c r="E94" s="35"/>
      <c r="F94" s="35"/>
      <c r="G94" s="35"/>
      <c r="H94" s="35"/>
      <c r="I94" s="35"/>
      <c r="J94" s="35"/>
      <c r="K94" s="35"/>
      <c r="L94" s="40" t="str">
        <f aca="false">IF(OR(B94="",COUNTIF(H94:K94,"?*")=0),"",COUNTIF(H94:K94,"כן")/4)</f>
        <v/>
      </c>
    </row>
    <row r="95" customFormat="false" ht="15" hidden="false" customHeight="true" outlineLevel="0" collapsed="false">
      <c r="A95" s="37" t="s">
        <v>455</v>
      </c>
      <c r="B95" s="35"/>
      <c r="C95" s="37" t="str">
        <f aca="false">IF(B95="","",COUNTIF($B$5:B95,B95))</f>
        <v/>
      </c>
      <c r="D95" s="36"/>
      <c r="E95" s="35"/>
      <c r="F95" s="35"/>
      <c r="G95" s="35"/>
      <c r="H95" s="35"/>
      <c r="I95" s="35"/>
      <c r="J95" s="35"/>
      <c r="K95" s="35"/>
      <c r="L95" s="40" t="str">
        <f aca="false">IF(OR(B95="",COUNTIF(H95:K95,"?*")=0),"",COUNTIF(H95:K95,"כן")/4)</f>
        <v/>
      </c>
    </row>
    <row r="96" customFormat="false" ht="15" hidden="false" customHeight="true" outlineLevel="0" collapsed="false">
      <c r="A96" s="37" t="s">
        <v>456</v>
      </c>
      <c r="B96" s="35"/>
      <c r="C96" s="37" t="str">
        <f aca="false">IF(B96="","",COUNTIF($B$5:B96,B96))</f>
        <v/>
      </c>
      <c r="D96" s="36"/>
      <c r="E96" s="35"/>
      <c r="F96" s="35"/>
      <c r="G96" s="35"/>
      <c r="H96" s="35"/>
      <c r="I96" s="35"/>
      <c r="J96" s="35"/>
      <c r="K96" s="35"/>
      <c r="L96" s="40" t="str">
        <f aca="false">IF(OR(B96="",COUNTIF(H96:K96,"?*")=0),"",COUNTIF(H96:K96,"כן")/4)</f>
        <v/>
      </c>
    </row>
    <row r="97" customFormat="false" ht="15" hidden="false" customHeight="true" outlineLevel="0" collapsed="false">
      <c r="A97" s="37" t="s">
        <v>457</v>
      </c>
      <c r="B97" s="35"/>
      <c r="C97" s="37" t="str">
        <f aca="false">IF(B97="","",COUNTIF($B$5:B97,B97))</f>
        <v/>
      </c>
      <c r="D97" s="36"/>
      <c r="E97" s="35"/>
      <c r="F97" s="35"/>
      <c r="G97" s="35"/>
      <c r="H97" s="35"/>
      <c r="I97" s="35"/>
      <c r="J97" s="35"/>
      <c r="K97" s="35"/>
      <c r="L97" s="40" t="str">
        <f aca="false">IF(OR(B97="",COUNTIF(H97:K97,"?*")=0),"",COUNTIF(H97:K97,"כן")/4)</f>
        <v/>
      </c>
    </row>
    <row r="98" customFormat="false" ht="15" hidden="false" customHeight="true" outlineLevel="0" collapsed="false">
      <c r="A98" s="37" t="s">
        <v>458</v>
      </c>
      <c r="B98" s="35"/>
      <c r="C98" s="37" t="str">
        <f aca="false">IF(B98="","",COUNTIF($B$5:B98,B98))</f>
        <v/>
      </c>
      <c r="D98" s="36"/>
      <c r="E98" s="35"/>
      <c r="F98" s="35"/>
      <c r="G98" s="35"/>
      <c r="H98" s="35"/>
      <c r="I98" s="35"/>
      <c r="J98" s="35"/>
      <c r="K98" s="35"/>
      <c r="L98" s="40" t="str">
        <f aca="false">IF(OR(B98="",COUNTIF(H98:K98,"?*")=0),"",COUNTIF(H98:K98,"כן")/4)</f>
        <v/>
      </c>
    </row>
    <row r="99" customFormat="false" ht="15" hidden="false" customHeight="true" outlineLevel="0" collapsed="false">
      <c r="A99" s="37" t="s">
        <v>459</v>
      </c>
      <c r="B99" s="35"/>
      <c r="C99" s="37" t="str">
        <f aca="false">IF(B99="","",COUNTIF($B$5:B99,B99))</f>
        <v/>
      </c>
      <c r="D99" s="36"/>
      <c r="E99" s="35"/>
      <c r="F99" s="35"/>
      <c r="G99" s="35"/>
      <c r="H99" s="35"/>
      <c r="I99" s="35"/>
      <c r="J99" s="35"/>
      <c r="K99" s="35"/>
      <c r="L99" s="40" t="str">
        <f aca="false">IF(OR(B99="",COUNTIF(H99:K99,"?*")=0),"",COUNTIF(H99:K99,"כן")/4)</f>
        <v/>
      </c>
    </row>
    <row r="100" customFormat="false" ht="15" hidden="false" customHeight="true" outlineLevel="0" collapsed="false">
      <c r="A100" s="37" t="s">
        <v>460</v>
      </c>
      <c r="B100" s="35"/>
      <c r="C100" s="37" t="str">
        <f aca="false">IF(B100="","",COUNTIF($B$5:B100,B100))</f>
        <v/>
      </c>
      <c r="D100" s="36"/>
      <c r="E100" s="35"/>
      <c r="F100" s="35"/>
      <c r="G100" s="35"/>
      <c r="H100" s="35"/>
      <c r="I100" s="35"/>
      <c r="J100" s="35"/>
      <c r="K100" s="35"/>
      <c r="L100" s="40" t="str">
        <f aca="false">IF(OR(B100="",COUNTIF(H100:K100,"?*")=0),"",COUNTIF(H100:K100,"כן")/4)</f>
        <v/>
      </c>
    </row>
    <row r="101" customFormat="false" ht="15" hidden="false" customHeight="true" outlineLevel="0" collapsed="false">
      <c r="A101" s="37" t="s">
        <v>461</v>
      </c>
      <c r="B101" s="35"/>
      <c r="C101" s="37" t="str">
        <f aca="false">IF(B101="","",COUNTIF($B$5:B101,B101))</f>
        <v/>
      </c>
      <c r="D101" s="36"/>
      <c r="E101" s="35"/>
      <c r="F101" s="35"/>
      <c r="G101" s="35"/>
      <c r="H101" s="35"/>
      <c r="I101" s="35"/>
      <c r="J101" s="35"/>
      <c r="K101" s="35"/>
      <c r="L101" s="40" t="str">
        <f aca="false">IF(OR(B101="",COUNTIF(H101:K101,"?*")=0),"",COUNTIF(H101:K101,"כן")/4)</f>
        <v/>
      </c>
    </row>
    <row r="102" customFormat="false" ht="15" hidden="false" customHeight="true" outlineLevel="0" collapsed="false">
      <c r="A102" s="37" t="s">
        <v>462</v>
      </c>
      <c r="B102" s="35"/>
      <c r="C102" s="37" t="str">
        <f aca="false">IF(B102="","",COUNTIF($B$5:B102,B102))</f>
        <v/>
      </c>
      <c r="D102" s="36"/>
      <c r="E102" s="35"/>
      <c r="F102" s="35"/>
      <c r="G102" s="35"/>
      <c r="H102" s="35"/>
      <c r="I102" s="35"/>
      <c r="J102" s="35"/>
      <c r="K102" s="35"/>
      <c r="L102" s="40" t="str">
        <f aca="false">IF(OR(B102="",COUNTIF(H102:K102,"?*")=0),"",COUNTIF(H102:K102,"כן")/4)</f>
        <v/>
      </c>
    </row>
    <row r="103" customFormat="false" ht="15" hidden="false" customHeight="true" outlineLevel="0" collapsed="false">
      <c r="A103" s="37" t="s">
        <v>463</v>
      </c>
      <c r="B103" s="35"/>
      <c r="C103" s="37" t="str">
        <f aca="false">IF(B103="","",COUNTIF($B$5:B103,B103))</f>
        <v/>
      </c>
      <c r="D103" s="36"/>
      <c r="E103" s="35"/>
      <c r="F103" s="35"/>
      <c r="G103" s="35"/>
      <c r="H103" s="35"/>
      <c r="I103" s="35"/>
      <c r="J103" s="35"/>
      <c r="K103" s="35"/>
      <c r="L103" s="40" t="str">
        <f aca="false">IF(OR(B103="",COUNTIF(H103:K103,"?*")=0),"",COUNTIF(H103:K103,"כן")/4)</f>
        <v/>
      </c>
    </row>
    <row r="104" customFormat="false" ht="15" hidden="false" customHeight="true" outlineLevel="0" collapsed="false">
      <c r="A104" s="37" t="s">
        <v>464</v>
      </c>
      <c r="B104" s="35"/>
      <c r="C104" s="37" t="str">
        <f aca="false">IF(B104="","",COUNTIF($B$5:B104,B104))</f>
        <v/>
      </c>
      <c r="D104" s="36"/>
      <c r="E104" s="35"/>
      <c r="F104" s="35"/>
      <c r="G104" s="35"/>
      <c r="H104" s="35"/>
      <c r="I104" s="35"/>
      <c r="J104" s="35"/>
      <c r="K104" s="35"/>
      <c r="L104" s="40" t="str">
        <f aca="false">IF(OR(B104="",COUNTIF(H104:K104,"?*")=0),"",COUNTIF(H104:K104,"כן")/4)</f>
        <v/>
      </c>
    </row>
  </sheetData>
  <dataValidations count="9">
    <dataValidation allowBlank="true" errorStyle="stop" operator="between" showDropDown="false" showErrorMessage="false" showInputMessage="false" sqref="B5:B104" type="list">
      <formula1>Patients!$A$6:$A$25</formula1>
      <formula2>0</formula2>
    </dataValidation>
    <dataValidation allowBlank="true" error="תאריך בפורמט dd/mm/yyyy, בין 2020 ל-2030" errorStyle="stop" operator="between" showDropDown="false" showErrorMessage="true" showInputMessage="false" sqref="D5:D104" type="date">
      <formula1>DATE(2020,1,1)</formula1>
      <formula2>DATE(2030,12,31)</formula2>
    </dataValidation>
    <dataValidation allowBlank="true" error="בחר ערך מהרשימה" errorStyle="stop" errorTitle="ערך לא תקין" operator="between" showDropDown="false" showErrorMessage="true" showInputMessage="false" sqref="E5:E104" type="list">
      <formula1>L_mdtout</formula1>
      <formula2>0</formula2>
    </dataValidation>
    <dataValidation allowBlank="true" error="בחר ערך מהרשימה" errorStyle="stop" errorTitle="ערך לא תקין" operator="between" showDropDown="false" showErrorMessage="true" showInputMessage="false" sqref="F5:F104" type="list">
      <formula1>L_defer</formula1>
      <formula2>0</formula2>
    </dataValidation>
    <dataValidation allowBlank="true" error="בחר ערך מהרשימה" errorStyle="stop" errorTitle="ערך לא תקין" operator="between" showDropDown="false" showErrorMessage="true" showInputMessage="false" sqref="G5:G104" type="list">
      <formula1>L_yn</formula1>
      <formula2>0</formula2>
    </dataValidation>
    <dataValidation allowBlank="true" error="בחר ערך מהרשימה" errorStyle="stop" errorTitle="ערך לא תקין" operator="between" showDropDown="false" showErrorMessage="true" showInputMessage="false" sqref="H5:H104" type="list">
      <formula1>L_yn</formula1>
      <formula2>0</formula2>
    </dataValidation>
    <dataValidation allowBlank="true" error="בחר ערך מהרשימה" errorStyle="stop" errorTitle="ערך לא תקין" operator="between" showDropDown="false" showErrorMessage="true" showInputMessage="false" sqref="I5:I104" type="list">
      <formula1>L_yn</formula1>
      <formula2>0</formula2>
    </dataValidation>
    <dataValidation allowBlank="true" error="בחר ערך מהרשימה" errorStyle="stop" errorTitle="ערך לא תקין" operator="between" showDropDown="false" showErrorMessage="true" showInputMessage="false" sqref="J5:J104" type="list">
      <formula1>L_yn</formula1>
      <formula2>0</formula2>
    </dataValidation>
    <dataValidation allowBlank="true" error="בחר ערך מהרשימה" errorStyle="stop" errorTitle="ערך לא תקין" operator="between" showDropDown="false" showErrorMessage="true" showInputMessage="false" sqref="K5:K104" type="list">
      <formula1>L_yn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04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25"/>
    <col collapsed="false" customWidth="true" hidden="false" outlineLevel="0" max="3" min="3" style="1" width="12"/>
    <col collapsed="false" customWidth="true" hidden="false" outlineLevel="0" max="4" min="4" style="1" width="18"/>
    <col collapsed="false" customWidth="true" hidden="false" outlineLevel="0" max="5" min="5" style="1" width="20"/>
    <col collapsed="false" customWidth="true" hidden="false" outlineLevel="0" max="9" min="6" style="1" width="15"/>
    <col collapsed="false" customWidth="true" hidden="false" outlineLevel="0" max="10" min="10" style="1" width="10"/>
    <col collapsed="false" customWidth="true" hidden="false" outlineLevel="0" max="11" min="11" style="1" width="11"/>
    <col collapsed="false" customWidth="true" hidden="false" outlineLevel="0" max="14" min="12" style="1" width="10"/>
  </cols>
  <sheetData>
    <row r="1" customFormat="false" ht="15" hidden="false" customHeight="true" outlineLevel="0" collapsed="false">
      <c r="A1" s="24" t="s">
        <v>465</v>
      </c>
    </row>
    <row r="3" customFormat="false" ht="39.75" hidden="false" customHeight="true" outlineLevel="0" collapsed="false">
      <c r="A3" s="26" t="s">
        <v>466</v>
      </c>
      <c r="B3" s="26" t="s">
        <v>320</v>
      </c>
      <c r="C3" s="26" t="s">
        <v>467</v>
      </c>
      <c r="D3" s="26" t="s">
        <v>468</v>
      </c>
      <c r="E3" s="26" t="s">
        <v>469</v>
      </c>
      <c r="F3" s="26" t="s">
        <v>470</v>
      </c>
      <c r="G3" s="26" t="s">
        <v>471</v>
      </c>
      <c r="H3" s="26" t="s">
        <v>472</v>
      </c>
      <c r="I3" s="26" t="s">
        <v>473</v>
      </c>
      <c r="J3" s="26" t="s">
        <v>474</v>
      </c>
      <c r="K3" s="26" t="s">
        <v>475</v>
      </c>
      <c r="L3" s="26" t="s">
        <v>476</v>
      </c>
      <c r="M3" s="26" t="s">
        <v>477</v>
      </c>
      <c r="N3" s="26" t="s">
        <v>478</v>
      </c>
    </row>
    <row r="4" customFormat="false" ht="15" hidden="false" customHeight="true" outlineLevel="0" collapsed="false">
      <c r="A4" s="27" t="s">
        <v>479</v>
      </c>
      <c r="B4" s="27" t="s">
        <v>332</v>
      </c>
      <c r="C4" s="27" t="s">
        <v>480</v>
      </c>
      <c r="D4" s="27" t="s">
        <v>481</v>
      </c>
      <c r="E4" s="27" t="s">
        <v>482</v>
      </c>
      <c r="F4" s="27" t="s">
        <v>483</v>
      </c>
      <c r="G4" s="27" t="s">
        <v>484</v>
      </c>
      <c r="H4" s="27" t="s">
        <v>485</v>
      </c>
      <c r="I4" s="27" t="s">
        <v>486</v>
      </c>
      <c r="J4" s="27" t="s">
        <v>487</v>
      </c>
      <c r="K4" s="27" t="s">
        <v>488</v>
      </c>
      <c r="L4" s="27" t="s">
        <v>489</v>
      </c>
      <c r="M4" s="27" t="s">
        <v>490</v>
      </c>
      <c r="N4" s="27" t="s">
        <v>491</v>
      </c>
    </row>
    <row r="5" customFormat="false" ht="15" hidden="false" customHeight="true" outlineLevel="0" collapsed="false">
      <c r="A5" s="37" t="s">
        <v>492</v>
      </c>
      <c r="B5" s="35"/>
      <c r="C5" s="35"/>
      <c r="D5" s="35"/>
      <c r="E5" s="35"/>
      <c r="F5" s="41"/>
      <c r="G5" s="41"/>
      <c r="H5" s="41"/>
      <c r="I5" s="41"/>
      <c r="J5" s="35"/>
      <c r="K5" s="37" t="str">
        <f aca="false">IF(F5="","",IF(I5&lt;&gt;"","נסגרה",IF(H5&lt;&gt;"","נענתה",IF(G5&lt;&gt;"","אושרה קבלה","נפתחה"))))</f>
        <v/>
      </c>
      <c r="L5" s="42" t="str">
        <f aca="false">IF(OR(F5="",G5=""),"",G5-F5)</f>
        <v/>
      </c>
      <c r="M5" s="42" t="str">
        <f aca="false">IF(OR(F5="",H5=""),"",H5-F5)</f>
        <v/>
      </c>
      <c r="N5" s="42" t="str">
        <f aca="false">IF(OR(F5="",I5=""),"",I5-F5)</f>
        <v/>
      </c>
    </row>
    <row r="6" customFormat="false" ht="15" hidden="false" customHeight="true" outlineLevel="0" collapsed="false">
      <c r="A6" s="37" t="s">
        <v>493</v>
      </c>
      <c r="B6" s="35"/>
      <c r="C6" s="35"/>
      <c r="D6" s="35"/>
      <c r="E6" s="35"/>
      <c r="F6" s="41"/>
      <c r="G6" s="41"/>
      <c r="H6" s="41"/>
      <c r="I6" s="41"/>
      <c r="J6" s="35"/>
      <c r="K6" s="37" t="str">
        <f aca="false">IF(F6="","",IF(I6&lt;&gt;"","נסגרה",IF(H6&lt;&gt;"","נענתה",IF(G6&lt;&gt;"","אושרה קבלה","נפתחה"))))</f>
        <v/>
      </c>
      <c r="L6" s="42" t="str">
        <f aca="false">IF(OR(F6="",G6=""),"",G6-F6)</f>
        <v/>
      </c>
      <c r="M6" s="42" t="str">
        <f aca="false">IF(OR(F6="",H6=""),"",H6-F6)</f>
        <v/>
      </c>
      <c r="N6" s="42" t="str">
        <f aca="false">IF(OR(F6="",I6=""),"",I6-F6)</f>
        <v/>
      </c>
    </row>
    <row r="7" customFormat="false" ht="15" hidden="false" customHeight="true" outlineLevel="0" collapsed="false">
      <c r="A7" s="37" t="s">
        <v>494</v>
      </c>
      <c r="B7" s="35"/>
      <c r="C7" s="35"/>
      <c r="D7" s="35"/>
      <c r="E7" s="35"/>
      <c r="F7" s="41"/>
      <c r="G7" s="41"/>
      <c r="H7" s="41"/>
      <c r="I7" s="41"/>
      <c r="J7" s="35"/>
      <c r="K7" s="37" t="str">
        <f aca="false">IF(F7="","",IF(I7&lt;&gt;"","נסגרה",IF(H7&lt;&gt;"","נענתה",IF(G7&lt;&gt;"","אושרה קבלה","נפתחה"))))</f>
        <v/>
      </c>
      <c r="L7" s="42" t="str">
        <f aca="false">IF(OR(F7="",G7=""),"",G7-F7)</f>
        <v/>
      </c>
      <c r="M7" s="42" t="str">
        <f aca="false">IF(OR(F7="",H7=""),"",H7-F7)</f>
        <v/>
      </c>
      <c r="N7" s="42" t="str">
        <f aca="false">IF(OR(F7="",I7=""),"",I7-F7)</f>
        <v/>
      </c>
    </row>
    <row r="8" customFormat="false" ht="15" hidden="false" customHeight="true" outlineLevel="0" collapsed="false">
      <c r="A8" s="37" t="s">
        <v>495</v>
      </c>
      <c r="B8" s="35"/>
      <c r="C8" s="35"/>
      <c r="D8" s="35"/>
      <c r="E8" s="35"/>
      <c r="F8" s="41"/>
      <c r="G8" s="41"/>
      <c r="H8" s="41"/>
      <c r="I8" s="41"/>
      <c r="J8" s="35"/>
      <c r="K8" s="37" t="str">
        <f aca="false">IF(F8="","",IF(I8&lt;&gt;"","נסגרה",IF(H8&lt;&gt;"","נענתה",IF(G8&lt;&gt;"","אושרה קבלה","נפתחה"))))</f>
        <v/>
      </c>
      <c r="L8" s="42" t="str">
        <f aca="false">IF(OR(F8="",G8=""),"",G8-F8)</f>
        <v/>
      </c>
      <c r="M8" s="42" t="str">
        <f aca="false">IF(OR(F8="",H8=""),"",H8-F8)</f>
        <v/>
      </c>
      <c r="N8" s="42" t="str">
        <f aca="false">IF(OR(F8="",I8=""),"",I8-F8)</f>
        <v/>
      </c>
    </row>
    <row r="9" customFormat="false" ht="15" hidden="false" customHeight="true" outlineLevel="0" collapsed="false">
      <c r="A9" s="37" t="s">
        <v>496</v>
      </c>
      <c r="B9" s="35"/>
      <c r="C9" s="35"/>
      <c r="D9" s="35"/>
      <c r="E9" s="35"/>
      <c r="F9" s="41"/>
      <c r="G9" s="41"/>
      <c r="H9" s="41"/>
      <c r="I9" s="41"/>
      <c r="J9" s="35"/>
      <c r="K9" s="37" t="str">
        <f aca="false">IF(F9="","",IF(I9&lt;&gt;"","נסגרה",IF(H9&lt;&gt;"","נענתה",IF(G9&lt;&gt;"","אושרה קבלה","נפתחה"))))</f>
        <v/>
      </c>
      <c r="L9" s="42" t="str">
        <f aca="false">IF(OR(F9="",G9=""),"",G9-F9)</f>
        <v/>
      </c>
      <c r="M9" s="42" t="str">
        <f aca="false">IF(OR(F9="",H9=""),"",H9-F9)</f>
        <v/>
      </c>
      <c r="N9" s="42" t="str">
        <f aca="false">IF(OR(F9="",I9=""),"",I9-F9)</f>
        <v/>
      </c>
    </row>
    <row r="10" customFormat="false" ht="15" hidden="false" customHeight="true" outlineLevel="0" collapsed="false">
      <c r="A10" s="37" t="s">
        <v>497</v>
      </c>
      <c r="B10" s="35"/>
      <c r="C10" s="35"/>
      <c r="D10" s="35"/>
      <c r="E10" s="35"/>
      <c r="F10" s="41"/>
      <c r="G10" s="41"/>
      <c r="H10" s="41"/>
      <c r="I10" s="41"/>
      <c r="J10" s="35"/>
      <c r="K10" s="37" t="str">
        <f aca="false">IF(F10="","",IF(I10&lt;&gt;"","נסגרה",IF(H10&lt;&gt;"","נענתה",IF(G10&lt;&gt;"","אושרה קבלה","נפתחה"))))</f>
        <v/>
      </c>
      <c r="L10" s="42" t="str">
        <f aca="false">IF(OR(F10="",G10=""),"",G10-F10)</f>
        <v/>
      </c>
      <c r="M10" s="42" t="str">
        <f aca="false">IF(OR(F10="",H10=""),"",H10-F10)</f>
        <v/>
      </c>
      <c r="N10" s="42" t="str">
        <f aca="false">IF(OR(F10="",I10=""),"",I10-F10)</f>
        <v/>
      </c>
    </row>
    <row r="11" customFormat="false" ht="15" hidden="false" customHeight="true" outlineLevel="0" collapsed="false">
      <c r="A11" s="37" t="s">
        <v>498</v>
      </c>
      <c r="B11" s="35"/>
      <c r="C11" s="35"/>
      <c r="D11" s="35"/>
      <c r="E11" s="35"/>
      <c r="F11" s="41"/>
      <c r="G11" s="41"/>
      <c r="H11" s="41"/>
      <c r="I11" s="41"/>
      <c r="J11" s="35"/>
      <c r="K11" s="37" t="str">
        <f aca="false">IF(F11="","",IF(I11&lt;&gt;"","נסגרה",IF(H11&lt;&gt;"","נענתה",IF(G11&lt;&gt;"","אושרה קבלה","נפתחה"))))</f>
        <v/>
      </c>
      <c r="L11" s="42" t="str">
        <f aca="false">IF(OR(F11="",G11=""),"",G11-F11)</f>
        <v/>
      </c>
      <c r="M11" s="42" t="str">
        <f aca="false">IF(OR(F11="",H11=""),"",H11-F11)</f>
        <v/>
      </c>
      <c r="N11" s="42" t="str">
        <f aca="false">IF(OR(F11="",I11=""),"",I11-F11)</f>
        <v/>
      </c>
    </row>
    <row r="12" customFormat="false" ht="15" hidden="false" customHeight="true" outlineLevel="0" collapsed="false">
      <c r="A12" s="37" t="s">
        <v>499</v>
      </c>
      <c r="B12" s="35"/>
      <c r="C12" s="35"/>
      <c r="D12" s="35"/>
      <c r="E12" s="35"/>
      <c r="F12" s="41"/>
      <c r="G12" s="41"/>
      <c r="H12" s="41"/>
      <c r="I12" s="41"/>
      <c r="J12" s="35"/>
      <c r="K12" s="37" t="str">
        <f aca="false">IF(F12="","",IF(I12&lt;&gt;"","נסגרה",IF(H12&lt;&gt;"","נענתה",IF(G12&lt;&gt;"","אושרה קבלה","נפתחה"))))</f>
        <v/>
      </c>
      <c r="L12" s="42" t="str">
        <f aca="false">IF(OR(F12="",G12=""),"",G12-F12)</f>
        <v/>
      </c>
      <c r="M12" s="42" t="str">
        <f aca="false">IF(OR(F12="",H12=""),"",H12-F12)</f>
        <v/>
      </c>
      <c r="N12" s="42" t="str">
        <f aca="false">IF(OR(F12="",I12=""),"",I12-F12)</f>
        <v/>
      </c>
    </row>
    <row r="13" customFormat="false" ht="15" hidden="false" customHeight="true" outlineLevel="0" collapsed="false">
      <c r="A13" s="37" t="s">
        <v>500</v>
      </c>
      <c r="B13" s="35"/>
      <c r="C13" s="35"/>
      <c r="D13" s="35"/>
      <c r="E13" s="35"/>
      <c r="F13" s="41"/>
      <c r="G13" s="41"/>
      <c r="H13" s="41"/>
      <c r="I13" s="41"/>
      <c r="J13" s="35"/>
      <c r="K13" s="37" t="str">
        <f aca="false">IF(F13="","",IF(I13&lt;&gt;"","נסגרה",IF(H13&lt;&gt;"","נענתה",IF(G13&lt;&gt;"","אושרה קבלה","נפתחה"))))</f>
        <v/>
      </c>
      <c r="L13" s="42" t="str">
        <f aca="false">IF(OR(F13="",G13=""),"",G13-F13)</f>
        <v/>
      </c>
      <c r="M13" s="42" t="str">
        <f aca="false">IF(OR(F13="",H13=""),"",H13-F13)</f>
        <v/>
      </c>
      <c r="N13" s="42" t="str">
        <f aca="false">IF(OR(F13="",I13=""),"",I13-F13)</f>
        <v/>
      </c>
    </row>
    <row r="14" customFormat="false" ht="15" hidden="false" customHeight="true" outlineLevel="0" collapsed="false">
      <c r="A14" s="37" t="s">
        <v>501</v>
      </c>
      <c r="B14" s="35"/>
      <c r="C14" s="35"/>
      <c r="D14" s="35"/>
      <c r="E14" s="35"/>
      <c r="F14" s="41"/>
      <c r="G14" s="41"/>
      <c r="H14" s="41"/>
      <c r="I14" s="41"/>
      <c r="J14" s="35"/>
      <c r="K14" s="37" t="str">
        <f aca="false">IF(F14="","",IF(I14&lt;&gt;"","נסגרה",IF(H14&lt;&gt;"","נענתה",IF(G14&lt;&gt;"","אושרה קבלה","נפתחה"))))</f>
        <v/>
      </c>
      <c r="L14" s="42" t="str">
        <f aca="false">IF(OR(F14="",G14=""),"",G14-F14)</f>
        <v/>
      </c>
      <c r="M14" s="42" t="str">
        <f aca="false">IF(OR(F14="",H14=""),"",H14-F14)</f>
        <v/>
      </c>
      <c r="N14" s="42" t="str">
        <f aca="false">IF(OR(F14="",I14=""),"",I14-F14)</f>
        <v/>
      </c>
    </row>
    <row r="15" customFormat="false" ht="15" hidden="false" customHeight="true" outlineLevel="0" collapsed="false">
      <c r="A15" s="37" t="s">
        <v>502</v>
      </c>
      <c r="B15" s="35"/>
      <c r="C15" s="35"/>
      <c r="D15" s="35"/>
      <c r="E15" s="35"/>
      <c r="F15" s="41"/>
      <c r="G15" s="41"/>
      <c r="H15" s="41"/>
      <c r="I15" s="41"/>
      <c r="J15" s="35"/>
      <c r="K15" s="37" t="str">
        <f aca="false">IF(F15="","",IF(I15&lt;&gt;"","נסגרה",IF(H15&lt;&gt;"","נענתה",IF(G15&lt;&gt;"","אושרה קבלה","נפתחה"))))</f>
        <v/>
      </c>
      <c r="L15" s="42" t="str">
        <f aca="false">IF(OR(F15="",G15=""),"",G15-F15)</f>
        <v/>
      </c>
      <c r="M15" s="42" t="str">
        <f aca="false">IF(OR(F15="",H15=""),"",H15-F15)</f>
        <v/>
      </c>
      <c r="N15" s="42" t="str">
        <f aca="false">IF(OR(F15="",I15=""),"",I15-F15)</f>
        <v/>
      </c>
    </row>
    <row r="16" customFormat="false" ht="15" hidden="false" customHeight="true" outlineLevel="0" collapsed="false">
      <c r="A16" s="37" t="s">
        <v>503</v>
      </c>
      <c r="B16" s="35"/>
      <c r="C16" s="35"/>
      <c r="D16" s="35"/>
      <c r="E16" s="35"/>
      <c r="F16" s="41"/>
      <c r="G16" s="41"/>
      <c r="H16" s="41"/>
      <c r="I16" s="41"/>
      <c r="J16" s="35"/>
      <c r="K16" s="37" t="str">
        <f aca="false">IF(F16="","",IF(I16&lt;&gt;"","נסגרה",IF(H16&lt;&gt;"","נענתה",IF(G16&lt;&gt;"","אושרה קבלה","נפתחה"))))</f>
        <v/>
      </c>
      <c r="L16" s="42" t="str">
        <f aca="false">IF(OR(F16="",G16=""),"",G16-F16)</f>
        <v/>
      </c>
      <c r="M16" s="42" t="str">
        <f aca="false">IF(OR(F16="",H16=""),"",H16-F16)</f>
        <v/>
      </c>
      <c r="N16" s="42" t="str">
        <f aca="false">IF(OR(F16="",I16=""),"",I16-F16)</f>
        <v/>
      </c>
    </row>
    <row r="17" customFormat="false" ht="15" hidden="false" customHeight="true" outlineLevel="0" collapsed="false">
      <c r="A17" s="37" t="s">
        <v>504</v>
      </c>
      <c r="B17" s="35"/>
      <c r="C17" s="35"/>
      <c r="D17" s="35"/>
      <c r="E17" s="35"/>
      <c r="F17" s="41"/>
      <c r="G17" s="41"/>
      <c r="H17" s="41"/>
      <c r="I17" s="41"/>
      <c r="J17" s="35"/>
      <c r="K17" s="37" t="str">
        <f aca="false">IF(F17="","",IF(I17&lt;&gt;"","נסגרה",IF(H17&lt;&gt;"","נענתה",IF(G17&lt;&gt;"","אושרה קבלה","נפתחה"))))</f>
        <v/>
      </c>
      <c r="L17" s="42" t="str">
        <f aca="false">IF(OR(F17="",G17=""),"",G17-F17)</f>
        <v/>
      </c>
      <c r="M17" s="42" t="str">
        <f aca="false">IF(OR(F17="",H17=""),"",H17-F17)</f>
        <v/>
      </c>
      <c r="N17" s="42" t="str">
        <f aca="false">IF(OR(F17="",I17=""),"",I17-F17)</f>
        <v/>
      </c>
    </row>
    <row r="18" customFormat="false" ht="15" hidden="false" customHeight="true" outlineLevel="0" collapsed="false">
      <c r="A18" s="37" t="s">
        <v>505</v>
      </c>
      <c r="B18" s="35"/>
      <c r="C18" s="35"/>
      <c r="D18" s="35"/>
      <c r="E18" s="35"/>
      <c r="F18" s="41"/>
      <c r="G18" s="41"/>
      <c r="H18" s="41"/>
      <c r="I18" s="41"/>
      <c r="J18" s="35"/>
      <c r="K18" s="37" t="str">
        <f aca="false">IF(F18="","",IF(I18&lt;&gt;"","נסגרה",IF(H18&lt;&gt;"","נענתה",IF(G18&lt;&gt;"","אושרה קבלה","נפתחה"))))</f>
        <v/>
      </c>
      <c r="L18" s="42" t="str">
        <f aca="false">IF(OR(F18="",G18=""),"",G18-F18)</f>
        <v/>
      </c>
      <c r="M18" s="42" t="str">
        <f aca="false">IF(OR(F18="",H18=""),"",H18-F18)</f>
        <v/>
      </c>
      <c r="N18" s="42" t="str">
        <f aca="false">IF(OR(F18="",I18=""),"",I18-F18)</f>
        <v/>
      </c>
    </row>
    <row r="19" customFormat="false" ht="15" hidden="false" customHeight="true" outlineLevel="0" collapsed="false">
      <c r="A19" s="37" t="s">
        <v>506</v>
      </c>
      <c r="B19" s="35"/>
      <c r="C19" s="35"/>
      <c r="D19" s="35"/>
      <c r="E19" s="35"/>
      <c r="F19" s="41"/>
      <c r="G19" s="41"/>
      <c r="H19" s="41"/>
      <c r="I19" s="41"/>
      <c r="J19" s="35"/>
      <c r="K19" s="37" t="str">
        <f aca="false">IF(F19="","",IF(I19&lt;&gt;"","נסגרה",IF(H19&lt;&gt;"","נענתה",IF(G19&lt;&gt;"","אושרה קבלה","נפתחה"))))</f>
        <v/>
      </c>
      <c r="L19" s="42" t="str">
        <f aca="false">IF(OR(F19="",G19=""),"",G19-F19)</f>
        <v/>
      </c>
      <c r="M19" s="42" t="str">
        <f aca="false">IF(OR(F19="",H19=""),"",H19-F19)</f>
        <v/>
      </c>
      <c r="N19" s="42" t="str">
        <f aca="false">IF(OR(F19="",I19=""),"",I19-F19)</f>
        <v/>
      </c>
    </row>
    <row r="20" customFormat="false" ht="15" hidden="false" customHeight="true" outlineLevel="0" collapsed="false">
      <c r="A20" s="37" t="s">
        <v>507</v>
      </c>
      <c r="B20" s="35"/>
      <c r="C20" s="35"/>
      <c r="D20" s="35"/>
      <c r="E20" s="35"/>
      <c r="F20" s="41"/>
      <c r="G20" s="41"/>
      <c r="H20" s="41"/>
      <c r="I20" s="41"/>
      <c r="J20" s="35"/>
      <c r="K20" s="37" t="str">
        <f aca="false">IF(F20="","",IF(I20&lt;&gt;"","נסגרה",IF(H20&lt;&gt;"","נענתה",IF(G20&lt;&gt;"","אושרה קבלה","נפתחה"))))</f>
        <v/>
      </c>
      <c r="L20" s="42" t="str">
        <f aca="false">IF(OR(F20="",G20=""),"",G20-F20)</f>
        <v/>
      </c>
      <c r="M20" s="42" t="str">
        <f aca="false">IF(OR(F20="",H20=""),"",H20-F20)</f>
        <v/>
      </c>
      <c r="N20" s="42" t="str">
        <f aca="false">IF(OR(F20="",I20=""),"",I20-F20)</f>
        <v/>
      </c>
    </row>
    <row r="21" customFormat="false" ht="15" hidden="false" customHeight="true" outlineLevel="0" collapsed="false">
      <c r="A21" s="37" t="s">
        <v>508</v>
      </c>
      <c r="B21" s="35"/>
      <c r="C21" s="35"/>
      <c r="D21" s="35"/>
      <c r="E21" s="35"/>
      <c r="F21" s="41"/>
      <c r="G21" s="41"/>
      <c r="H21" s="41"/>
      <c r="I21" s="41"/>
      <c r="J21" s="35"/>
      <c r="K21" s="37" t="str">
        <f aca="false">IF(F21="","",IF(I21&lt;&gt;"","נסגרה",IF(H21&lt;&gt;"","נענתה",IF(G21&lt;&gt;"","אושרה קבלה","נפתחה"))))</f>
        <v/>
      </c>
      <c r="L21" s="42" t="str">
        <f aca="false">IF(OR(F21="",G21=""),"",G21-F21)</f>
        <v/>
      </c>
      <c r="M21" s="42" t="str">
        <f aca="false">IF(OR(F21="",H21=""),"",H21-F21)</f>
        <v/>
      </c>
      <c r="N21" s="42" t="str">
        <f aca="false">IF(OR(F21="",I21=""),"",I21-F21)</f>
        <v/>
      </c>
    </row>
    <row r="22" customFormat="false" ht="15" hidden="false" customHeight="true" outlineLevel="0" collapsed="false">
      <c r="A22" s="37" t="s">
        <v>509</v>
      </c>
      <c r="B22" s="35"/>
      <c r="C22" s="35"/>
      <c r="D22" s="35"/>
      <c r="E22" s="35"/>
      <c r="F22" s="41"/>
      <c r="G22" s="41"/>
      <c r="H22" s="41"/>
      <c r="I22" s="41"/>
      <c r="J22" s="35"/>
      <c r="K22" s="37" t="str">
        <f aca="false">IF(F22="","",IF(I22&lt;&gt;"","נסגרה",IF(H22&lt;&gt;"","נענתה",IF(G22&lt;&gt;"","אושרה קבלה","נפתחה"))))</f>
        <v/>
      </c>
      <c r="L22" s="42" t="str">
        <f aca="false">IF(OR(F22="",G22=""),"",G22-F22)</f>
        <v/>
      </c>
      <c r="M22" s="42" t="str">
        <f aca="false">IF(OR(F22="",H22=""),"",H22-F22)</f>
        <v/>
      </c>
      <c r="N22" s="42" t="str">
        <f aca="false">IF(OR(F22="",I22=""),"",I22-F22)</f>
        <v/>
      </c>
    </row>
    <row r="23" customFormat="false" ht="15" hidden="false" customHeight="true" outlineLevel="0" collapsed="false">
      <c r="A23" s="37" t="s">
        <v>510</v>
      </c>
      <c r="B23" s="35"/>
      <c r="C23" s="35"/>
      <c r="D23" s="35"/>
      <c r="E23" s="35"/>
      <c r="F23" s="41"/>
      <c r="G23" s="41"/>
      <c r="H23" s="41"/>
      <c r="I23" s="41"/>
      <c r="J23" s="35"/>
      <c r="K23" s="37" t="str">
        <f aca="false">IF(F23="","",IF(I23&lt;&gt;"","נסגרה",IF(H23&lt;&gt;"","נענתה",IF(G23&lt;&gt;"","אושרה קבלה","נפתחה"))))</f>
        <v/>
      </c>
      <c r="L23" s="42" t="str">
        <f aca="false">IF(OR(F23="",G23=""),"",G23-F23)</f>
        <v/>
      </c>
      <c r="M23" s="42" t="str">
        <f aca="false">IF(OR(F23="",H23=""),"",H23-F23)</f>
        <v/>
      </c>
      <c r="N23" s="42" t="str">
        <f aca="false">IF(OR(F23="",I23=""),"",I23-F23)</f>
        <v/>
      </c>
    </row>
    <row r="24" customFormat="false" ht="15" hidden="false" customHeight="true" outlineLevel="0" collapsed="false">
      <c r="A24" s="37" t="s">
        <v>511</v>
      </c>
      <c r="B24" s="35"/>
      <c r="C24" s="35"/>
      <c r="D24" s="35"/>
      <c r="E24" s="35"/>
      <c r="F24" s="41"/>
      <c r="G24" s="41"/>
      <c r="H24" s="41"/>
      <c r="I24" s="41"/>
      <c r="J24" s="35"/>
      <c r="K24" s="37" t="str">
        <f aca="false">IF(F24="","",IF(I24&lt;&gt;"","נסגרה",IF(H24&lt;&gt;"","נענתה",IF(G24&lt;&gt;"","אושרה קבלה","נפתחה"))))</f>
        <v/>
      </c>
      <c r="L24" s="42" t="str">
        <f aca="false">IF(OR(F24="",G24=""),"",G24-F24)</f>
        <v/>
      </c>
      <c r="M24" s="42" t="str">
        <f aca="false">IF(OR(F24="",H24=""),"",H24-F24)</f>
        <v/>
      </c>
      <c r="N24" s="42" t="str">
        <f aca="false">IF(OR(F24="",I24=""),"",I24-F24)</f>
        <v/>
      </c>
    </row>
    <row r="25" customFormat="false" ht="15" hidden="false" customHeight="true" outlineLevel="0" collapsed="false">
      <c r="A25" s="37" t="s">
        <v>512</v>
      </c>
      <c r="B25" s="35"/>
      <c r="C25" s="35"/>
      <c r="D25" s="35"/>
      <c r="E25" s="35"/>
      <c r="F25" s="41"/>
      <c r="G25" s="41"/>
      <c r="H25" s="41"/>
      <c r="I25" s="41"/>
      <c r="J25" s="35"/>
      <c r="K25" s="37" t="str">
        <f aca="false">IF(F25="","",IF(I25&lt;&gt;"","נסגרה",IF(H25&lt;&gt;"","נענתה",IF(G25&lt;&gt;"","אושרה קבלה","נפתחה"))))</f>
        <v/>
      </c>
      <c r="L25" s="42" t="str">
        <f aca="false">IF(OR(F25="",G25=""),"",G25-F25)</f>
        <v/>
      </c>
      <c r="M25" s="42" t="str">
        <f aca="false">IF(OR(F25="",H25=""),"",H25-F25)</f>
        <v/>
      </c>
      <c r="N25" s="42" t="str">
        <f aca="false">IF(OR(F25="",I25=""),"",I25-F25)</f>
        <v/>
      </c>
    </row>
    <row r="26" customFormat="false" ht="15" hidden="false" customHeight="true" outlineLevel="0" collapsed="false">
      <c r="A26" s="37" t="s">
        <v>513</v>
      </c>
      <c r="B26" s="35"/>
      <c r="C26" s="35"/>
      <c r="D26" s="35"/>
      <c r="E26" s="35"/>
      <c r="F26" s="41"/>
      <c r="G26" s="41"/>
      <c r="H26" s="41"/>
      <c r="I26" s="41"/>
      <c r="J26" s="35"/>
      <c r="K26" s="37" t="str">
        <f aca="false">IF(F26="","",IF(I26&lt;&gt;"","נסגרה",IF(H26&lt;&gt;"","נענתה",IF(G26&lt;&gt;"","אושרה קבלה","נפתחה"))))</f>
        <v/>
      </c>
      <c r="L26" s="42" t="str">
        <f aca="false">IF(OR(F26="",G26=""),"",G26-F26)</f>
        <v/>
      </c>
      <c r="M26" s="42" t="str">
        <f aca="false">IF(OR(F26="",H26=""),"",H26-F26)</f>
        <v/>
      </c>
      <c r="N26" s="42" t="str">
        <f aca="false">IF(OR(F26="",I26=""),"",I26-F26)</f>
        <v/>
      </c>
    </row>
    <row r="27" customFormat="false" ht="15" hidden="false" customHeight="true" outlineLevel="0" collapsed="false">
      <c r="A27" s="37" t="s">
        <v>514</v>
      </c>
      <c r="B27" s="35"/>
      <c r="C27" s="35"/>
      <c r="D27" s="35"/>
      <c r="E27" s="35"/>
      <c r="F27" s="41"/>
      <c r="G27" s="41"/>
      <c r="H27" s="41"/>
      <c r="I27" s="41"/>
      <c r="J27" s="35"/>
      <c r="K27" s="37" t="str">
        <f aca="false">IF(F27="","",IF(I27&lt;&gt;"","נסגרה",IF(H27&lt;&gt;"","נענתה",IF(G27&lt;&gt;"","אושרה קבלה","נפתחה"))))</f>
        <v/>
      </c>
      <c r="L27" s="42" t="str">
        <f aca="false">IF(OR(F27="",G27=""),"",G27-F27)</f>
        <v/>
      </c>
      <c r="M27" s="42" t="str">
        <f aca="false">IF(OR(F27="",H27=""),"",H27-F27)</f>
        <v/>
      </c>
      <c r="N27" s="42" t="str">
        <f aca="false">IF(OR(F27="",I27=""),"",I27-F27)</f>
        <v/>
      </c>
    </row>
    <row r="28" customFormat="false" ht="15" hidden="false" customHeight="true" outlineLevel="0" collapsed="false">
      <c r="A28" s="37" t="s">
        <v>515</v>
      </c>
      <c r="B28" s="35"/>
      <c r="C28" s="35"/>
      <c r="D28" s="35"/>
      <c r="E28" s="35"/>
      <c r="F28" s="41"/>
      <c r="G28" s="41"/>
      <c r="H28" s="41"/>
      <c r="I28" s="41"/>
      <c r="J28" s="35"/>
      <c r="K28" s="37" t="str">
        <f aca="false">IF(F28="","",IF(I28&lt;&gt;"","נסגרה",IF(H28&lt;&gt;"","נענתה",IF(G28&lt;&gt;"","אושרה קבלה","נפתחה"))))</f>
        <v/>
      </c>
      <c r="L28" s="42" t="str">
        <f aca="false">IF(OR(F28="",G28=""),"",G28-F28)</f>
        <v/>
      </c>
      <c r="M28" s="42" t="str">
        <f aca="false">IF(OR(F28="",H28=""),"",H28-F28)</f>
        <v/>
      </c>
      <c r="N28" s="42" t="str">
        <f aca="false">IF(OR(F28="",I28=""),"",I28-F28)</f>
        <v/>
      </c>
    </row>
    <row r="29" customFormat="false" ht="15" hidden="false" customHeight="true" outlineLevel="0" collapsed="false">
      <c r="A29" s="37" t="s">
        <v>516</v>
      </c>
      <c r="B29" s="35"/>
      <c r="C29" s="35"/>
      <c r="D29" s="35"/>
      <c r="E29" s="35"/>
      <c r="F29" s="41"/>
      <c r="G29" s="41"/>
      <c r="H29" s="41"/>
      <c r="I29" s="41"/>
      <c r="J29" s="35"/>
      <c r="K29" s="37" t="str">
        <f aca="false">IF(F29="","",IF(I29&lt;&gt;"","נסגרה",IF(H29&lt;&gt;"","נענתה",IF(G29&lt;&gt;"","אושרה קבלה","נפתחה"))))</f>
        <v/>
      </c>
      <c r="L29" s="42" t="str">
        <f aca="false">IF(OR(F29="",G29=""),"",G29-F29)</f>
        <v/>
      </c>
      <c r="M29" s="42" t="str">
        <f aca="false">IF(OR(F29="",H29=""),"",H29-F29)</f>
        <v/>
      </c>
      <c r="N29" s="42" t="str">
        <f aca="false">IF(OR(F29="",I29=""),"",I29-F29)</f>
        <v/>
      </c>
    </row>
    <row r="30" customFormat="false" ht="15" hidden="false" customHeight="true" outlineLevel="0" collapsed="false">
      <c r="A30" s="37" t="s">
        <v>517</v>
      </c>
      <c r="B30" s="35"/>
      <c r="C30" s="35"/>
      <c r="D30" s="35"/>
      <c r="E30" s="35"/>
      <c r="F30" s="41"/>
      <c r="G30" s="41"/>
      <c r="H30" s="41"/>
      <c r="I30" s="41"/>
      <c r="J30" s="35"/>
      <c r="K30" s="37" t="str">
        <f aca="false">IF(F30="","",IF(I30&lt;&gt;"","נסגרה",IF(H30&lt;&gt;"","נענתה",IF(G30&lt;&gt;"","אושרה קבלה","נפתחה"))))</f>
        <v/>
      </c>
      <c r="L30" s="42" t="str">
        <f aca="false">IF(OR(F30="",G30=""),"",G30-F30)</f>
        <v/>
      </c>
      <c r="M30" s="42" t="str">
        <f aca="false">IF(OR(F30="",H30=""),"",H30-F30)</f>
        <v/>
      </c>
      <c r="N30" s="42" t="str">
        <f aca="false">IF(OR(F30="",I30=""),"",I30-F30)</f>
        <v/>
      </c>
    </row>
    <row r="31" customFormat="false" ht="15" hidden="false" customHeight="true" outlineLevel="0" collapsed="false">
      <c r="A31" s="37" t="s">
        <v>518</v>
      </c>
      <c r="B31" s="35"/>
      <c r="C31" s="35"/>
      <c r="D31" s="35"/>
      <c r="E31" s="35"/>
      <c r="F31" s="41"/>
      <c r="G31" s="41"/>
      <c r="H31" s="41"/>
      <c r="I31" s="41"/>
      <c r="J31" s="35"/>
      <c r="K31" s="37" t="str">
        <f aca="false">IF(F31="","",IF(I31&lt;&gt;"","נסגרה",IF(H31&lt;&gt;"","נענתה",IF(G31&lt;&gt;"","אושרה קבלה","נפתחה"))))</f>
        <v/>
      </c>
      <c r="L31" s="42" t="str">
        <f aca="false">IF(OR(F31="",G31=""),"",G31-F31)</f>
        <v/>
      </c>
      <c r="M31" s="42" t="str">
        <f aca="false">IF(OR(F31="",H31=""),"",H31-F31)</f>
        <v/>
      </c>
      <c r="N31" s="42" t="str">
        <f aca="false">IF(OR(F31="",I31=""),"",I31-F31)</f>
        <v/>
      </c>
    </row>
    <row r="32" customFormat="false" ht="15" hidden="false" customHeight="true" outlineLevel="0" collapsed="false">
      <c r="A32" s="37" t="s">
        <v>519</v>
      </c>
      <c r="B32" s="35"/>
      <c r="C32" s="35"/>
      <c r="D32" s="35"/>
      <c r="E32" s="35"/>
      <c r="F32" s="41"/>
      <c r="G32" s="41"/>
      <c r="H32" s="41"/>
      <c r="I32" s="41"/>
      <c r="J32" s="35"/>
      <c r="K32" s="37" t="str">
        <f aca="false">IF(F32="","",IF(I32&lt;&gt;"","נסגרה",IF(H32&lt;&gt;"","נענתה",IF(G32&lt;&gt;"","אושרה קבלה","נפתחה"))))</f>
        <v/>
      </c>
      <c r="L32" s="42" t="str">
        <f aca="false">IF(OR(F32="",G32=""),"",G32-F32)</f>
        <v/>
      </c>
      <c r="M32" s="42" t="str">
        <f aca="false">IF(OR(F32="",H32=""),"",H32-F32)</f>
        <v/>
      </c>
      <c r="N32" s="42" t="str">
        <f aca="false">IF(OR(F32="",I32=""),"",I32-F32)</f>
        <v/>
      </c>
    </row>
    <row r="33" customFormat="false" ht="15" hidden="false" customHeight="true" outlineLevel="0" collapsed="false">
      <c r="A33" s="37" t="s">
        <v>520</v>
      </c>
      <c r="B33" s="35"/>
      <c r="C33" s="35"/>
      <c r="D33" s="35"/>
      <c r="E33" s="35"/>
      <c r="F33" s="41"/>
      <c r="G33" s="41"/>
      <c r="H33" s="41"/>
      <c r="I33" s="41"/>
      <c r="J33" s="35"/>
      <c r="K33" s="37" t="str">
        <f aca="false">IF(F33="","",IF(I33&lt;&gt;"","נסגרה",IF(H33&lt;&gt;"","נענתה",IF(G33&lt;&gt;"","אושרה קבלה","נפתחה"))))</f>
        <v/>
      </c>
      <c r="L33" s="42" t="str">
        <f aca="false">IF(OR(F33="",G33=""),"",G33-F33)</f>
        <v/>
      </c>
      <c r="M33" s="42" t="str">
        <f aca="false">IF(OR(F33="",H33=""),"",H33-F33)</f>
        <v/>
      </c>
      <c r="N33" s="42" t="str">
        <f aca="false">IF(OR(F33="",I33=""),"",I33-F33)</f>
        <v/>
      </c>
    </row>
    <row r="34" customFormat="false" ht="15" hidden="false" customHeight="true" outlineLevel="0" collapsed="false">
      <c r="A34" s="37" t="s">
        <v>521</v>
      </c>
      <c r="B34" s="35"/>
      <c r="C34" s="35"/>
      <c r="D34" s="35"/>
      <c r="E34" s="35"/>
      <c r="F34" s="41"/>
      <c r="G34" s="41"/>
      <c r="H34" s="41"/>
      <c r="I34" s="41"/>
      <c r="J34" s="35"/>
      <c r="K34" s="37" t="str">
        <f aca="false">IF(F34="","",IF(I34&lt;&gt;"","נסגרה",IF(H34&lt;&gt;"","נענתה",IF(G34&lt;&gt;"","אושרה קבלה","נפתחה"))))</f>
        <v/>
      </c>
      <c r="L34" s="42" t="str">
        <f aca="false">IF(OR(F34="",G34=""),"",G34-F34)</f>
        <v/>
      </c>
      <c r="M34" s="42" t="str">
        <f aca="false">IF(OR(F34="",H34=""),"",H34-F34)</f>
        <v/>
      </c>
      <c r="N34" s="42" t="str">
        <f aca="false">IF(OR(F34="",I34=""),"",I34-F34)</f>
        <v/>
      </c>
    </row>
    <row r="35" customFormat="false" ht="15" hidden="false" customHeight="true" outlineLevel="0" collapsed="false">
      <c r="A35" s="37" t="s">
        <v>522</v>
      </c>
      <c r="B35" s="35"/>
      <c r="C35" s="35"/>
      <c r="D35" s="35"/>
      <c r="E35" s="35"/>
      <c r="F35" s="41"/>
      <c r="G35" s="41"/>
      <c r="H35" s="41"/>
      <c r="I35" s="41"/>
      <c r="J35" s="35"/>
      <c r="K35" s="37" t="str">
        <f aca="false">IF(F35="","",IF(I35&lt;&gt;"","נסגרה",IF(H35&lt;&gt;"","נענתה",IF(G35&lt;&gt;"","אושרה קבלה","נפתחה"))))</f>
        <v/>
      </c>
      <c r="L35" s="42" t="str">
        <f aca="false">IF(OR(F35="",G35=""),"",G35-F35)</f>
        <v/>
      </c>
      <c r="M35" s="42" t="str">
        <f aca="false">IF(OR(F35="",H35=""),"",H35-F35)</f>
        <v/>
      </c>
      <c r="N35" s="42" t="str">
        <f aca="false">IF(OR(F35="",I35=""),"",I35-F35)</f>
        <v/>
      </c>
    </row>
    <row r="36" customFormat="false" ht="15" hidden="false" customHeight="true" outlineLevel="0" collapsed="false">
      <c r="A36" s="37" t="s">
        <v>523</v>
      </c>
      <c r="B36" s="35"/>
      <c r="C36" s="35"/>
      <c r="D36" s="35"/>
      <c r="E36" s="35"/>
      <c r="F36" s="41"/>
      <c r="G36" s="41"/>
      <c r="H36" s="41"/>
      <c r="I36" s="41"/>
      <c r="J36" s="35"/>
      <c r="K36" s="37" t="str">
        <f aca="false">IF(F36="","",IF(I36&lt;&gt;"","נסגרה",IF(H36&lt;&gt;"","נענתה",IF(G36&lt;&gt;"","אושרה קבלה","נפתחה"))))</f>
        <v/>
      </c>
      <c r="L36" s="42" t="str">
        <f aca="false">IF(OR(F36="",G36=""),"",G36-F36)</f>
        <v/>
      </c>
      <c r="M36" s="42" t="str">
        <f aca="false">IF(OR(F36="",H36=""),"",H36-F36)</f>
        <v/>
      </c>
      <c r="N36" s="42" t="str">
        <f aca="false">IF(OR(F36="",I36=""),"",I36-F36)</f>
        <v/>
      </c>
    </row>
    <row r="37" customFormat="false" ht="15" hidden="false" customHeight="true" outlineLevel="0" collapsed="false">
      <c r="A37" s="37" t="s">
        <v>524</v>
      </c>
      <c r="B37" s="35"/>
      <c r="C37" s="35"/>
      <c r="D37" s="35"/>
      <c r="E37" s="35"/>
      <c r="F37" s="41"/>
      <c r="G37" s="41"/>
      <c r="H37" s="41"/>
      <c r="I37" s="41"/>
      <c r="J37" s="35"/>
      <c r="K37" s="37" t="str">
        <f aca="false">IF(F37="","",IF(I37&lt;&gt;"","נסגרה",IF(H37&lt;&gt;"","נענתה",IF(G37&lt;&gt;"","אושרה קבלה","נפתחה"))))</f>
        <v/>
      </c>
      <c r="L37" s="42" t="str">
        <f aca="false">IF(OR(F37="",G37=""),"",G37-F37)</f>
        <v/>
      </c>
      <c r="M37" s="42" t="str">
        <f aca="false">IF(OR(F37="",H37=""),"",H37-F37)</f>
        <v/>
      </c>
      <c r="N37" s="42" t="str">
        <f aca="false">IF(OR(F37="",I37=""),"",I37-F37)</f>
        <v/>
      </c>
    </row>
    <row r="38" customFormat="false" ht="15" hidden="false" customHeight="true" outlineLevel="0" collapsed="false">
      <c r="A38" s="37" t="s">
        <v>525</v>
      </c>
      <c r="B38" s="35"/>
      <c r="C38" s="35"/>
      <c r="D38" s="35"/>
      <c r="E38" s="35"/>
      <c r="F38" s="41"/>
      <c r="G38" s="41"/>
      <c r="H38" s="41"/>
      <c r="I38" s="41"/>
      <c r="J38" s="35"/>
      <c r="K38" s="37" t="str">
        <f aca="false">IF(F38="","",IF(I38&lt;&gt;"","נסגרה",IF(H38&lt;&gt;"","נענתה",IF(G38&lt;&gt;"","אושרה קבלה","נפתחה"))))</f>
        <v/>
      </c>
      <c r="L38" s="42" t="str">
        <f aca="false">IF(OR(F38="",G38=""),"",G38-F38)</f>
        <v/>
      </c>
      <c r="M38" s="42" t="str">
        <f aca="false">IF(OR(F38="",H38=""),"",H38-F38)</f>
        <v/>
      </c>
      <c r="N38" s="42" t="str">
        <f aca="false">IF(OR(F38="",I38=""),"",I38-F38)</f>
        <v/>
      </c>
    </row>
    <row r="39" customFormat="false" ht="15" hidden="false" customHeight="true" outlineLevel="0" collapsed="false">
      <c r="A39" s="37" t="s">
        <v>526</v>
      </c>
      <c r="B39" s="35"/>
      <c r="C39" s="35"/>
      <c r="D39" s="35"/>
      <c r="E39" s="35"/>
      <c r="F39" s="41"/>
      <c r="G39" s="41"/>
      <c r="H39" s="41"/>
      <c r="I39" s="41"/>
      <c r="J39" s="35"/>
      <c r="K39" s="37" t="str">
        <f aca="false">IF(F39="","",IF(I39&lt;&gt;"","נסגרה",IF(H39&lt;&gt;"","נענתה",IF(G39&lt;&gt;"","אושרה קבלה","נפתחה"))))</f>
        <v/>
      </c>
      <c r="L39" s="42" t="str">
        <f aca="false">IF(OR(F39="",G39=""),"",G39-F39)</f>
        <v/>
      </c>
      <c r="M39" s="42" t="str">
        <f aca="false">IF(OR(F39="",H39=""),"",H39-F39)</f>
        <v/>
      </c>
      <c r="N39" s="42" t="str">
        <f aca="false">IF(OR(F39="",I39=""),"",I39-F39)</f>
        <v/>
      </c>
    </row>
    <row r="40" customFormat="false" ht="15" hidden="false" customHeight="true" outlineLevel="0" collapsed="false">
      <c r="A40" s="37" t="s">
        <v>527</v>
      </c>
      <c r="B40" s="35"/>
      <c r="C40" s="35"/>
      <c r="D40" s="35"/>
      <c r="E40" s="35"/>
      <c r="F40" s="41"/>
      <c r="G40" s="41"/>
      <c r="H40" s="41"/>
      <c r="I40" s="41"/>
      <c r="J40" s="35"/>
      <c r="K40" s="37" t="str">
        <f aca="false">IF(F40="","",IF(I40&lt;&gt;"","נסגרה",IF(H40&lt;&gt;"","נענתה",IF(G40&lt;&gt;"","אושרה קבלה","נפתחה"))))</f>
        <v/>
      </c>
      <c r="L40" s="42" t="str">
        <f aca="false">IF(OR(F40="",G40=""),"",G40-F40)</f>
        <v/>
      </c>
      <c r="M40" s="42" t="str">
        <f aca="false">IF(OR(F40="",H40=""),"",H40-F40)</f>
        <v/>
      </c>
      <c r="N40" s="42" t="str">
        <f aca="false">IF(OR(F40="",I40=""),"",I40-F40)</f>
        <v/>
      </c>
    </row>
    <row r="41" customFormat="false" ht="15" hidden="false" customHeight="true" outlineLevel="0" collapsed="false">
      <c r="A41" s="37" t="s">
        <v>528</v>
      </c>
      <c r="B41" s="35"/>
      <c r="C41" s="35"/>
      <c r="D41" s="35"/>
      <c r="E41" s="35"/>
      <c r="F41" s="41"/>
      <c r="G41" s="41"/>
      <c r="H41" s="41"/>
      <c r="I41" s="41"/>
      <c r="J41" s="35"/>
      <c r="K41" s="37" t="str">
        <f aca="false">IF(F41="","",IF(I41&lt;&gt;"","נסגרה",IF(H41&lt;&gt;"","נענתה",IF(G41&lt;&gt;"","אושרה קבלה","נפתחה"))))</f>
        <v/>
      </c>
      <c r="L41" s="42" t="str">
        <f aca="false">IF(OR(F41="",G41=""),"",G41-F41)</f>
        <v/>
      </c>
      <c r="M41" s="42" t="str">
        <f aca="false">IF(OR(F41="",H41=""),"",H41-F41)</f>
        <v/>
      </c>
      <c r="N41" s="42" t="str">
        <f aca="false">IF(OR(F41="",I41=""),"",I41-F41)</f>
        <v/>
      </c>
    </row>
    <row r="42" customFormat="false" ht="15" hidden="false" customHeight="true" outlineLevel="0" collapsed="false">
      <c r="A42" s="37" t="s">
        <v>529</v>
      </c>
      <c r="B42" s="35"/>
      <c r="C42" s="35"/>
      <c r="D42" s="35"/>
      <c r="E42" s="35"/>
      <c r="F42" s="41"/>
      <c r="G42" s="41"/>
      <c r="H42" s="41"/>
      <c r="I42" s="41"/>
      <c r="J42" s="35"/>
      <c r="K42" s="37" t="str">
        <f aca="false">IF(F42="","",IF(I42&lt;&gt;"","נסגרה",IF(H42&lt;&gt;"","נענתה",IF(G42&lt;&gt;"","אושרה קבלה","נפתחה"))))</f>
        <v/>
      </c>
      <c r="L42" s="42" t="str">
        <f aca="false">IF(OR(F42="",G42=""),"",G42-F42)</f>
        <v/>
      </c>
      <c r="M42" s="42" t="str">
        <f aca="false">IF(OR(F42="",H42=""),"",H42-F42)</f>
        <v/>
      </c>
      <c r="N42" s="42" t="str">
        <f aca="false">IF(OR(F42="",I42=""),"",I42-F42)</f>
        <v/>
      </c>
    </row>
    <row r="43" customFormat="false" ht="15" hidden="false" customHeight="true" outlineLevel="0" collapsed="false">
      <c r="A43" s="37" t="s">
        <v>530</v>
      </c>
      <c r="B43" s="35"/>
      <c r="C43" s="35"/>
      <c r="D43" s="35"/>
      <c r="E43" s="35"/>
      <c r="F43" s="41"/>
      <c r="G43" s="41"/>
      <c r="H43" s="41"/>
      <c r="I43" s="41"/>
      <c r="J43" s="35"/>
      <c r="K43" s="37" t="str">
        <f aca="false">IF(F43="","",IF(I43&lt;&gt;"","נסגרה",IF(H43&lt;&gt;"","נענתה",IF(G43&lt;&gt;"","אושרה קבלה","נפתחה"))))</f>
        <v/>
      </c>
      <c r="L43" s="42" t="str">
        <f aca="false">IF(OR(F43="",G43=""),"",G43-F43)</f>
        <v/>
      </c>
      <c r="M43" s="42" t="str">
        <f aca="false">IF(OR(F43="",H43=""),"",H43-F43)</f>
        <v/>
      </c>
      <c r="N43" s="42" t="str">
        <f aca="false">IF(OR(F43="",I43=""),"",I43-F43)</f>
        <v/>
      </c>
    </row>
    <row r="44" customFormat="false" ht="15" hidden="false" customHeight="true" outlineLevel="0" collapsed="false">
      <c r="A44" s="37" t="s">
        <v>531</v>
      </c>
      <c r="B44" s="35"/>
      <c r="C44" s="35"/>
      <c r="D44" s="35"/>
      <c r="E44" s="35"/>
      <c r="F44" s="41"/>
      <c r="G44" s="41"/>
      <c r="H44" s="41"/>
      <c r="I44" s="41"/>
      <c r="J44" s="35"/>
      <c r="K44" s="37" t="str">
        <f aca="false">IF(F44="","",IF(I44&lt;&gt;"","נסגרה",IF(H44&lt;&gt;"","נענתה",IF(G44&lt;&gt;"","אושרה קבלה","נפתחה"))))</f>
        <v/>
      </c>
      <c r="L44" s="42" t="str">
        <f aca="false">IF(OR(F44="",G44=""),"",G44-F44)</f>
        <v/>
      </c>
      <c r="M44" s="42" t="str">
        <f aca="false">IF(OR(F44="",H44=""),"",H44-F44)</f>
        <v/>
      </c>
      <c r="N44" s="42" t="str">
        <f aca="false">IF(OR(F44="",I44=""),"",I44-F44)</f>
        <v/>
      </c>
    </row>
    <row r="45" customFormat="false" ht="15" hidden="false" customHeight="true" outlineLevel="0" collapsed="false">
      <c r="A45" s="37" t="s">
        <v>532</v>
      </c>
      <c r="B45" s="35"/>
      <c r="C45" s="35"/>
      <c r="D45" s="35"/>
      <c r="E45" s="35"/>
      <c r="F45" s="41"/>
      <c r="G45" s="41"/>
      <c r="H45" s="41"/>
      <c r="I45" s="41"/>
      <c r="J45" s="35"/>
      <c r="K45" s="37" t="str">
        <f aca="false">IF(F45="","",IF(I45&lt;&gt;"","נסגרה",IF(H45&lt;&gt;"","נענתה",IF(G45&lt;&gt;"","אושרה קבלה","נפתחה"))))</f>
        <v/>
      </c>
      <c r="L45" s="42" t="str">
        <f aca="false">IF(OR(F45="",G45=""),"",G45-F45)</f>
        <v/>
      </c>
      <c r="M45" s="42" t="str">
        <f aca="false">IF(OR(F45="",H45=""),"",H45-F45)</f>
        <v/>
      </c>
      <c r="N45" s="42" t="str">
        <f aca="false">IF(OR(F45="",I45=""),"",I45-F45)</f>
        <v/>
      </c>
    </row>
    <row r="46" customFormat="false" ht="15" hidden="false" customHeight="true" outlineLevel="0" collapsed="false">
      <c r="A46" s="37" t="s">
        <v>533</v>
      </c>
      <c r="B46" s="35"/>
      <c r="C46" s="35"/>
      <c r="D46" s="35"/>
      <c r="E46" s="35"/>
      <c r="F46" s="41"/>
      <c r="G46" s="41"/>
      <c r="H46" s="41"/>
      <c r="I46" s="41"/>
      <c r="J46" s="35"/>
      <c r="K46" s="37" t="str">
        <f aca="false">IF(F46="","",IF(I46&lt;&gt;"","נסגרה",IF(H46&lt;&gt;"","נענתה",IF(G46&lt;&gt;"","אושרה קבלה","נפתחה"))))</f>
        <v/>
      </c>
      <c r="L46" s="42" t="str">
        <f aca="false">IF(OR(F46="",G46=""),"",G46-F46)</f>
        <v/>
      </c>
      <c r="M46" s="42" t="str">
        <f aca="false">IF(OR(F46="",H46=""),"",H46-F46)</f>
        <v/>
      </c>
      <c r="N46" s="42" t="str">
        <f aca="false">IF(OR(F46="",I46=""),"",I46-F46)</f>
        <v/>
      </c>
    </row>
    <row r="47" customFormat="false" ht="15" hidden="false" customHeight="true" outlineLevel="0" collapsed="false">
      <c r="A47" s="37" t="s">
        <v>534</v>
      </c>
      <c r="B47" s="35"/>
      <c r="C47" s="35"/>
      <c r="D47" s="35"/>
      <c r="E47" s="35"/>
      <c r="F47" s="41"/>
      <c r="G47" s="41"/>
      <c r="H47" s="41"/>
      <c r="I47" s="41"/>
      <c r="J47" s="35"/>
      <c r="K47" s="37" t="str">
        <f aca="false">IF(F47="","",IF(I47&lt;&gt;"","נסגרה",IF(H47&lt;&gt;"","נענתה",IF(G47&lt;&gt;"","אושרה קבלה","נפתחה"))))</f>
        <v/>
      </c>
      <c r="L47" s="42" t="str">
        <f aca="false">IF(OR(F47="",G47=""),"",G47-F47)</f>
        <v/>
      </c>
      <c r="M47" s="42" t="str">
        <f aca="false">IF(OR(F47="",H47=""),"",H47-F47)</f>
        <v/>
      </c>
      <c r="N47" s="42" t="str">
        <f aca="false">IF(OR(F47="",I47=""),"",I47-F47)</f>
        <v/>
      </c>
    </row>
    <row r="48" customFormat="false" ht="15" hidden="false" customHeight="true" outlineLevel="0" collapsed="false">
      <c r="A48" s="37" t="s">
        <v>535</v>
      </c>
      <c r="B48" s="35"/>
      <c r="C48" s="35"/>
      <c r="D48" s="35"/>
      <c r="E48" s="35"/>
      <c r="F48" s="41"/>
      <c r="G48" s="41"/>
      <c r="H48" s="41"/>
      <c r="I48" s="41"/>
      <c r="J48" s="35"/>
      <c r="K48" s="37" t="str">
        <f aca="false">IF(F48="","",IF(I48&lt;&gt;"","נסגרה",IF(H48&lt;&gt;"","נענתה",IF(G48&lt;&gt;"","אושרה קבלה","נפתחה"))))</f>
        <v/>
      </c>
      <c r="L48" s="42" t="str">
        <f aca="false">IF(OR(F48="",G48=""),"",G48-F48)</f>
        <v/>
      </c>
      <c r="M48" s="42" t="str">
        <f aca="false">IF(OR(F48="",H48=""),"",H48-F48)</f>
        <v/>
      </c>
      <c r="N48" s="42" t="str">
        <f aca="false">IF(OR(F48="",I48=""),"",I48-F48)</f>
        <v/>
      </c>
    </row>
    <row r="49" customFormat="false" ht="15" hidden="false" customHeight="true" outlineLevel="0" collapsed="false">
      <c r="A49" s="37" t="s">
        <v>536</v>
      </c>
      <c r="B49" s="35"/>
      <c r="C49" s="35"/>
      <c r="D49" s="35"/>
      <c r="E49" s="35"/>
      <c r="F49" s="41"/>
      <c r="G49" s="41"/>
      <c r="H49" s="41"/>
      <c r="I49" s="41"/>
      <c r="J49" s="35"/>
      <c r="K49" s="37" t="str">
        <f aca="false">IF(F49="","",IF(I49&lt;&gt;"","נסגרה",IF(H49&lt;&gt;"","נענתה",IF(G49&lt;&gt;"","אושרה קבלה","נפתחה"))))</f>
        <v/>
      </c>
      <c r="L49" s="42" t="str">
        <f aca="false">IF(OR(F49="",G49=""),"",G49-F49)</f>
        <v/>
      </c>
      <c r="M49" s="42" t="str">
        <f aca="false">IF(OR(F49="",H49=""),"",H49-F49)</f>
        <v/>
      </c>
      <c r="N49" s="42" t="str">
        <f aca="false">IF(OR(F49="",I49=""),"",I49-F49)</f>
        <v/>
      </c>
    </row>
    <row r="50" customFormat="false" ht="15" hidden="false" customHeight="true" outlineLevel="0" collapsed="false">
      <c r="A50" s="37" t="s">
        <v>537</v>
      </c>
      <c r="B50" s="35"/>
      <c r="C50" s="35"/>
      <c r="D50" s="35"/>
      <c r="E50" s="35"/>
      <c r="F50" s="41"/>
      <c r="G50" s="41"/>
      <c r="H50" s="41"/>
      <c r="I50" s="41"/>
      <c r="J50" s="35"/>
      <c r="K50" s="37" t="str">
        <f aca="false">IF(F50="","",IF(I50&lt;&gt;"","נסגרה",IF(H50&lt;&gt;"","נענתה",IF(G50&lt;&gt;"","אושרה קבלה","נפתחה"))))</f>
        <v/>
      </c>
      <c r="L50" s="42" t="str">
        <f aca="false">IF(OR(F50="",G50=""),"",G50-F50)</f>
        <v/>
      </c>
      <c r="M50" s="42" t="str">
        <f aca="false">IF(OR(F50="",H50=""),"",H50-F50)</f>
        <v/>
      </c>
      <c r="N50" s="42" t="str">
        <f aca="false">IF(OR(F50="",I50=""),"",I50-F50)</f>
        <v/>
      </c>
    </row>
    <row r="51" customFormat="false" ht="15" hidden="false" customHeight="true" outlineLevel="0" collapsed="false">
      <c r="A51" s="37" t="s">
        <v>538</v>
      </c>
      <c r="B51" s="35"/>
      <c r="C51" s="35"/>
      <c r="D51" s="35"/>
      <c r="E51" s="35"/>
      <c r="F51" s="41"/>
      <c r="G51" s="41"/>
      <c r="H51" s="41"/>
      <c r="I51" s="41"/>
      <c r="J51" s="35"/>
      <c r="K51" s="37" t="str">
        <f aca="false">IF(F51="","",IF(I51&lt;&gt;"","נסגרה",IF(H51&lt;&gt;"","נענתה",IF(G51&lt;&gt;"","אושרה קבלה","נפתחה"))))</f>
        <v/>
      </c>
      <c r="L51" s="42" t="str">
        <f aca="false">IF(OR(F51="",G51=""),"",G51-F51)</f>
        <v/>
      </c>
      <c r="M51" s="42" t="str">
        <f aca="false">IF(OR(F51="",H51=""),"",H51-F51)</f>
        <v/>
      </c>
      <c r="N51" s="42" t="str">
        <f aca="false">IF(OR(F51="",I51=""),"",I51-F51)</f>
        <v/>
      </c>
    </row>
    <row r="52" customFormat="false" ht="15" hidden="false" customHeight="true" outlineLevel="0" collapsed="false">
      <c r="A52" s="37" t="s">
        <v>539</v>
      </c>
      <c r="B52" s="35"/>
      <c r="C52" s="35"/>
      <c r="D52" s="35"/>
      <c r="E52" s="35"/>
      <c r="F52" s="41"/>
      <c r="G52" s="41"/>
      <c r="H52" s="41"/>
      <c r="I52" s="41"/>
      <c r="J52" s="35"/>
      <c r="K52" s="37" t="str">
        <f aca="false">IF(F52="","",IF(I52&lt;&gt;"","נסגרה",IF(H52&lt;&gt;"","נענתה",IF(G52&lt;&gt;"","אושרה קבלה","נפתחה"))))</f>
        <v/>
      </c>
      <c r="L52" s="42" t="str">
        <f aca="false">IF(OR(F52="",G52=""),"",G52-F52)</f>
        <v/>
      </c>
      <c r="M52" s="42" t="str">
        <f aca="false">IF(OR(F52="",H52=""),"",H52-F52)</f>
        <v/>
      </c>
      <c r="N52" s="42" t="str">
        <f aca="false">IF(OR(F52="",I52=""),"",I52-F52)</f>
        <v/>
      </c>
    </row>
    <row r="53" customFormat="false" ht="15" hidden="false" customHeight="true" outlineLevel="0" collapsed="false">
      <c r="A53" s="37" t="s">
        <v>540</v>
      </c>
      <c r="B53" s="35"/>
      <c r="C53" s="35"/>
      <c r="D53" s="35"/>
      <c r="E53" s="35"/>
      <c r="F53" s="41"/>
      <c r="G53" s="41"/>
      <c r="H53" s="41"/>
      <c r="I53" s="41"/>
      <c r="J53" s="35"/>
      <c r="K53" s="37" t="str">
        <f aca="false">IF(F53="","",IF(I53&lt;&gt;"","נסגרה",IF(H53&lt;&gt;"","נענתה",IF(G53&lt;&gt;"","אושרה קבלה","נפתחה"))))</f>
        <v/>
      </c>
      <c r="L53" s="42" t="str">
        <f aca="false">IF(OR(F53="",G53=""),"",G53-F53)</f>
        <v/>
      </c>
      <c r="M53" s="42" t="str">
        <f aca="false">IF(OR(F53="",H53=""),"",H53-F53)</f>
        <v/>
      </c>
      <c r="N53" s="42" t="str">
        <f aca="false">IF(OR(F53="",I53=""),"",I53-F53)</f>
        <v/>
      </c>
    </row>
    <row r="54" customFormat="false" ht="15" hidden="false" customHeight="true" outlineLevel="0" collapsed="false">
      <c r="A54" s="37" t="s">
        <v>541</v>
      </c>
      <c r="B54" s="35"/>
      <c r="C54" s="35"/>
      <c r="D54" s="35"/>
      <c r="E54" s="35"/>
      <c r="F54" s="41"/>
      <c r="G54" s="41"/>
      <c r="H54" s="41"/>
      <c r="I54" s="41"/>
      <c r="J54" s="35"/>
      <c r="K54" s="37" t="str">
        <f aca="false">IF(F54="","",IF(I54&lt;&gt;"","נסגרה",IF(H54&lt;&gt;"","נענתה",IF(G54&lt;&gt;"","אושרה קבלה","נפתחה"))))</f>
        <v/>
      </c>
      <c r="L54" s="42" t="str">
        <f aca="false">IF(OR(F54="",G54=""),"",G54-F54)</f>
        <v/>
      </c>
      <c r="M54" s="42" t="str">
        <f aca="false">IF(OR(F54="",H54=""),"",H54-F54)</f>
        <v/>
      </c>
      <c r="N54" s="42" t="str">
        <f aca="false">IF(OR(F54="",I54=""),"",I54-F54)</f>
        <v/>
      </c>
    </row>
    <row r="55" customFormat="false" ht="15" hidden="false" customHeight="true" outlineLevel="0" collapsed="false">
      <c r="A55" s="37" t="s">
        <v>542</v>
      </c>
      <c r="B55" s="35"/>
      <c r="C55" s="35"/>
      <c r="D55" s="35"/>
      <c r="E55" s="35"/>
      <c r="F55" s="41"/>
      <c r="G55" s="41"/>
      <c r="H55" s="41"/>
      <c r="I55" s="41"/>
      <c r="J55" s="35"/>
      <c r="K55" s="37" t="str">
        <f aca="false">IF(F55="","",IF(I55&lt;&gt;"","נסגרה",IF(H55&lt;&gt;"","נענתה",IF(G55&lt;&gt;"","אושרה קבלה","נפתחה"))))</f>
        <v/>
      </c>
      <c r="L55" s="42" t="str">
        <f aca="false">IF(OR(F55="",G55=""),"",G55-F55)</f>
        <v/>
      </c>
      <c r="M55" s="42" t="str">
        <f aca="false">IF(OR(F55="",H55=""),"",H55-F55)</f>
        <v/>
      </c>
      <c r="N55" s="42" t="str">
        <f aca="false">IF(OR(F55="",I55=""),"",I55-F55)</f>
        <v/>
      </c>
    </row>
    <row r="56" customFormat="false" ht="15" hidden="false" customHeight="true" outlineLevel="0" collapsed="false">
      <c r="A56" s="37" t="s">
        <v>543</v>
      </c>
      <c r="B56" s="35"/>
      <c r="C56" s="35"/>
      <c r="D56" s="35"/>
      <c r="E56" s="35"/>
      <c r="F56" s="41"/>
      <c r="G56" s="41"/>
      <c r="H56" s="41"/>
      <c r="I56" s="41"/>
      <c r="J56" s="35"/>
      <c r="K56" s="37" t="str">
        <f aca="false">IF(F56="","",IF(I56&lt;&gt;"","נסגרה",IF(H56&lt;&gt;"","נענתה",IF(G56&lt;&gt;"","אושרה קבלה","נפתחה"))))</f>
        <v/>
      </c>
      <c r="L56" s="42" t="str">
        <f aca="false">IF(OR(F56="",G56=""),"",G56-F56)</f>
        <v/>
      </c>
      <c r="M56" s="42" t="str">
        <f aca="false">IF(OR(F56="",H56=""),"",H56-F56)</f>
        <v/>
      </c>
      <c r="N56" s="42" t="str">
        <f aca="false">IF(OR(F56="",I56=""),"",I56-F56)</f>
        <v/>
      </c>
    </row>
    <row r="57" customFormat="false" ht="15" hidden="false" customHeight="true" outlineLevel="0" collapsed="false">
      <c r="A57" s="37" t="s">
        <v>544</v>
      </c>
      <c r="B57" s="35"/>
      <c r="C57" s="35"/>
      <c r="D57" s="35"/>
      <c r="E57" s="35"/>
      <c r="F57" s="41"/>
      <c r="G57" s="41"/>
      <c r="H57" s="41"/>
      <c r="I57" s="41"/>
      <c r="J57" s="35"/>
      <c r="K57" s="37" t="str">
        <f aca="false">IF(F57="","",IF(I57&lt;&gt;"","נסגרה",IF(H57&lt;&gt;"","נענתה",IF(G57&lt;&gt;"","אושרה קבלה","נפתחה"))))</f>
        <v/>
      </c>
      <c r="L57" s="42" t="str">
        <f aca="false">IF(OR(F57="",G57=""),"",G57-F57)</f>
        <v/>
      </c>
      <c r="M57" s="42" t="str">
        <f aca="false">IF(OR(F57="",H57=""),"",H57-F57)</f>
        <v/>
      </c>
      <c r="N57" s="42" t="str">
        <f aca="false">IF(OR(F57="",I57=""),"",I57-F57)</f>
        <v/>
      </c>
    </row>
    <row r="58" customFormat="false" ht="15" hidden="false" customHeight="true" outlineLevel="0" collapsed="false">
      <c r="A58" s="37" t="s">
        <v>545</v>
      </c>
      <c r="B58" s="35"/>
      <c r="C58" s="35"/>
      <c r="D58" s="35"/>
      <c r="E58" s="35"/>
      <c r="F58" s="41"/>
      <c r="G58" s="41"/>
      <c r="H58" s="41"/>
      <c r="I58" s="41"/>
      <c r="J58" s="35"/>
      <c r="K58" s="37" t="str">
        <f aca="false">IF(F58="","",IF(I58&lt;&gt;"","נסגרה",IF(H58&lt;&gt;"","נענתה",IF(G58&lt;&gt;"","אושרה קבלה","נפתחה"))))</f>
        <v/>
      </c>
      <c r="L58" s="42" t="str">
        <f aca="false">IF(OR(F58="",G58=""),"",G58-F58)</f>
        <v/>
      </c>
      <c r="M58" s="42" t="str">
        <f aca="false">IF(OR(F58="",H58=""),"",H58-F58)</f>
        <v/>
      </c>
      <c r="N58" s="42" t="str">
        <f aca="false">IF(OR(F58="",I58=""),"",I58-F58)</f>
        <v/>
      </c>
    </row>
    <row r="59" customFormat="false" ht="15" hidden="false" customHeight="true" outlineLevel="0" collapsed="false">
      <c r="A59" s="37" t="s">
        <v>546</v>
      </c>
      <c r="B59" s="35"/>
      <c r="C59" s="35"/>
      <c r="D59" s="35"/>
      <c r="E59" s="35"/>
      <c r="F59" s="41"/>
      <c r="G59" s="41"/>
      <c r="H59" s="41"/>
      <c r="I59" s="41"/>
      <c r="J59" s="35"/>
      <c r="K59" s="37" t="str">
        <f aca="false">IF(F59="","",IF(I59&lt;&gt;"","נסגרה",IF(H59&lt;&gt;"","נענתה",IF(G59&lt;&gt;"","אושרה קבלה","נפתחה"))))</f>
        <v/>
      </c>
      <c r="L59" s="42" t="str">
        <f aca="false">IF(OR(F59="",G59=""),"",G59-F59)</f>
        <v/>
      </c>
      <c r="M59" s="42" t="str">
        <f aca="false">IF(OR(F59="",H59=""),"",H59-F59)</f>
        <v/>
      </c>
      <c r="N59" s="42" t="str">
        <f aca="false">IF(OR(F59="",I59=""),"",I59-F59)</f>
        <v/>
      </c>
    </row>
    <row r="60" customFormat="false" ht="15" hidden="false" customHeight="true" outlineLevel="0" collapsed="false">
      <c r="A60" s="37" t="s">
        <v>547</v>
      </c>
      <c r="B60" s="35"/>
      <c r="C60" s="35"/>
      <c r="D60" s="35"/>
      <c r="E60" s="35"/>
      <c r="F60" s="41"/>
      <c r="G60" s="41"/>
      <c r="H60" s="41"/>
      <c r="I60" s="41"/>
      <c r="J60" s="35"/>
      <c r="K60" s="37" t="str">
        <f aca="false">IF(F60="","",IF(I60&lt;&gt;"","נסגרה",IF(H60&lt;&gt;"","נענתה",IF(G60&lt;&gt;"","אושרה קבלה","נפתחה"))))</f>
        <v/>
      </c>
      <c r="L60" s="42" t="str">
        <f aca="false">IF(OR(F60="",G60=""),"",G60-F60)</f>
        <v/>
      </c>
      <c r="M60" s="42" t="str">
        <f aca="false">IF(OR(F60="",H60=""),"",H60-F60)</f>
        <v/>
      </c>
      <c r="N60" s="42" t="str">
        <f aca="false">IF(OR(F60="",I60=""),"",I60-F60)</f>
        <v/>
      </c>
    </row>
    <row r="61" customFormat="false" ht="15" hidden="false" customHeight="true" outlineLevel="0" collapsed="false">
      <c r="A61" s="37" t="s">
        <v>548</v>
      </c>
      <c r="B61" s="35"/>
      <c r="C61" s="35"/>
      <c r="D61" s="35"/>
      <c r="E61" s="35"/>
      <c r="F61" s="41"/>
      <c r="G61" s="41"/>
      <c r="H61" s="41"/>
      <c r="I61" s="41"/>
      <c r="J61" s="35"/>
      <c r="K61" s="37" t="str">
        <f aca="false">IF(F61="","",IF(I61&lt;&gt;"","נסגרה",IF(H61&lt;&gt;"","נענתה",IF(G61&lt;&gt;"","אושרה קבלה","נפתחה"))))</f>
        <v/>
      </c>
      <c r="L61" s="42" t="str">
        <f aca="false">IF(OR(F61="",G61=""),"",G61-F61)</f>
        <v/>
      </c>
      <c r="M61" s="42" t="str">
        <f aca="false">IF(OR(F61="",H61=""),"",H61-F61)</f>
        <v/>
      </c>
      <c r="N61" s="42" t="str">
        <f aca="false">IF(OR(F61="",I61=""),"",I61-F61)</f>
        <v/>
      </c>
    </row>
    <row r="62" customFormat="false" ht="15" hidden="false" customHeight="true" outlineLevel="0" collapsed="false">
      <c r="A62" s="37" t="s">
        <v>549</v>
      </c>
      <c r="B62" s="35"/>
      <c r="C62" s="35"/>
      <c r="D62" s="35"/>
      <c r="E62" s="35"/>
      <c r="F62" s="41"/>
      <c r="G62" s="41"/>
      <c r="H62" s="41"/>
      <c r="I62" s="41"/>
      <c r="J62" s="35"/>
      <c r="K62" s="37" t="str">
        <f aca="false">IF(F62="","",IF(I62&lt;&gt;"","נסגרה",IF(H62&lt;&gt;"","נענתה",IF(G62&lt;&gt;"","אושרה קבלה","נפתחה"))))</f>
        <v/>
      </c>
      <c r="L62" s="42" t="str">
        <f aca="false">IF(OR(F62="",G62=""),"",G62-F62)</f>
        <v/>
      </c>
      <c r="M62" s="42" t="str">
        <f aca="false">IF(OR(F62="",H62=""),"",H62-F62)</f>
        <v/>
      </c>
      <c r="N62" s="42" t="str">
        <f aca="false">IF(OR(F62="",I62=""),"",I62-F62)</f>
        <v/>
      </c>
    </row>
    <row r="63" customFormat="false" ht="15" hidden="false" customHeight="true" outlineLevel="0" collapsed="false">
      <c r="A63" s="37" t="s">
        <v>550</v>
      </c>
      <c r="B63" s="35"/>
      <c r="C63" s="35"/>
      <c r="D63" s="35"/>
      <c r="E63" s="35"/>
      <c r="F63" s="41"/>
      <c r="G63" s="41"/>
      <c r="H63" s="41"/>
      <c r="I63" s="41"/>
      <c r="J63" s="35"/>
      <c r="K63" s="37" t="str">
        <f aca="false">IF(F63="","",IF(I63&lt;&gt;"","נסגרה",IF(H63&lt;&gt;"","נענתה",IF(G63&lt;&gt;"","אושרה קבלה","נפתחה"))))</f>
        <v/>
      </c>
      <c r="L63" s="42" t="str">
        <f aca="false">IF(OR(F63="",G63=""),"",G63-F63)</f>
        <v/>
      </c>
      <c r="M63" s="42" t="str">
        <f aca="false">IF(OR(F63="",H63=""),"",H63-F63)</f>
        <v/>
      </c>
      <c r="N63" s="42" t="str">
        <f aca="false">IF(OR(F63="",I63=""),"",I63-F63)</f>
        <v/>
      </c>
    </row>
    <row r="64" customFormat="false" ht="15" hidden="false" customHeight="true" outlineLevel="0" collapsed="false">
      <c r="A64" s="37" t="s">
        <v>551</v>
      </c>
      <c r="B64" s="35"/>
      <c r="C64" s="35"/>
      <c r="D64" s="35"/>
      <c r="E64" s="35"/>
      <c r="F64" s="41"/>
      <c r="G64" s="41"/>
      <c r="H64" s="41"/>
      <c r="I64" s="41"/>
      <c r="J64" s="35"/>
      <c r="K64" s="37" t="str">
        <f aca="false">IF(F64="","",IF(I64&lt;&gt;"","נסגרה",IF(H64&lt;&gt;"","נענתה",IF(G64&lt;&gt;"","אושרה קבלה","נפתחה"))))</f>
        <v/>
      </c>
      <c r="L64" s="42" t="str">
        <f aca="false">IF(OR(F64="",G64=""),"",G64-F64)</f>
        <v/>
      </c>
      <c r="M64" s="42" t="str">
        <f aca="false">IF(OR(F64="",H64=""),"",H64-F64)</f>
        <v/>
      </c>
      <c r="N64" s="42" t="str">
        <f aca="false">IF(OR(F64="",I64=""),"",I64-F64)</f>
        <v/>
      </c>
    </row>
    <row r="65" customFormat="false" ht="15" hidden="false" customHeight="true" outlineLevel="0" collapsed="false">
      <c r="A65" s="37" t="s">
        <v>552</v>
      </c>
      <c r="B65" s="35"/>
      <c r="C65" s="35"/>
      <c r="D65" s="35"/>
      <c r="E65" s="35"/>
      <c r="F65" s="41"/>
      <c r="G65" s="41"/>
      <c r="H65" s="41"/>
      <c r="I65" s="41"/>
      <c r="J65" s="35"/>
      <c r="K65" s="37" t="str">
        <f aca="false">IF(F65="","",IF(I65&lt;&gt;"","נסגרה",IF(H65&lt;&gt;"","נענתה",IF(G65&lt;&gt;"","אושרה קבלה","נפתחה"))))</f>
        <v/>
      </c>
      <c r="L65" s="42" t="str">
        <f aca="false">IF(OR(F65="",G65=""),"",G65-F65)</f>
        <v/>
      </c>
      <c r="M65" s="42" t="str">
        <f aca="false">IF(OR(F65="",H65=""),"",H65-F65)</f>
        <v/>
      </c>
      <c r="N65" s="42" t="str">
        <f aca="false">IF(OR(F65="",I65=""),"",I65-F65)</f>
        <v/>
      </c>
    </row>
    <row r="66" customFormat="false" ht="15" hidden="false" customHeight="true" outlineLevel="0" collapsed="false">
      <c r="A66" s="37" t="s">
        <v>553</v>
      </c>
      <c r="B66" s="35"/>
      <c r="C66" s="35"/>
      <c r="D66" s="35"/>
      <c r="E66" s="35"/>
      <c r="F66" s="41"/>
      <c r="G66" s="41"/>
      <c r="H66" s="41"/>
      <c r="I66" s="41"/>
      <c r="J66" s="35"/>
      <c r="K66" s="37" t="str">
        <f aca="false">IF(F66="","",IF(I66&lt;&gt;"","נסגרה",IF(H66&lt;&gt;"","נענתה",IF(G66&lt;&gt;"","אושרה קבלה","נפתחה"))))</f>
        <v/>
      </c>
      <c r="L66" s="42" t="str">
        <f aca="false">IF(OR(F66="",G66=""),"",G66-F66)</f>
        <v/>
      </c>
      <c r="M66" s="42" t="str">
        <f aca="false">IF(OR(F66="",H66=""),"",H66-F66)</f>
        <v/>
      </c>
      <c r="N66" s="42" t="str">
        <f aca="false">IF(OR(F66="",I66=""),"",I66-F66)</f>
        <v/>
      </c>
    </row>
    <row r="67" customFormat="false" ht="15" hidden="false" customHeight="true" outlineLevel="0" collapsed="false">
      <c r="A67" s="37" t="s">
        <v>554</v>
      </c>
      <c r="B67" s="35"/>
      <c r="C67" s="35"/>
      <c r="D67" s="35"/>
      <c r="E67" s="35"/>
      <c r="F67" s="41"/>
      <c r="G67" s="41"/>
      <c r="H67" s="41"/>
      <c r="I67" s="41"/>
      <c r="J67" s="35"/>
      <c r="K67" s="37" t="str">
        <f aca="false">IF(F67="","",IF(I67&lt;&gt;"","נסגרה",IF(H67&lt;&gt;"","נענתה",IF(G67&lt;&gt;"","אושרה קבלה","נפתחה"))))</f>
        <v/>
      </c>
      <c r="L67" s="42" t="str">
        <f aca="false">IF(OR(F67="",G67=""),"",G67-F67)</f>
        <v/>
      </c>
      <c r="M67" s="42" t="str">
        <f aca="false">IF(OR(F67="",H67=""),"",H67-F67)</f>
        <v/>
      </c>
      <c r="N67" s="42" t="str">
        <f aca="false">IF(OR(F67="",I67=""),"",I67-F67)</f>
        <v/>
      </c>
    </row>
    <row r="68" customFormat="false" ht="15" hidden="false" customHeight="true" outlineLevel="0" collapsed="false">
      <c r="A68" s="37" t="s">
        <v>555</v>
      </c>
      <c r="B68" s="35"/>
      <c r="C68" s="35"/>
      <c r="D68" s="35"/>
      <c r="E68" s="35"/>
      <c r="F68" s="41"/>
      <c r="G68" s="41"/>
      <c r="H68" s="41"/>
      <c r="I68" s="41"/>
      <c r="J68" s="35"/>
      <c r="K68" s="37" t="str">
        <f aca="false">IF(F68="","",IF(I68&lt;&gt;"","נסגרה",IF(H68&lt;&gt;"","נענתה",IF(G68&lt;&gt;"","אושרה קבלה","נפתחה"))))</f>
        <v/>
      </c>
      <c r="L68" s="42" t="str">
        <f aca="false">IF(OR(F68="",G68=""),"",G68-F68)</f>
        <v/>
      </c>
      <c r="M68" s="42" t="str">
        <f aca="false">IF(OR(F68="",H68=""),"",H68-F68)</f>
        <v/>
      </c>
      <c r="N68" s="42" t="str">
        <f aca="false">IF(OR(F68="",I68=""),"",I68-F68)</f>
        <v/>
      </c>
    </row>
    <row r="69" customFormat="false" ht="15" hidden="false" customHeight="true" outlineLevel="0" collapsed="false">
      <c r="A69" s="37" t="s">
        <v>556</v>
      </c>
      <c r="B69" s="35"/>
      <c r="C69" s="35"/>
      <c r="D69" s="35"/>
      <c r="E69" s="35"/>
      <c r="F69" s="41"/>
      <c r="G69" s="41"/>
      <c r="H69" s="41"/>
      <c r="I69" s="41"/>
      <c r="J69" s="35"/>
      <c r="K69" s="37" t="str">
        <f aca="false">IF(F69="","",IF(I69&lt;&gt;"","נסגרה",IF(H69&lt;&gt;"","נענתה",IF(G69&lt;&gt;"","אושרה קבלה","נפתחה"))))</f>
        <v/>
      </c>
      <c r="L69" s="42" t="str">
        <f aca="false">IF(OR(F69="",G69=""),"",G69-F69)</f>
        <v/>
      </c>
      <c r="M69" s="42" t="str">
        <f aca="false">IF(OR(F69="",H69=""),"",H69-F69)</f>
        <v/>
      </c>
      <c r="N69" s="42" t="str">
        <f aca="false">IF(OR(F69="",I69=""),"",I69-F69)</f>
        <v/>
      </c>
    </row>
    <row r="70" customFormat="false" ht="15" hidden="false" customHeight="true" outlineLevel="0" collapsed="false">
      <c r="A70" s="37" t="s">
        <v>557</v>
      </c>
      <c r="B70" s="35"/>
      <c r="C70" s="35"/>
      <c r="D70" s="35"/>
      <c r="E70" s="35"/>
      <c r="F70" s="41"/>
      <c r="G70" s="41"/>
      <c r="H70" s="41"/>
      <c r="I70" s="41"/>
      <c r="J70" s="35"/>
      <c r="K70" s="37" t="str">
        <f aca="false">IF(F70="","",IF(I70&lt;&gt;"","נסגרה",IF(H70&lt;&gt;"","נענתה",IF(G70&lt;&gt;"","אושרה קבלה","נפתחה"))))</f>
        <v/>
      </c>
      <c r="L70" s="42" t="str">
        <f aca="false">IF(OR(F70="",G70=""),"",G70-F70)</f>
        <v/>
      </c>
      <c r="M70" s="42" t="str">
        <f aca="false">IF(OR(F70="",H70=""),"",H70-F70)</f>
        <v/>
      </c>
      <c r="N70" s="42" t="str">
        <f aca="false">IF(OR(F70="",I70=""),"",I70-F70)</f>
        <v/>
      </c>
    </row>
    <row r="71" customFormat="false" ht="15" hidden="false" customHeight="true" outlineLevel="0" collapsed="false">
      <c r="A71" s="37" t="s">
        <v>558</v>
      </c>
      <c r="B71" s="35"/>
      <c r="C71" s="35"/>
      <c r="D71" s="35"/>
      <c r="E71" s="35"/>
      <c r="F71" s="41"/>
      <c r="G71" s="41"/>
      <c r="H71" s="41"/>
      <c r="I71" s="41"/>
      <c r="J71" s="35"/>
      <c r="K71" s="37" t="str">
        <f aca="false">IF(F71="","",IF(I71&lt;&gt;"","נסגרה",IF(H71&lt;&gt;"","נענתה",IF(G71&lt;&gt;"","אושרה קבלה","נפתחה"))))</f>
        <v/>
      </c>
      <c r="L71" s="42" t="str">
        <f aca="false">IF(OR(F71="",G71=""),"",G71-F71)</f>
        <v/>
      </c>
      <c r="M71" s="42" t="str">
        <f aca="false">IF(OR(F71="",H71=""),"",H71-F71)</f>
        <v/>
      </c>
      <c r="N71" s="42" t="str">
        <f aca="false">IF(OR(F71="",I71=""),"",I71-F71)</f>
        <v/>
      </c>
    </row>
    <row r="72" customFormat="false" ht="15" hidden="false" customHeight="true" outlineLevel="0" collapsed="false">
      <c r="A72" s="37" t="s">
        <v>559</v>
      </c>
      <c r="B72" s="35"/>
      <c r="C72" s="35"/>
      <c r="D72" s="35"/>
      <c r="E72" s="35"/>
      <c r="F72" s="41"/>
      <c r="G72" s="41"/>
      <c r="H72" s="41"/>
      <c r="I72" s="41"/>
      <c r="J72" s="35"/>
      <c r="K72" s="37" t="str">
        <f aca="false">IF(F72="","",IF(I72&lt;&gt;"","נסגרה",IF(H72&lt;&gt;"","נענתה",IF(G72&lt;&gt;"","אושרה קבלה","נפתחה"))))</f>
        <v/>
      </c>
      <c r="L72" s="42" t="str">
        <f aca="false">IF(OR(F72="",G72=""),"",G72-F72)</f>
        <v/>
      </c>
      <c r="M72" s="42" t="str">
        <f aca="false">IF(OR(F72="",H72=""),"",H72-F72)</f>
        <v/>
      </c>
      <c r="N72" s="42" t="str">
        <f aca="false">IF(OR(F72="",I72=""),"",I72-F72)</f>
        <v/>
      </c>
    </row>
    <row r="73" customFormat="false" ht="15" hidden="false" customHeight="true" outlineLevel="0" collapsed="false">
      <c r="A73" s="37" t="s">
        <v>560</v>
      </c>
      <c r="B73" s="35"/>
      <c r="C73" s="35"/>
      <c r="D73" s="35"/>
      <c r="E73" s="35"/>
      <c r="F73" s="41"/>
      <c r="G73" s="41"/>
      <c r="H73" s="41"/>
      <c r="I73" s="41"/>
      <c r="J73" s="35"/>
      <c r="K73" s="37" t="str">
        <f aca="false">IF(F73="","",IF(I73&lt;&gt;"","נסגרה",IF(H73&lt;&gt;"","נענתה",IF(G73&lt;&gt;"","אושרה קבלה","נפתחה"))))</f>
        <v/>
      </c>
      <c r="L73" s="42" t="str">
        <f aca="false">IF(OR(F73="",G73=""),"",G73-F73)</f>
        <v/>
      </c>
      <c r="M73" s="42" t="str">
        <f aca="false">IF(OR(F73="",H73=""),"",H73-F73)</f>
        <v/>
      </c>
      <c r="N73" s="42" t="str">
        <f aca="false">IF(OR(F73="",I73=""),"",I73-F73)</f>
        <v/>
      </c>
    </row>
    <row r="74" customFormat="false" ht="15" hidden="false" customHeight="true" outlineLevel="0" collapsed="false">
      <c r="A74" s="37" t="s">
        <v>561</v>
      </c>
      <c r="B74" s="35"/>
      <c r="C74" s="35"/>
      <c r="D74" s="35"/>
      <c r="E74" s="35"/>
      <c r="F74" s="41"/>
      <c r="G74" s="41"/>
      <c r="H74" s="41"/>
      <c r="I74" s="41"/>
      <c r="J74" s="35"/>
      <c r="K74" s="37" t="str">
        <f aca="false">IF(F74="","",IF(I74&lt;&gt;"","נסגרה",IF(H74&lt;&gt;"","נענתה",IF(G74&lt;&gt;"","אושרה קבלה","נפתחה"))))</f>
        <v/>
      </c>
      <c r="L74" s="42" t="str">
        <f aca="false">IF(OR(F74="",G74=""),"",G74-F74)</f>
        <v/>
      </c>
      <c r="M74" s="42" t="str">
        <f aca="false">IF(OR(F74="",H74=""),"",H74-F74)</f>
        <v/>
      </c>
      <c r="N74" s="42" t="str">
        <f aca="false">IF(OR(F74="",I74=""),"",I74-F74)</f>
        <v/>
      </c>
    </row>
    <row r="75" customFormat="false" ht="15" hidden="false" customHeight="true" outlineLevel="0" collapsed="false">
      <c r="A75" s="37" t="s">
        <v>562</v>
      </c>
      <c r="B75" s="35"/>
      <c r="C75" s="35"/>
      <c r="D75" s="35"/>
      <c r="E75" s="35"/>
      <c r="F75" s="41"/>
      <c r="G75" s="41"/>
      <c r="H75" s="41"/>
      <c r="I75" s="41"/>
      <c r="J75" s="35"/>
      <c r="K75" s="37" t="str">
        <f aca="false">IF(F75="","",IF(I75&lt;&gt;"","נסגרה",IF(H75&lt;&gt;"","נענתה",IF(G75&lt;&gt;"","אושרה קבלה","נפתחה"))))</f>
        <v/>
      </c>
      <c r="L75" s="42" t="str">
        <f aca="false">IF(OR(F75="",G75=""),"",G75-F75)</f>
        <v/>
      </c>
      <c r="M75" s="42" t="str">
        <f aca="false">IF(OR(F75="",H75=""),"",H75-F75)</f>
        <v/>
      </c>
      <c r="N75" s="42" t="str">
        <f aca="false">IF(OR(F75="",I75=""),"",I75-F75)</f>
        <v/>
      </c>
    </row>
    <row r="76" customFormat="false" ht="15" hidden="false" customHeight="true" outlineLevel="0" collapsed="false">
      <c r="A76" s="37" t="s">
        <v>563</v>
      </c>
      <c r="B76" s="35"/>
      <c r="C76" s="35"/>
      <c r="D76" s="35"/>
      <c r="E76" s="35"/>
      <c r="F76" s="41"/>
      <c r="G76" s="41"/>
      <c r="H76" s="41"/>
      <c r="I76" s="41"/>
      <c r="J76" s="35"/>
      <c r="K76" s="37" t="str">
        <f aca="false">IF(F76="","",IF(I76&lt;&gt;"","נסגרה",IF(H76&lt;&gt;"","נענתה",IF(G76&lt;&gt;"","אושרה קבלה","נפתחה"))))</f>
        <v/>
      </c>
      <c r="L76" s="42" t="str">
        <f aca="false">IF(OR(F76="",G76=""),"",G76-F76)</f>
        <v/>
      </c>
      <c r="M76" s="42" t="str">
        <f aca="false">IF(OR(F76="",H76=""),"",H76-F76)</f>
        <v/>
      </c>
      <c r="N76" s="42" t="str">
        <f aca="false">IF(OR(F76="",I76=""),"",I76-F76)</f>
        <v/>
      </c>
    </row>
    <row r="77" customFormat="false" ht="15" hidden="false" customHeight="true" outlineLevel="0" collapsed="false">
      <c r="A77" s="37" t="s">
        <v>564</v>
      </c>
      <c r="B77" s="35"/>
      <c r="C77" s="35"/>
      <c r="D77" s="35"/>
      <c r="E77" s="35"/>
      <c r="F77" s="41"/>
      <c r="G77" s="41"/>
      <c r="H77" s="41"/>
      <c r="I77" s="41"/>
      <c r="J77" s="35"/>
      <c r="K77" s="37" t="str">
        <f aca="false">IF(F77="","",IF(I77&lt;&gt;"","נסגרה",IF(H77&lt;&gt;"","נענתה",IF(G77&lt;&gt;"","אושרה קבלה","נפתחה"))))</f>
        <v/>
      </c>
      <c r="L77" s="42" t="str">
        <f aca="false">IF(OR(F77="",G77=""),"",G77-F77)</f>
        <v/>
      </c>
      <c r="M77" s="42" t="str">
        <f aca="false">IF(OR(F77="",H77=""),"",H77-F77)</f>
        <v/>
      </c>
      <c r="N77" s="42" t="str">
        <f aca="false">IF(OR(F77="",I77=""),"",I77-F77)</f>
        <v/>
      </c>
    </row>
    <row r="78" customFormat="false" ht="15" hidden="false" customHeight="true" outlineLevel="0" collapsed="false">
      <c r="A78" s="37" t="s">
        <v>565</v>
      </c>
      <c r="B78" s="35"/>
      <c r="C78" s="35"/>
      <c r="D78" s="35"/>
      <c r="E78" s="35"/>
      <c r="F78" s="41"/>
      <c r="G78" s="41"/>
      <c r="H78" s="41"/>
      <c r="I78" s="41"/>
      <c r="J78" s="35"/>
      <c r="K78" s="37" t="str">
        <f aca="false">IF(F78="","",IF(I78&lt;&gt;"","נסגרה",IF(H78&lt;&gt;"","נענתה",IF(G78&lt;&gt;"","אושרה קבלה","נפתחה"))))</f>
        <v/>
      </c>
      <c r="L78" s="42" t="str">
        <f aca="false">IF(OR(F78="",G78=""),"",G78-F78)</f>
        <v/>
      </c>
      <c r="M78" s="42" t="str">
        <f aca="false">IF(OR(F78="",H78=""),"",H78-F78)</f>
        <v/>
      </c>
      <c r="N78" s="42" t="str">
        <f aca="false">IF(OR(F78="",I78=""),"",I78-F78)</f>
        <v/>
      </c>
    </row>
    <row r="79" customFormat="false" ht="15" hidden="false" customHeight="true" outlineLevel="0" collapsed="false">
      <c r="A79" s="37" t="s">
        <v>566</v>
      </c>
      <c r="B79" s="35"/>
      <c r="C79" s="35"/>
      <c r="D79" s="35"/>
      <c r="E79" s="35"/>
      <c r="F79" s="41"/>
      <c r="G79" s="41"/>
      <c r="H79" s="41"/>
      <c r="I79" s="41"/>
      <c r="J79" s="35"/>
      <c r="K79" s="37" t="str">
        <f aca="false">IF(F79="","",IF(I79&lt;&gt;"","נסגרה",IF(H79&lt;&gt;"","נענתה",IF(G79&lt;&gt;"","אושרה קבלה","נפתחה"))))</f>
        <v/>
      </c>
      <c r="L79" s="42" t="str">
        <f aca="false">IF(OR(F79="",G79=""),"",G79-F79)</f>
        <v/>
      </c>
      <c r="M79" s="42" t="str">
        <f aca="false">IF(OR(F79="",H79=""),"",H79-F79)</f>
        <v/>
      </c>
      <c r="N79" s="42" t="str">
        <f aca="false">IF(OR(F79="",I79=""),"",I79-F79)</f>
        <v/>
      </c>
    </row>
    <row r="80" customFormat="false" ht="15" hidden="false" customHeight="true" outlineLevel="0" collapsed="false">
      <c r="A80" s="37" t="s">
        <v>567</v>
      </c>
      <c r="B80" s="35"/>
      <c r="C80" s="35"/>
      <c r="D80" s="35"/>
      <c r="E80" s="35"/>
      <c r="F80" s="41"/>
      <c r="G80" s="41"/>
      <c r="H80" s="41"/>
      <c r="I80" s="41"/>
      <c r="J80" s="35"/>
      <c r="K80" s="37" t="str">
        <f aca="false">IF(F80="","",IF(I80&lt;&gt;"","נסגרה",IF(H80&lt;&gt;"","נענתה",IF(G80&lt;&gt;"","אושרה קבלה","נפתחה"))))</f>
        <v/>
      </c>
      <c r="L80" s="42" t="str">
        <f aca="false">IF(OR(F80="",G80=""),"",G80-F80)</f>
        <v/>
      </c>
      <c r="M80" s="42" t="str">
        <f aca="false">IF(OR(F80="",H80=""),"",H80-F80)</f>
        <v/>
      </c>
      <c r="N80" s="42" t="str">
        <f aca="false">IF(OR(F80="",I80=""),"",I80-F80)</f>
        <v/>
      </c>
    </row>
    <row r="81" customFormat="false" ht="15" hidden="false" customHeight="true" outlineLevel="0" collapsed="false">
      <c r="A81" s="37" t="s">
        <v>568</v>
      </c>
      <c r="B81" s="35"/>
      <c r="C81" s="35"/>
      <c r="D81" s="35"/>
      <c r="E81" s="35"/>
      <c r="F81" s="41"/>
      <c r="G81" s="41"/>
      <c r="H81" s="41"/>
      <c r="I81" s="41"/>
      <c r="J81" s="35"/>
      <c r="K81" s="37" t="str">
        <f aca="false">IF(F81="","",IF(I81&lt;&gt;"","נסגרה",IF(H81&lt;&gt;"","נענתה",IF(G81&lt;&gt;"","אושרה קבלה","נפתחה"))))</f>
        <v/>
      </c>
      <c r="L81" s="42" t="str">
        <f aca="false">IF(OR(F81="",G81=""),"",G81-F81)</f>
        <v/>
      </c>
      <c r="M81" s="42" t="str">
        <f aca="false">IF(OR(F81="",H81=""),"",H81-F81)</f>
        <v/>
      </c>
      <c r="N81" s="42" t="str">
        <f aca="false">IF(OR(F81="",I81=""),"",I81-F81)</f>
        <v/>
      </c>
    </row>
    <row r="82" customFormat="false" ht="15" hidden="false" customHeight="true" outlineLevel="0" collapsed="false">
      <c r="A82" s="37" t="s">
        <v>569</v>
      </c>
      <c r="B82" s="35"/>
      <c r="C82" s="35"/>
      <c r="D82" s="35"/>
      <c r="E82" s="35"/>
      <c r="F82" s="41"/>
      <c r="G82" s="41"/>
      <c r="H82" s="41"/>
      <c r="I82" s="41"/>
      <c r="J82" s="35"/>
      <c r="K82" s="37" t="str">
        <f aca="false">IF(F82="","",IF(I82&lt;&gt;"","נסגרה",IF(H82&lt;&gt;"","נענתה",IF(G82&lt;&gt;"","אושרה קבלה","נפתחה"))))</f>
        <v/>
      </c>
      <c r="L82" s="42" t="str">
        <f aca="false">IF(OR(F82="",G82=""),"",G82-F82)</f>
        <v/>
      </c>
      <c r="M82" s="42" t="str">
        <f aca="false">IF(OR(F82="",H82=""),"",H82-F82)</f>
        <v/>
      </c>
      <c r="N82" s="42" t="str">
        <f aca="false">IF(OR(F82="",I82=""),"",I82-F82)</f>
        <v/>
      </c>
    </row>
    <row r="83" customFormat="false" ht="15" hidden="false" customHeight="true" outlineLevel="0" collapsed="false">
      <c r="A83" s="37" t="s">
        <v>570</v>
      </c>
      <c r="B83" s="35"/>
      <c r="C83" s="35"/>
      <c r="D83" s="35"/>
      <c r="E83" s="35"/>
      <c r="F83" s="41"/>
      <c r="G83" s="41"/>
      <c r="H83" s="41"/>
      <c r="I83" s="41"/>
      <c r="J83" s="35"/>
      <c r="K83" s="37" t="str">
        <f aca="false">IF(F83="","",IF(I83&lt;&gt;"","נסגרה",IF(H83&lt;&gt;"","נענתה",IF(G83&lt;&gt;"","אושרה קבלה","נפתחה"))))</f>
        <v/>
      </c>
      <c r="L83" s="42" t="str">
        <f aca="false">IF(OR(F83="",G83=""),"",G83-F83)</f>
        <v/>
      </c>
      <c r="M83" s="42" t="str">
        <f aca="false">IF(OR(F83="",H83=""),"",H83-F83)</f>
        <v/>
      </c>
      <c r="N83" s="42" t="str">
        <f aca="false">IF(OR(F83="",I83=""),"",I83-F83)</f>
        <v/>
      </c>
    </row>
    <row r="84" customFormat="false" ht="15" hidden="false" customHeight="true" outlineLevel="0" collapsed="false">
      <c r="A84" s="37" t="s">
        <v>571</v>
      </c>
      <c r="B84" s="35"/>
      <c r="C84" s="35"/>
      <c r="D84" s="35"/>
      <c r="E84" s="35"/>
      <c r="F84" s="41"/>
      <c r="G84" s="41"/>
      <c r="H84" s="41"/>
      <c r="I84" s="41"/>
      <c r="J84" s="35"/>
      <c r="K84" s="37" t="str">
        <f aca="false">IF(F84="","",IF(I84&lt;&gt;"","נסגרה",IF(H84&lt;&gt;"","נענתה",IF(G84&lt;&gt;"","אושרה קבלה","נפתחה"))))</f>
        <v/>
      </c>
      <c r="L84" s="42" t="str">
        <f aca="false">IF(OR(F84="",G84=""),"",G84-F84)</f>
        <v/>
      </c>
      <c r="M84" s="42" t="str">
        <f aca="false">IF(OR(F84="",H84=""),"",H84-F84)</f>
        <v/>
      </c>
      <c r="N84" s="42" t="str">
        <f aca="false">IF(OR(F84="",I84=""),"",I84-F84)</f>
        <v/>
      </c>
    </row>
    <row r="85" customFormat="false" ht="15" hidden="false" customHeight="true" outlineLevel="0" collapsed="false">
      <c r="A85" s="37" t="s">
        <v>572</v>
      </c>
      <c r="B85" s="35"/>
      <c r="C85" s="35"/>
      <c r="D85" s="35"/>
      <c r="E85" s="35"/>
      <c r="F85" s="41"/>
      <c r="G85" s="41"/>
      <c r="H85" s="41"/>
      <c r="I85" s="41"/>
      <c r="J85" s="35"/>
      <c r="K85" s="37" t="str">
        <f aca="false">IF(F85="","",IF(I85&lt;&gt;"","נסגרה",IF(H85&lt;&gt;"","נענתה",IF(G85&lt;&gt;"","אושרה קבלה","נפתחה"))))</f>
        <v/>
      </c>
      <c r="L85" s="42" t="str">
        <f aca="false">IF(OR(F85="",G85=""),"",G85-F85)</f>
        <v/>
      </c>
      <c r="M85" s="42" t="str">
        <f aca="false">IF(OR(F85="",H85=""),"",H85-F85)</f>
        <v/>
      </c>
      <c r="N85" s="42" t="str">
        <f aca="false">IF(OR(F85="",I85=""),"",I85-F85)</f>
        <v/>
      </c>
    </row>
    <row r="86" customFormat="false" ht="15" hidden="false" customHeight="true" outlineLevel="0" collapsed="false">
      <c r="A86" s="37" t="s">
        <v>573</v>
      </c>
      <c r="B86" s="35"/>
      <c r="C86" s="35"/>
      <c r="D86" s="35"/>
      <c r="E86" s="35"/>
      <c r="F86" s="41"/>
      <c r="G86" s="41"/>
      <c r="H86" s="41"/>
      <c r="I86" s="41"/>
      <c r="J86" s="35"/>
      <c r="K86" s="37" t="str">
        <f aca="false">IF(F86="","",IF(I86&lt;&gt;"","נסגרה",IF(H86&lt;&gt;"","נענתה",IF(G86&lt;&gt;"","אושרה קבלה","נפתחה"))))</f>
        <v/>
      </c>
      <c r="L86" s="42" t="str">
        <f aca="false">IF(OR(F86="",G86=""),"",G86-F86)</f>
        <v/>
      </c>
      <c r="M86" s="42" t="str">
        <f aca="false">IF(OR(F86="",H86=""),"",H86-F86)</f>
        <v/>
      </c>
      <c r="N86" s="42" t="str">
        <f aca="false">IF(OR(F86="",I86=""),"",I86-F86)</f>
        <v/>
      </c>
    </row>
    <row r="87" customFormat="false" ht="15" hidden="false" customHeight="true" outlineLevel="0" collapsed="false">
      <c r="A87" s="37" t="s">
        <v>574</v>
      </c>
      <c r="B87" s="35"/>
      <c r="C87" s="35"/>
      <c r="D87" s="35"/>
      <c r="E87" s="35"/>
      <c r="F87" s="41"/>
      <c r="G87" s="41"/>
      <c r="H87" s="41"/>
      <c r="I87" s="41"/>
      <c r="J87" s="35"/>
      <c r="K87" s="37" t="str">
        <f aca="false">IF(F87="","",IF(I87&lt;&gt;"","נסגרה",IF(H87&lt;&gt;"","נענתה",IF(G87&lt;&gt;"","אושרה קבלה","נפתחה"))))</f>
        <v/>
      </c>
      <c r="L87" s="42" t="str">
        <f aca="false">IF(OR(F87="",G87=""),"",G87-F87)</f>
        <v/>
      </c>
      <c r="M87" s="42" t="str">
        <f aca="false">IF(OR(F87="",H87=""),"",H87-F87)</f>
        <v/>
      </c>
      <c r="N87" s="42" t="str">
        <f aca="false">IF(OR(F87="",I87=""),"",I87-F87)</f>
        <v/>
      </c>
    </row>
    <row r="88" customFormat="false" ht="15" hidden="false" customHeight="true" outlineLevel="0" collapsed="false">
      <c r="A88" s="37" t="s">
        <v>575</v>
      </c>
      <c r="B88" s="35"/>
      <c r="C88" s="35"/>
      <c r="D88" s="35"/>
      <c r="E88" s="35"/>
      <c r="F88" s="41"/>
      <c r="G88" s="41"/>
      <c r="H88" s="41"/>
      <c r="I88" s="41"/>
      <c r="J88" s="35"/>
      <c r="K88" s="37" t="str">
        <f aca="false">IF(F88="","",IF(I88&lt;&gt;"","נסגרה",IF(H88&lt;&gt;"","נענתה",IF(G88&lt;&gt;"","אושרה קבלה","נפתחה"))))</f>
        <v/>
      </c>
      <c r="L88" s="42" t="str">
        <f aca="false">IF(OR(F88="",G88=""),"",G88-F88)</f>
        <v/>
      </c>
      <c r="M88" s="42" t="str">
        <f aca="false">IF(OR(F88="",H88=""),"",H88-F88)</f>
        <v/>
      </c>
      <c r="N88" s="42" t="str">
        <f aca="false">IF(OR(F88="",I88=""),"",I88-F88)</f>
        <v/>
      </c>
    </row>
    <row r="89" customFormat="false" ht="15" hidden="false" customHeight="true" outlineLevel="0" collapsed="false">
      <c r="A89" s="37" t="s">
        <v>576</v>
      </c>
      <c r="B89" s="35"/>
      <c r="C89" s="35"/>
      <c r="D89" s="35"/>
      <c r="E89" s="35"/>
      <c r="F89" s="41"/>
      <c r="G89" s="41"/>
      <c r="H89" s="41"/>
      <c r="I89" s="41"/>
      <c r="J89" s="35"/>
      <c r="K89" s="37" t="str">
        <f aca="false">IF(F89="","",IF(I89&lt;&gt;"","נסגרה",IF(H89&lt;&gt;"","נענתה",IF(G89&lt;&gt;"","אושרה קבלה","נפתחה"))))</f>
        <v/>
      </c>
      <c r="L89" s="42" t="str">
        <f aca="false">IF(OR(F89="",G89=""),"",G89-F89)</f>
        <v/>
      </c>
      <c r="M89" s="42" t="str">
        <f aca="false">IF(OR(F89="",H89=""),"",H89-F89)</f>
        <v/>
      </c>
      <c r="N89" s="42" t="str">
        <f aca="false">IF(OR(F89="",I89=""),"",I89-F89)</f>
        <v/>
      </c>
    </row>
    <row r="90" customFormat="false" ht="15" hidden="false" customHeight="true" outlineLevel="0" collapsed="false">
      <c r="A90" s="37" t="s">
        <v>577</v>
      </c>
      <c r="B90" s="35"/>
      <c r="C90" s="35"/>
      <c r="D90" s="35"/>
      <c r="E90" s="35"/>
      <c r="F90" s="41"/>
      <c r="G90" s="41"/>
      <c r="H90" s="41"/>
      <c r="I90" s="41"/>
      <c r="J90" s="35"/>
      <c r="K90" s="37" t="str">
        <f aca="false">IF(F90="","",IF(I90&lt;&gt;"","נסגרה",IF(H90&lt;&gt;"","נענתה",IF(G90&lt;&gt;"","אושרה קבלה","נפתחה"))))</f>
        <v/>
      </c>
      <c r="L90" s="42" t="str">
        <f aca="false">IF(OR(F90="",G90=""),"",G90-F90)</f>
        <v/>
      </c>
      <c r="M90" s="42" t="str">
        <f aca="false">IF(OR(F90="",H90=""),"",H90-F90)</f>
        <v/>
      </c>
      <c r="N90" s="42" t="str">
        <f aca="false">IF(OR(F90="",I90=""),"",I90-F90)</f>
        <v/>
      </c>
    </row>
    <row r="91" customFormat="false" ht="15" hidden="false" customHeight="true" outlineLevel="0" collapsed="false">
      <c r="A91" s="37" t="s">
        <v>578</v>
      </c>
      <c r="B91" s="35"/>
      <c r="C91" s="35"/>
      <c r="D91" s="35"/>
      <c r="E91" s="35"/>
      <c r="F91" s="41"/>
      <c r="G91" s="41"/>
      <c r="H91" s="41"/>
      <c r="I91" s="41"/>
      <c r="J91" s="35"/>
      <c r="K91" s="37" t="str">
        <f aca="false">IF(F91="","",IF(I91&lt;&gt;"","נסגרה",IF(H91&lt;&gt;"","נענתה",IF(G91&lt;&gt;"","אושרה קבלה","נפתחה"))))</f>
        <v/>
      </c>
      <c r="L91" s="42" t="str">
        <f aca="false">IF(OR(F91="",G91=""),"",G91-F91)</f>
        <v/>
      </c>
      <c r="M91" s="42" t="str">
        <f aca="false">IF(OR(F91="",H91=""),"",H91-F91)</f>
        <v/>
      </c>
      <c r="N91" s="42" t="str">
        <f aca="false">IF(OR(F91="",I91=""),"",I91-F91)</f>
        <v/>
      </c>
    </row>
    <row r="92" customFormat="false" ht="15" hidden="false" customHeight="true" outlineLevel="0" collapsed="false">
      <c r="A92" s="37" t="s">
        <v>579</v>
      </c>
      <c r="B92" s="35"/>
      <c r="C92" s="35"/>
      <c r="D92" s="35"/>
      <c r="E92" s="35"/>
      <c r="F92" s="41"/>
      <c r="G92" s="41"/>
      <c r="H92" s="41"/>
      <c r="I92" s="41"/>
      <c r="J92" s="35"/>
      <c r="K92" s="37" t="str">
        <f aca="false">IF(F92="","",IF(I92&lt;&gt;"","נסגרה",IF(H92&lt;&gt;"","נענתה",IF(G92&lt;&gt;"","אושרה קבלה","נפתחה"))))</f>
        <v/>
      </c>
      <c r="L92" s="42" t="str">
        <f aca="false">IF(OR(F92="",G92=""),"",G92-F92)</f>
        <v/>
      </c>
      <c r="M92" s="42" t="str">
        <f aca="false">IF(OR(F92="",H92=""),"",H92-F92)</f>
        <v/>
      </c>
      <c r="N92" s="42" t="str">
        <f aca="false">IF(OR(F92="",I92=""),"",I92-F92)</f>
        <v/>
      </c>
    </row>
    <row r="93" customFormat="false" ht="15" hidden="false" customHeight="true" outlineLevel="0" collapsed="false">
      <c r="A93" s="37" t="s">
        <v>580</v>
      </c>
      <c r="B93" s="35"/>
      <c r="C93" s="35"/>
      <c r="D93" s="35"/>
      <c r="E93" s="35"/>
      <c r="F93" s="41"/>
      <c r="G93" s="41"/>
      <c r="H93" s="41"/>
      <c r="I93" s="41"/>
      <c r="J93" s="35"/>
      <c r="K93" s="37" t="str">
        <f aca="false">IF(F93="","",IF(I93&lt;&gt;"","נסגרה",IF(H93&lt;&gt;"","נענתה",IF(G93&lt;&gt;"","אושרה קבלה","נפתחה"))))</f>
        <v/>
      </c>
      <c r="L93" s="42" t="str">
        <f aca="false">IF(OR(F93="",G93=""),"",G93-F93)</f>
        <v/>
      </c>
      <c r="M93" s="42" t="str">
        <f aca="false">IF(OR(F93="",H93=""),"",H93-F93)</f>
        <v/>
      </c>
      <c r="N93" s="42" t="str">
        <f aca="false">IF(OR(F93="",I93=""),"",I93-F93)</f>
        <v/>
      </c>
    </row>
    <row r="94" customFormat="false" ht="15" hidden="false" customHeight="true" outlineLevel="0" collapsed="false">
      <c r="A94" s="37" t="s">
        <v>581</v>
      </c>
      <c r="B94" s="35"/>
      <c r="C94" s="35"/>
      <c r="D94" s="35"/>
      <c r="E94" s="35"/>
      <c r="F94" s="41"/>
      <c r="G94" s="41"/>
      <c r="H94" s="41"/>
      <c r="I94" s="41"/>
      <c r="J94" s="35"/>
      <c r="K94" s="37" t="str">
        <f aca="false">IF(F94="","",IF(I94&lt;&gt;"","נסגרה",IF(H94&lt;&gt;"","נענתה",IF(G94&lt;&gt;"","אושרה קבלה","נפתחה"))))</f>
        <v/>
      </c>
      <c r="L94" s="42" t="str">
        <f aca="false">IF(OR(F94="",G94=""),"",G94-F94)</f>
        <v/>
      </c>
      <c r="M94" s="42" t="str">
        <f aca="false">IF(OR(F94="",H94=""),"",H94-F94)</f>
        <v/>
      </c>
      <c r="N94" s="42" t="str">
        <f aca="false">IF(OR(F94="",I94=""),"",I94-F94)</f>
        <v/>
      </c>
    </row>
    <row r="95" customFormat="false" ht="15" hidden="false" customHeight="true" outlineLevel="0" collapsed="false">
      <c r="A95" s="37" t="s">
        <v>582</v>
      </c>
      <c r="B95" s="35"/>
      <c r="C95" s="35"/>
      <c r="D95" s="35"/>
      <c r="E95" s="35"/>
      <c r="F95" s="41"/>
      <c r="G95" s="41"/>
      <c r="H95" s="41"/>
      <c r="I95" s="41"/>
      <c r="J95" s="35"/>
      <c r="K95" s="37" t="str">
        <f aca="false">IF(F95="","",IF(I95&lt;&gt;"","נסגרה",IF(H95&lt;&gt;"","נענתה",IF(G95&lt;&gt;"","אושרה קבלה","נפתחה"))))</f>
        <v/>
      </c>
      <c r="L95" s="42" t="str">
        <f aca="false">IF(OR(F95="",G95=""),"",G95-F95)</f>
        <v/>
      </c>
      <c r="M95" s="42" t="str">
        <f aca="false">IF(OR(F95="",H95=""),"",H95-F95)</f>
        <v/>
      </c>
      <c r="N95" s="42" t="str">
        <f aca="false">IF(OR(F95="",I95=""),"",I95-F95)</f>
        <v/>
      </c>
    </row>
    <row r="96" customFormat="false" ht="15" hidden="false" customHeight="true" outlineLevel="0" collapsed="false">
      <c r="A96" s="37" t="s">
        <v>583</v>
      </c>
      <c r="B96" s="35"/>
      <c r="C96" s="35"/>
      <c r="D96" s="35"/>
      <c r="E96" s="35"/>
      <c r="F96" s="41"/>
      <c r="G96" s="41"/>
      <c r="H96" s="41"/>
      <c r="I96" s="41"/>
      <c r="J96" s="35"/>
      <c r="K96" s="37" t="str">
        <f aca="false">IF(F96="","",IF(I96&lt;&gt;"","נסגרה",IF(H96&lt;&gt;"","נענתה",IF(G96&lt;&gt;"","אושרה קבלה","נפתחה"))))</f>
        <v/>
      </c>
      <c r="L96" s="42" t="str">
        <f aca="false">IF(OR(F96="",G96=""),"",G96-F96)</f>
        <v/>
      </c>
      <c r="M96" s="42" t="str">
        <f aca="false">IF(OR(F96="",H96=""),"",H96-F96)</f>
        <v/>
      </c>
      <c r="N96" s="42" t="str">
        <f aca="false">IF(OR(F96="",I96=""),"",I96-F96)</f>
        <v/>
      </c>
    </row>
    <row r="97" customFormat="false" ht="15" hidden="false" customHeight="true" outlineLevel="0" collapsed="false">
      <c r="A97" s="37" t="s">
        <v>584</v>
      </c>
      <c r="B97" s="35"/>
      <c r="C97" s="35"/>
      <c r="D97" s="35"/>
      <c r="E97" s="35"/>
      <c r="F97" s="41"/>
      <c r="G97" s="41"/>
      <c r="H97" s="41"/>
      <c r="I97" s="41"/>
      <c r="J97" s="35"/>
      <c r="K97" s="37" t="str">
        <f aca="false">IF(F97="","",IF(I97&lt;&gt;"","נסגרה",IF(H97&lt;&gt;"","נענתה",IF(G97&lt;&gt;"","אושרה קבלה","נפתחה"))))</f>
        <v/>
      </c>
      <c r="L97" s="42" t="str">
        <f aca="false">IF(OR(F97="",G97=""),"",G97-F97)</f>
        <v/>
      </c>
      <c r="M97" s="42" t="str">
        <f aca="false">IF(OR(F97="",H97=""),"",H97-F97)</f>
        <v/>
      </c>
      <c r="N97" s="42" t="str">
        <f aca="false">IF(OR(F97="",I97=""),"",I97-F97)</f>
        <v/>
      </c>
    </row>
    <row r="98" customFormat="false" ht="15" hidden="false" customHeight="true" outlineLevel="0" collapsed="false">
      <c r="A98" s="37" t="s">
        <v>585</v>
      </c>
      <c r="B98" s="35"/>
      <c r="C98" s="35"/>
      <c r="D98" s="35"/>
      <c r="E98" s="35"/>
      <c r="F98" s="41"/>
      <c r="G98" s="41"/>
      <c r="H98" s="41"/>
      <c r="I98" s="41"/>
      <c r="J98" s="35"/>
      <c r="K98" s="37" t="str">
        <f aca="false">IF(F98="","",IF(I98&lt;&gt;"","נסגרה",IF(H98&lt;&gt;"","נענתה",IF(G98&lt;&gt;"","אושרה קבלה","נפתחה"))))</f>
        <v/>
      </c>
      <c r="L98" s="42" t="str">
        <f aca="false">IF(OR(F98="",G98=""),"",G98-F98)</f>
        <v/>
      </c>
      <c r="M98" s="42" t="str">
        <f aca="false">IF(OR(F98="",H98=""),"",H98-F98)</f>
        <v/>
      </c>
      <c r="N98" s="42" t="str">
        <f aca="false">IF(OR(F98="",I98=""),"",I98-F98)</f>
        <v/>
      </c>
    </row>
    <row r="99" customFormat="false" ht="15" hidden="false" customHeight="true" outlineLevel="0" collapsed="false">
      <c r="A99" s="37" t="s">
        <v>586</v>
      </c>
      <c r="B99" s="35"/>
      <c r="C99" s="35"/>
      <c r="D99" s="35"/>
      <c r="E99" s="35"/>
      <c r="F99" s="41"/>
      <c r="G99" s="41"/>
      <c r="H99" s="41"/>
      <c r="I99" s="41"/>
      <c r="J99" s="35"/>
      <c r="K99" s="37" t="str">
        <f aca="false">IF(F99="","",IF(I99&lt;&gt;"","נסגרה",IF(H99&lt;&gt;"","נענתה",IF(G99&lt;&gt;"","אושרה קבלה","נפתחה"))))</f>
        <v/>
      </c>
      <c r="L99" s="42" t="str">
        <f aca="false">IF(OR(F99="",G99=""),"",G99-F99)</f>
        <v/>
      </c>
      <c r="M99" s="42" t="str">
        <f aca="false">IF(OR(F99="",H99=""),"",H99-F99)</f>
        <v/>
      </c>
      <c r="N99" s="42" t="str">
        <f aca="false">IF(OR(F99="",I99=""),"",I99-F99)</f>
        <v/>
      </c>
    </row>
    <row r="100" customFormat="false" ht="15" hidden="false" customHeight="true" outlineLevel="0" collapsed="false">
      <c r="A100" s="37" t="s">
        <v>587</v>
      </c>
      <c r="B100" s="35"/>
      <c r="C100" s="35"/>
      <c r="D100" s="35"/>
      <c r="E100" s="35"/>
      <c r="F100" s="41"/>
      <c r="G100" s="41"/>
      <c r="H100" s="41"/>
      <c r="I100" s="41"/>
      <c r="J100" s="35"/>
      <c r="K100" s="37" t="str">
        <f aca="false">IF(F100="","",IF(I100&lt;&gt;"","נסגרה",IF(H100&lt;&gt;"","נענתה",IF(G100&lt;&gt;"","אושרה קבלה","נפתחה"))))</f>
        <v/>
      </c>
      <c r="L100" s="42" t="str">
        <f aca="false">IF(OR(F100="",G100=""),"",G100-F100)</f>
        <v/>
      </c>
      <c r="M100" s="42" t="str">
        <f aca="false">IF(OR(F100="",H100=""),"",H100-F100)</f>
        <v/>
      </c>
      <c r="N100" s="42" t="str">
        <f aca="false">IF(OR(F100="",I100=""),"",I100-F100)</f>
        <v/>
      </c>
    </row>
    <row r="101" customFormat="false" ht="15" hidden="false" customHeight="true" outlineLevel="0" collapsed="false">
      <c r="A101" s="37" t="s">
        <v>588</v>
      </c>
      <c r="B101" s="35"/>
      <c r="C101" s="35"/>
      <c r="D101" s="35"/>
      <c r="E101" s="35"/>
      <c r="F101" s="41"/>
      <c r="G101" s="41"/>
      <c r="H101" s="41"/>
      <c r="I101" s="41"/>
      <c r="J101" s="35"/>
      <c r="K101" s="37" t="str">
        <f aca="false">IF(F101="","",IF(I101&lt;&gt;"","נסגרה",IF(H101&lt;&gt;"","נענתה",IF(G101&lt;&gt;"","אושרה קבלה","נפתחה"))))</f>
        <v/>
      </c>
      <c r="L101" s="42" t="str">
        <f aca="false">IF(OR(F101="",G101=""),"",G101-F101)</f>
        <v/>
      </c>
      <c r="M101" s="42" t="str">
        <f aca="false">IF(OR(F101="",H101=""),"",H101-F101)</f>
        <v/>
      </c>
      <c r="N101" s="42" t="str">
        <f aca="false">IF(OR(F101="",I101=""),"",I101-F101)</f>
        <v/>
      </c>
    </row>
    <row r="102" customFormat="false" ht="15" hidden="false" customHeight="true" outlineLevel="0" collapsed="false">
      <c r="A102" s="37" t="s">
        <v>589</v>
      </c>
      <c r="B102" s="35"/>
      <c r="C102" s="35"/>
      <c r="D102" s="35"/>
      <c r="E102" s="35"/>
      <c r="F102" s="41"/>
      <c r="G102" s="41"/>
      <c r="H102" s="41"/>
      <c r="I102" s="41"/>
      <c r="J102" s="35"/>
      <c r="K102" s="37" t="str">
        <f aca="false">IF(F102="","",IF(I102&lt;&gt;"","נסגרה",IF(H102&lt;&gt;"","נענתה",IF(G102&lt;&gt;"","אושרה קבלה","נפתחה"))))</f>
        <v/>
      </c>
      <c r="L102" s="42" t="str">
        <f aca="false">IF(OR(F102="",G102=""),"",G102-F102)</f>
        <v/>
      </c>
      <c r="M102" s="42" t="str">
        <f aca="false">IF(OR(F102="",H102=""),"",H102-F102)</f>
        <v/>
      </c>
      <c r="N102" s="42" t="str">
        <f aca="false">IF(OR(F102="",I102=""),"",I102-F102)</f>
        <v/>
      </c>
    </row>
    <row r="103" customFormat="false" ht="15" hidden="false" customHeight="true" outlineLevel="0" collapsed="false">
      <c r="A103" s="37" t="s">
        <v>590</v>
      </c>
      <c r="B103" s="35"/>
      <c r="C103" s="35"/>
      <c r="D103" s="35"/>
      <c r="E103" s="35"/>
      <c r="F103" s="41"/>
      <c r="G103" s="41"/>
      <c r="H103" s="41"/>
      <c r="I103" s="41"/>
      <c r="J103" s="35"/>
      <c r="K103" s="37" t="str">
        <f aca="false">IF(F103="","",IF(I103&lt;&gt;"","נסגרה",IF(H103&lt;&gt;"","נענתה",IF(G103&lt;&gt;"","אושרה קבלה","נפתחה"))))</f>
        <v/>
      </c>
      <c r="L103" s="42" t="str">
        <f aca="false">IF(OR(F103="",G103=""),"",G103-F103)</f>
        <v/>
      </c>
      <c r="M103" s="42" t="str">
        <f aca="false">IF(OR(F103="",H103=""),"",H103-F103)</f>
        <v/>
      </c>
      <c r="N103" s="42" t="str">
        <f aca="false">IF(OR(F103="",I103=""),"",I103-F103)</f>
        <v/>
      </c>
    </row>
    <row r="104" customFormat="false" ht="15" hidden="false" customHeight="true" outlineLevel="0" collapsed="false">
      <c r="A104" s="37" t="s">
        <v>591</v>
      </c>
      <c r="B104" s="35"/>
      <c r="C104" s="35"/>
      <c r="D104" s="35"/>
      <c r="E104" s="35"/>
      <c r="F104" s="41"/>
      <c r="G104" s="41"/>
      <c r="H104" s="41"/>
      <c r="I104" s="41"/>
      <c r="J104" s="35"/>
      <c r="K104" s="37" t="str">
        <f aca="false">IF(F104="","",IF(I104&lt;&gt;"","נסגרה",IF(H104&lt;&gt;"","נענתה",IF(G104&lt;&gt;"","אושרה קבלה","נפתחה"))))</f>
        <v/>
      </c>
      <c r="L104" s="42" t="str">
        <f aca="false">IF(OR(F104="",G104=""),"",G104-F104)</f>
        <v/>
      </c>
      <c r="M104" s="42" t="str">
        <f aca="false">IF(OR(F104="",H104=""),"",H104-F104)</f>
        <v/>
      </c>
      <c r="N104" s="42" t="str">
        <f aca="false">IF(OR(F104="",I104=""),"",I104-F104)</f>
        <v/>
      </c>
    </row>
    <row r="105" customFormat="false" ht="15" hidden="false" customHeight="true" outlineLevel="0" collapsed="false">
      <c r="A105" s="37" t="s">
        <v>592</v>
      </c>
      <c r="B105" s="35"/>
      <c r="C105" s="35"/>
      <c r="D105" s="35"/>
      <c r="E105" s="35"/>
      <c r="F105" s="41"/>
      <c r="G105" s="41"/>
      <c r="H105" s="41"/>
      <c r="I105" s="41"/>
      <c r="J105" s="35"/>
      <c r="K105" s="37" t="str">
        <f aca="false">IF(F105="","",IF(I105&lt;&gt;"","נסגרה",IF(H105&lt;&gt;"","נענתה",IF(G105&lt;&gt;"","אושרה קבלה","נפתחה"))))</f>
        <v/>
      </c>
      <c r="L105" s="42" t="str">
        <f aca="false">IF(OR(F105="",G105=""),"",G105-F105)</f>
        <v/>
      </c>
      <c r="M105" s="42" t="str">
        <f aca="false">IF(OR(F105="",H105=""),"",H105-F105)</f>
        <v/>
      </c>
      <c r="N105" s="42" t="str">
        <f aca="false">IF(OR(F105="",I105=""),"",I105-F105)</f>
        <v/>
      </c>
    </row>
    <row r="106" customFormat="false" ht="15" hidden="false" customHeight="true" outlineLevel="0" collapsed="false">
      <c r="A106" s="37" t="s">
        <v>593</v>
      </c>
      <c r="B106" s="35"/>
      <c r="C106" s="35"/>
      <c r="D106" s="35"/>
      <c r="E106" s="35"/>
      <c r="F106" s="41"/>
      <c r="G106" s="41"/>
      <c r="H106" s="41"/>
      <c r="I106" s="41"/>
      <c r="J106" s="35"/>
      <c r="K106" s="37" t="str">
        <f aca="false">IF(F106="","",IF(I106&lt;&gt;"","נסגרה",IF(H106&lt;&gt;"","נענתה",IF(G106&lt;&gt;"","אושרה קבלה","נפתחה"))))</f>
        <v/>
      </c>
      <c r="L106" s="42" t="str">
        <f aca="false">IF(OR(F106="",G106=""),"",G106-F106)</f>
        <v/>
      </c>
      <c r="M106" s="42" t="str">
        <f aca="false">IF(OR(F106="",H106=""),"",H106-F106)</f>
        <v/>
      </c>
      <c r="N106" s="42" t="str">
        <f aca="false">IF(OR(F106="",I106=""),"",I106-F106)</f>
        <v/>
      </c>
    </row>
    <row r="107" customFormat="false" ht="15" hidden="false" customHeight="true" outlineLevel="0" collapsed="false">
      <c r="A107" s="37" t="s">
        <v>594</v>
      </c>
      <c r="B107" s="35"/>
      <c r="C107" s="35"/>
      <c r="D107" s="35"/>
      <c r="E107" s="35"/>
      <c r="F107" s="41"/>
      <c r="G107" s="41"/>
      <c r="H107" s="41"/>
      <c r="I107" s="41"/>
      <c r="J107" s="35"/>
      <c r="K107" s="37" t="str">
        <f aca="false">IF(F107="","",IF(I107&lt;&gt;"","נסגרה",IF(H107&lt;&gt;"","נענתה",IF(G107&lt;&gt;"","אושרה קבלה","נפתחה"))))</f>
        <v/>
      </c>
      <c r="L107" s="42" t="str">
        <f aca="false">IF(OR(F107="",G107=""),"",G107-F107)</f>
        <v/>
      </c>
      <c r="M107" s="42" t="str">
        <f aca="false">IF(OR(F107="",H107=""),"",H107-F107)</f>
        <v/>
      </c>
      <c r="N107" s="42" t="str">
        <f aca="false">IF(OR(F107="",I107=""),"",I107-F107)</f>
        <v/>
      </c>
    </row>
    <row r="108" customFormat="false" ht="15" hidden="false" customHeight="true" outlineLevel="0" collapsed="false">
      <c r="A108" s="37" t="s">
        <v>595</v>
      </c>
      <c r="B108" s="35"/>
      <c r="C108" s="35"/>
      <c r="D108" s="35"/>
      <c r="E108" s="35"/>
      <c r="F108" s="41"/>
      <c r="G108" s="41"/>
      <c r="H108" s="41"/>
      <c r="I108" s="41"/>
      <c r="J108" s="35"/>
      <c r="K108" s="37" t="str">
        <f aca="false">IF(F108="","",IF(I108&lt;&gt;"","נסגרה",IF(H108&lt;&gt;"","נענתה",IF(G108&lt;&gt;"","אושרה קבלה","נפתחה"))))</f>
        <v/>
      </c>
      <c r="L108" s="42" t="str">
        <f aca="false">IF(OR(F108="",G108=""),"",G108-F108)</f>
        <v/>
      </c>
      <c r="M108" s="42" t="str">
        <f aca="false">IF(OR(F108="",H108=""),"",H108-F108)</f>
        <v/>
      </c>
      <c r="N108" s="42" t="str">
        <f aca="false">IF(OR(F108="",I108=""),"",I108-F108)</f>
        <v/>
      </c>
    </row>
    <row r="109" customFormat="false" ht="15" hidden="false" customHeight="true" outlineLevel="0" collapsed="false">
      <c r="A109" s="37" t="s">
        <v>596</v>
      </c>
      <c r="B109" s="35"/>
      <c r="C109" s="35"/>
      <c r="D109" s="35"/>
      <c r="E109" s="35"/>
      <c r="F109" s="41"/>
      <c r="G109" s="41"/>
      <c r="H109" s="41"/>
      <c r="I109" s="41"/>
      <c r="J109" s="35"/>
      <c r="K109" s="37" t="str">
        <f aca="false">IF(F109="","",IF(I109&lt;&gt;"","נסגרה",IF(H109&lt;&gt;"","נענתה",IF(G109&lt;&gt;"","אושרה קבלה","נפתחה"))))</f>
        <v/>
      </c>
      <c r="L109" s="42" t="str">
        <f aca="false">IF(OR(F109="",G109=""),"",G109-F109)</f>
        <v/>
      </c>
      <c r="M109" s="42" t="str">
        <f aca="false">IF(OR(F109="",H109=""),"",H109-F109)</f>
        <v/>
      </c>
      <c r="N109" s="42" t="str">
        <f aca="false">IF(OR(F109="",I109=""),"",I109-F109)</f>
        <v/>
      </c>
    </row>
    <row r="110" customFormat="false" ht="15" hidden="false" customHeight="true" outlineLevel="0" collapsed="false">
      <c r="A110" s="37" t="s">
        <v>597</v>
      </c>
      <c r="B110" s="35"/>
      <c r="C110" s="35"/>
      <c r="D110" s="35"/>
      <c r="E110" s="35"/>
      <c r="F110" s="41"/>
      <c r="G110" s="41"/>
      <c r="H110" s="41"/>
      <c r="I110" s="41"/>
      <c r="J110" s="35"/>
      <c r="K110" s="37" t="str">
        <f aca="false">IF(F110="","",IF(I110&lt;&gt;"","נסגרה",IF(H110&lt;&gt;"","נענתה",IF(G110&lt;&gt;"","אושרה קבלה","נפתחה"))))</f>
        <v/>
      </c>
      <c r="L110" s="42" t="str">
        <f aca="false">IF(OR(F110="",G110=""),"",G110-F110)</f>
        <v/>
      </c>
      <c r="M110" s="42" t="str">
        <f aca="false">IF(OR(F110="",H110=""),"",H110-F110)</f>
        <v/>
      </c>
      <c r="N110" s="42" t="str">
        <f aca="false">IF(OR(F110="",I110=""),"",I110-F110)</f>
        <v/>
      </c>
    </row>
    <row r="111" customFormat="false" ht="15" hidden="false" customHeight="true" outlineLevel="0" collapsed="false">
      <c r="A111" s="37" t="s">
        <v>598</v>
      </c>
      <c r="B111" s="35"/>
      <c r="C111" s="35"/>
      <c r="D111" s="35"/>
      <c r="E111" s="35"/>
      <c r="F111" s="41"/>
      <c r="G111" s="41"/>
      <c r="H111" s="41"/>
      <c r="I111" s="41"/>
      <c r="J111" s="35"/>
      <c r="K111" s="37" t="str">
        <f aca="false">IF(F111="","",IF(I111&lt;&gt;"","נסגרה",IF(H111&lt;&gt;"","נענתה",IF(G111&lt;&gt;"","אושרה קבלה","נפתחה"))))</f>
        <v/>
      </c>
      <c r="L111" s="42" t="str">
        <f aca="false">IF(OR(F111="",G111=""),"",G111-F111)</f>
        <v/>
      </c>
      <c r="M111" s="42" t="str">
        <f aca="false">IF(OR(F111="",H111=""),"",H111-F111)</f>
        <v/>
      </c>
      <c r="N111" s="42" t="str">
        <f aca="false">IF(OR(F111="",I111=""),"",I111-F111)</f>
        <v/>
      </c>
    </row>
    <row r="112" customFormat="false" ht="15" hidden="false" customHeight="true" outlineLevel="0" collapsed="false">
      <c r="A112" s="37" t="s">
        <v>599</v>
      </c>
      <c r="B112" s="35"/>
      <c r="C112" s="35"/>
      <c r="D112" s="35"/>
      <c r="E112" s="35"/>
      <c r="F112" s="41"/>
      <c r="G112" s="41"/>
      <c r="H112" s="41"/>
      <c r="I112" s="41"/>
      <c r="J112" s="35"/>
      <c r="K112" s="37" t="str">
        <f aca="false">IF(F112="","",IF(I112&lt;&gt;"","נסגרה",IF(H112&lt;&gt;"","נענתה",IF(G112&lt;&gt;"","אושרה קבלה","נפתחה"))))</f>
        <v/>
      </c>
      <c r="L112" s="42" t="str">
        <f aca="false">IF(OR(F112="",G112=""),"",G112-F112)</f>
        <v/>
      </c>
      <c r="M112" s="42" t="str">
        <f aca="false">IF(OR(F112="",H112=""),"",H112-F112)</f>
        <v/>
      </c>
      <c r="N112" s="42" t="str">
        <f aca="false">IF(OR(F112="",I112=""),"",I112-F112)</f>
        <v/>
      </c>
    </row>
    <row r="113" customFormat="false" ht="15" hidden="false" customHeight="true" outlineLevel="0" collapsed="false">
      <c r="A113" s="37" t="s">
        <v>600</v>
      </c>
      <c r="B113" s="35"/>
      <c r="C113" s="35"/>
      <c r="D113" s="35"/>
      <c r="E113" s="35"/>
      <c r="F113" s="41"/>
      <c r="G113" s="41"/>
      <c r="H113" s="41"/>
      <c r="I113" s="41"/>
      <c r="J113" s="35"/>
      <c r="K113" s="37" t="str">
        <f aca="false">IF(F113="","",IF(I113&lt;&gt;"","נסגרה",IF(H113&lt;&gt;"","נענתה",IF(G113&lt;&gt;"","אושרה קבלה","נפתחה"))))</f>
        <v/>
      </c>
      <c r="L113" s="42" t="str">
        <f aca="false">IF(OR(F113="",G113=""),"",G113-F113)</f>
        <v/>
      </c>
      <c r="M113" s="42" t="str">
        <f aca="false">IF(OR(F113="",H113=""),"",H113-F113)</f>
        <v/>
      </c>
      <c r="N113" s="42" t="str">
        <f aca="false">IF(OR(F113="",I113=""),"",I113-F113)</f>
        <v/>
      </c>
    </row>
    <row r="114" customFormat="false" ht="15" hidden="false" customHeight="true" outlineLevel="0" collapsed="false">
      <c r="A114" s="37" t="s">
        <v>601</v>
      </c>
      <c r="B114" s="35"/>
      <c r="C114" s="35"/>
      <c r="D114" s="35"/>
      <c r="E114" s="35"/>
      <c r="F114" s="41"/>
      <c r="G114" s="41"/>
      <c r="H114" s="41"/>
      <c r="I114" s="41"/>
      <c r="J114" s="35"/>
      <c r="K114" s="37" t="str">
        <f aca="false">IF(F114="","",IF(I114&lt;&gt;"","נסגרה",IF(H114&lt;&gt;"","נענתה",IF(G114&lt;&gt;"","אושרה קבלה","נפתחה"))))</f>
        <v/>
      </c>
      <c r="L114" s="42" t="str">
        <f aca="false">IF(OR(F114="",G114=""),"",G114-F114)</f>
        <v/>
      </c>
      <c r="M114" s="42" t="str">
        <f aca="false">IF(OR(F114="",H114=""),"",H114-F114)</f>
        <v/>
      </c>
      <c r="N114" s="42" t="str">
        <f aca="false">IF(OR(F114="",I114=""),"",I114-F114)</f>
        <v/>
      </c>
    </row>
    <row r="115" customFormat="false" ht="15" hidden="false" customHeight="true" outlineLevel="0" collapsed="false">
      <c r="A115" s="37" t="s">
        <v>602</v>
      </c>
      <c r="B115" s="35"/>
      <c r="C115" s="35"/>
      <c r="D115" s="35"/>
      <c r="E115" s="35"/>
      <c r="F115" s="41"/>
      <c r="G115" s="41"/>
      <c r="H115" s="41"/>
      <c r="I115" s="41"/>
      <c r="J115" s="35"/>
      <c r="K115" s="37" t="str">
        <f aca="false">IF(F115="","",IF(I115&lt;&gt;"","נסגרה",IF(H115&lt;&gt;"","נענתה",IF(G115&lt;&gt;"","אושרה קבלה","נפתחה"))))</f>
        <v/>
      </c>
      <c r="L115" s="42" t="str">
        <f aca="false">IF(OR(F115="",G115=""),"",G115-F115)</f>
        <v/>
      </c>
      <c r="M115" s="42" t="str">
        <f aca="false">IF(OR(F115="",H115=""),"",H115-F115)</f>
        <v/>
      </c>
      <c r="N115" s="42" t="str">
        <f aca="false">IF(OR(F115="",I115=""),"",I115-F115)</f>
        <v/>
      </c>
    </row>
    <row r="116" customFormat="false" ht="15" hidden="false" customHeight="true" outlineLevel="0" collapsed="false">
      <c r="A116" s="37" t="s">
        <v>603</v>
      </c>
      <c r="B116" s="35"/>
      <c r="C116" s="35"/>
      <c r="D116" s="35"/>
      <c r="E116" s="35"/>
      <c r="F116" s="41"/>
      <c r="G116" s="41"/>
      <c r="H116" s="41"/>
      <c r="I116" s="41"/>
      <c r="J116" s="35"/>
      <c r="K116" s="37" t="str">
        <f aca="false">IF(F116="","",IF(I116&lt;&gt;"","נסגרה",IF(H116&lt;&gt;"","נענתה",IF(G116&lt;&gt;"","אושרה קבלה","נפתחה"))))</f>
        <v/>
      </c>
      <c r="L116" s="42" t="str">
        <f aca="false">IF(OR(F116="",G116=""),"",G116-F116)</f>
        <v/>
      </c>
      <c r="M116" s="42" t="str">
        <f aca="false">IF(OR(F116="",H116=""),"",H116-F116)</f>
        <v/>
      </c>
      <c r="N116" s="42" t="str">
        <f aca="false">IF(OR(F116="",I116=""),"",I116-F116)</f>
        <v/>
      </c>
    </row>
    <row r="117" customFormat="false" ht="15" hidden="false" customHeight="true" outlineLevel="0" collapsed="false">
      <c r="A117" s="37" t="s">
        <v>604</v>
      </c>
      <c r="B117" s="35"/>
      <c r="C117" s="35"/>
      <c r="D117" s="35"/>
      <c r="E117" s="35"/>
      <c r="F117" s="41"/>
      <c r="G117" s="41"/>
      <c r="H117" s="41"/>
      <c r="I117" s="41"/>
      <c r="J117" s="35"/>
      <c r="K117" s="37" t="str">
        <f aca="false">IF(F117="","",IF(I117&lt;&gt;"","נסגרה",IF(H117&lt;&gt;"","נענתה",IF(G117&lt;&gt;"","אושרה קבלה","נפתחה"))))</f>
        <v/>
      </c>
      <c r="L117" s="42" t="str">
        <f aca="false">IF(OR(F117="",G117=""),"",G117-F117)</f>
        <v/>
      </c>
      <c r="M117" s="42" t="str">
        <f aca="false">IF(OR(F117="",H117=""),"",H117-F117)</f>
        <v/>
      </c>
      <c r="N117" s="42" t="str">
        <f aca="false">IF(OR(F117="",I117=""),"",I117-F117)</f>
        <v/>
      </c>
    </row>
    <row r="118" customFormat="false" ht="15" hidden="false" customHeight="true" outlineLevel="0" collapsed="false">
      <c r="A118" s="37" t="s">
        <v>605</v>
      </c>
      <c r="B118" s="35"/>
      <c r="C118" s="35"/>
      <c r="D118" s="35"/>
      <c r="E118" s="35"/>
      <c r="F118" s="41"/>
      <c r="G118" s="41"/>
      <c r="H118" s="41"/>
      <c r="I118" s="41"/>
      <c r="J118" s="35"/>
      <c r="K118" s="37" t="str">
        <f aca="false">IF(F118="","",IF(I118&lt;&gt;"","נסגרה",IF(H118&lt;&gt;"","נענתה",IF(G118&lt;&gt;"","אושרה קבלה","נפתחה"))))</f>
        <v/>
      </c>
      <c r="L118" s="42" t="str">
        <f aca="false">IF(OR(F118="",G118=""),"",G118-F118)</f>
        <v/>
      </c>
      <c r="M118" s="42" t="str">
        <f aca="false">IF(OR(F118="",H118=""),"",H118-F118)</f>
        <v/>
      </c>
      <c r="N118" s="42" t="str">
        <f aca="false">IF(OR(F118="",I118=""),"",I118-F118)</f>
        <v/>
      </c>
    </row>
    <row r="119" customFormat="false" ht="15" hidden="false" customHeight="true" outlineLevel="0" collapsed="false">
      <c r="A119" s="37" t="s">
        <v>606</v>
      </c>
      <c r="B119" s="35"/>
      <c r="C119" s="35"/>
      <c r="D119" s="35"/>
      <c r="E119" s="35"/>
      <c r="F119" s="41"/>
      <c r="G119" s="41"/>
      <c r="H119" s="41"/>
      <c r="I119" s="41"/>
      <c r="J119" s="35"/>
      <c r="K119" s="37" t="str">
        <f aca="false">IF(F119="","",IF(I119&lt;&gt;"","נסגרה",IF(H119&lt;&gt;"","נענתה",IF(G119&lt;&gt;"","אושרה קבלה","נפתחה"))))</f>
        <v/>
      </c>
      <c r="L119" s="42" t="str">
        <f aca="false">IF(OR(F119="",G119=""),"",G119-F119)</f>
        <v/>
      </c>
      <c r="M119" s="42" t="str">
        <f aca="false">IF(OR(F119="",H119=""),"",H119-F119)</f>
        <v/>
      </c>
      <c r="N119" s="42" t="str">
        <f aca="false">IF(OR(F119="",I119=""),"",I119-F119)</f>
        <v/>
      </c>
    </row>
    <row r="120" customFormat="false" ht="15" hidden="false" customHeight="true" outlineLevel="0" collapsed="false">
      <c r="A120" s="37" t="s">
        <v>607</v>
      </c>
      <c r="B120" s="35"/>
      <c r="C120" s="35"/>
      <c r="D120" s="35"/>
      <c r="E120" s="35"/>
      <c r="F120" s="41"/>
      <c r="G120" s="41"/>
      <c r="H120" s="41"/>
      <c r="I120" s="41"/>
      <c r="J120" s="35"/>
      <c r="K120" s="37" t="str">
        <f aca="false">IF(F120="","",IF(I120&lt;&gt;"","נסגרה",IF(H120&lt;&gt;"","נענתה",IF(G120&lt;&gt;"","אושרה קבלה","נפתחה"))))</f>
        <v/>
      </c>
      <c r="L120" s="42" t="str">
        <f aca="false">IF(OR(F120="",G120=""),"",G120-F120)</f>
        <v/>
      </c>
      <c r="M120" s="42" t="str">
        <f aca="false">IF(OR(F120="",H120=""),"",H120-F120)</f>
        <v/>
      </c>
      <c r="N120" s="42" t="str">
        <f aca="false">IF(OR(F120="",I120=""),"",I120-F120)</f>
        <v/>
      </c>
    </row>
    <row r="121" customFormat="false" ht="15" hidden="false" customHeight="true" outlineLevel="0" collapsed="false">
      <c r="A121" s="37" t="s">
        <v>608</v>
      </c>
      <c r="B121" s="35"/>
      <c r="C121" s="35"/>
      <c r="D121" s="35"/>
      <c r="E121" s="35"/>
      <c r="F121" s="41"/>
      <c r="G121" s="41"/>
      <c r="H121" s="41"/>
      <c r="I121" s="41"/>
      <c r="J121" s="35"/>
      <c r="K121" s="37" t="str">
        <f aca="false">IF(F121="","",IF(I121&lt;&gt;"","נסגרה",IF(H121&lt;&gt;"","נענתה",IF(G121&lt;&gt;"","אושרה קבלה","נפתחה"))))</f>
        <v/>
      </c>
      <c r="L121" s="42" t="str">
        <f aca="false">IF(OR(F121="",G121=""),"",G121-F121)</f>
        <v/>
      </c>
      <c r="M121" s="42" t="str">
        <f aca="false">IF(OR(F121="",H121=""),"",H121-F121)</f>
        <v/>
      </c>
      <c r="N121" s="42" t="str">
        <f aca="false">IF(OR(F121="",I121=""),"",I121-F121)</f>
        <v/>
      </c>
    </row>
    <row r="122" customFormat="false" ht="15" hidden="false" customHeight="true" outlineLevel="0" collapsed="false">
      <c r="A122" s="37" t="s">
        <v>609</v>
      </c>
      <c r="B122" s="35"/>
      <c r="C122" s="35"/>
      <c r="D122" s="35"/>
      <c r="E122" s="35"/>
      <c r="F122" s="41"/>
      <c r="G122" s="41"/>
      <c r="H122" s="41"/>
      <c r="I122" s="41"/>
      <c r="J122" s="35"/>
      <c r="K122" s="37" t="str">
        <f aca="false">IF(F122="","",IF(I122&lt;&gt;"","נסגרה",IF(H122&lt;&gt;"","נענתה",IF(G122&lt;&gt;"","אושרה קבלה","נפתחה"))))</f>
        <v/>
      </c>
      <c r="L122" s="42" t="str">
        <f aca="false">IF(OR(F122="",G122=""),"",G122-F122)</f>
        <v/>
      </c>
      <c r="M122" s="42" t="str">
        <f aca="false">IF(OR(F122="",H122=""),"",H122-F122)</f>
        <v/>
      </c>
      <c r="N122" s="42" t="str">
        <f aca="false">IF(OR(F122="",I122=""),"",I122-F122)</f>
        <v/>
      </c>
    </row>
    <row r="123" customFormat="false" ht="15" hidden="false" customHeight="true" outlineLevel="0" collapsed="false">
      <c r="A123" s="37" t="s">
        <v>610</v>
      </c>
      <c r="B123" s="35"/>
      <c r="C123" s="35"/>
      <c r="D123" s="35"/>
      <c r="E123" s="35"/>
      <c r="F123" s="41"/>
      <c r="G123" s="41"/>
      <c r="H123" s="41"/>
      <c r="I123" s="41"/>
      <c r="J123" s="35"/>
      <c r="K123" s="37" t="str">
        <f aca="false">IF(F123="","",IF(I123&lt;&gt;"","נסגרה",IF(H123&lt;&gt;"","נענתה",IF(G123&lt;&gt;"","אושרה קבלה","נפתחה"))))</f>
        <v/>
      </c>
      <c r="L123" s="42" t="str">
        <f aca="false">IF(OR(F123="",G123=""),"",G123-F123)</f>
        <v/>
      </c>
      <c r="M123" s="42" t="str">
        <f aca="false">IF(OR(F123="",H123=""),"",H123-F123)</f>
        <v/>
      </c>
      <c r="N123" s="42" t="str">
        <f aca="false">IF(OR(F123="",I123=""),"",I123-F123)</f>
        <v/>
      </c>
    </row>
    <row r="124" customFormat="false" ht="15" hidden="false" customHeight="true" outlineLevel="0" collapsed="false">
      <c r="A124" s="37" t="s">
        <v>611</v>
      </c>
      <c r="B124" s="35"/>
      <c r="C124" s="35"/>
      <c r="D124" s="35"/>
      <c r="E124" s="35"/>
      <c r="F124" s="41"/>
      <c r="G124" s="41"/>
      <c r="H124" s="41"/>
      <c r="I124" s="41"/>
      <c r="J124" s="35"/>
      <c r="K124" s="37" t="str">
        <f aca="false">IF(F124="","",IF(I124&lt;&gt;"","נסגרה",IF(H124&lt;&gt;"","נענתה",IF(G124&lt;&gt;"","אושרה קבלה","נפתחה"))))</f>
        <v/>
      </c>
      <c r="L124" s="42" t="str">
        <f aca="false">IF(OR(F124="",G124=""),"",G124-F124)</f>
        <v/>
      </c>
      <c r="M124" s="42" t="str">
        <f aca="false">IF(OR(F124="",H124=""),"",H124-F124)</f>
        <v/>
      </c>
      <c r="N124" s="42" t="str">
        <f aca="false">IF(OR(F124="",I124=""),"",I124-F124)</f>
        <v/>
      </c>
    </row>
    <row r="125" customFormat="false" ht="15" hidden="false" customHeight="true" outlineLevel="0" collapsed="false">
      <c r="A125" s="37" t="s">
        <v>612</v>
      </c>
      <c r="B125" s="35"/>
      <c r="C125" s="35"/>
      <c r="D125" s="35"/>
      <c r="E125" s="35"/>
      <c r="F125" s="41"/>
      <c r="G125" s="41"/>
      <c r="H125" s="41"/>
      <c r="I125" s="41"/>
      <c r="J125" s="35"/>
      <c r="K125" s="37" t="str">
        <f aca="false">IF(F125="","",IF(I125&lt;&gt;"","נסגרה",IF(H125&lt;&gt;"","נענתה",IF(G125&lt;&gt;"","אושרה קבלה","נפתחה"))))</f>
        <v/>
      </c>
      <c r="L125" s="42" t="str">
        <f aca="false">IF(OR(F125="",G125=""),"",G125-F125)</f>
        <v/>
      </c>
      <c r="M125" s="42" t="str">
        <f aca="false">IF(OR(F125="",H125=""),"",H125-F125)</f>
        <v/>
      </c>
      <c r="N125" s="42" t="str">
        <f aca="false">IF(OR(F125="",I125=""),"",I125-F125)</f>
        <v/>
      </c>
    </row>
    <row r="126" customFormat="false" ht="15" hidden="false" customHeight="true" outlineLevel="0" collapsed="false">
      <c r="A126" s="37" t="s">
        <v>613</v>
      </c>
      <c r="B126" s="35"/>
      <c r="C126" s="35"/>
      <c r="D126" s="35"/>
      <c r="E126" s="35"/>
      <c r="F126" s="41"/>
      <c r="G126" s="41"/>
      <c r="H126" s="41"/>
      <c r="I126" s="41"/>
      <c r="J126" s="35"/>
      <c r="K126" s="37" t="str">
        <f aca="false">IF(F126="","",IF(I126&lt;&gt;"","נסגרה",IF(H126&lt;&gt;"","נענתה",IF(G126&lt;&gt;"","אושרה קבלה","נפתחה"))))</f>
        <v/>
      </c>
      <c r="L126" s="42" t="str">
        <f aca="false">IF(OR(F126="",G126=""),"",G126-F126)</f>
        <v/>
      </c>
      <c r="M126" s="42" t="str">
        <f aca="false">IF(OR(F126="",H126=""),"",H126-F126)</f>
        <v/>
      </c>
      <c r="N126" s="42" t="str">
        <f aca="false">IF(OR(F126="",I126=""),"",I126-F126)</f>
        <v/>
      </c>
    </row>
    <row r="127" customFormat="false" ht="15" hidden="false" customHeight="true" outlineLevel="0" collapsed="false">
      <c r="A127" s="37" t="s">
        <v>614</v>
      </c>
      <c r="B127" s="35"/>
      <c r="C127" s="35"/>
      <c r="D127" s="35"/>
      <c r="E127" s="35"/>
      <c r="F127" s="41"/>
      <c r="G127" s="41"/>
      <c r="H127" s="41"/>
      <c r="I127" s="41"/>
      <c r="J127" s="35"/>
      <c r="K127" s="37" t="str">
        <f aca="false">IF(F127="","",IF(I127&lt;&gt;"","נסגרה",IF(H127&lt;&gt;"","נענתה",IF(G127&lt;&gt;"","אושרה קבלה","נפתחה"))))</f>
        <v/>
      </c>
      <c r="L127" s="42" t="str">
        <f aca="false">IF(OR(F127="",G127=""),"",G127-F127)</f>
        <v/>
      </c>
      <c r="M127" s="42" t="str">
        <f aca="false">IF(OR(F127="",H127=""),"",H127-F127)</f>
        <v/>
      </c>
      <c r="N127" s="42" t="str">
        <f aca="false">IF(OR(F127="",I127=""),"",I127-F127)</f>
        <v/>
      </c>
    </row>
    <row r="128" customFormat="false" ht="15" hidden="false" customHeight="true" outlineLevel="0" collapsed="false">
      <c r="A128" s="37" t="s">
        <v>615</v>
      </c>
      <c r="B128" s="35"/>
      <c r="C128" s="35"/>
      <c r="D128" s="35"/>
      <c r="E128" s="35"/>
      <c r="F128" s="41"/>
      <c r="G128" s="41"/>
      <c r="H128" s="41"/>
      <c r="I128" s="41"/>
      <c r="J128" s="35"/>
      <c r="K128" s="37" t="str">
        <f aca="false">IF(F128="","",IF(I128&lt;&gt;"","נסגרה",IF(H128&lt;&gt;"","נענתה",IF(G128&lt;&gt;"","אושרה קבלה","נפתחה"))))</f>
        <v/>
      </c>
      <c r="L128" s="42" t="str">
        <f aca="false">IF(OR(F128="",G128=""),"",G128-F128)</f>
        <v/>
      </c>
      <c r="M128" s="42" t="str">
        <f aca="false">IF(OR(F128="",H128=""),"",H128-F128)</f>
        <v/>
      </c>
      <c r="N128" s="42" t="str">
        <f aca="false">IF(OR(F128="",I128=""),"",I128-F128)</f>
        <v/>
      </c>
    </row>
    <row r="129" customFormat="false" ht="15" hidden="false" customHeight="true" outlineLevel="0" collapsed="false">
      <c r="A129" s="37" t="s">
        <v>616</v>
      </c>
      <c r="B129" s="35"/>
      <c r="C129" s="35"/>
      <c r="D129" s="35"/>
      <c r="E129" s="35"/>
      <c r="F129" s="41"/>
      <c r="G129" s="41"/>
      <c r="H129" s="41"/>
      <c r="I129" s="41"/>
      <c r="J129" s="35"/>
      <c r="K129" s="37" t="str">
        <f aca="false">IF(F129="","",IF(I129&lt;&gt;"","נסגרה",IF(H129&lt;&gt;"","נענתה",IF(G129&lt;&gt;"","אושרה קבלה","נפתחה"))))</f>
        <v/>
      </c>
      <c r="L129" s="42" t="str">
        <f aca="false">IF(OR(F129="",G129=""),"",G129-F129)</f>
        <v/>
      </c>
      <c r="M129" s="42" t="str">
        <f aca="false">IF(OR(F129="",H129=""),"",H129-F129)</f>
        <v/>
      </c>
      <c r="N129" s="42" t="str">
        <f aca="false">IF(OR(F129="",I129=""),"",I129-F129)</f>
        <v/>
      </c>
    </row>
    <row r="130" customFormat="false" ht="15" hidden="false" customHeight="true" outlineLevel="0" collapsed="false">
      <c r="A130" s="37" t="s">
        <v>617</v>
      </c>
      <c r="B130" s="35"/>
      <c r="C130" s="35"/>
      <c r="D130" s="35"/>
      <c r="E130" s="35"/>
      <c r="F130" s="41"/>
      <c r="G130" s="41"/>
      <c r="H130" s="41"/>
      <c r="I130" s="41"/>
      <c r="J130" s="35"/>
      <c r="K130" s="37" t="str">
        <f aca="false">IF(F130="","",IF(I130&lt;&gt;"","נסגרה",IF(H130&lt;&gt;"","נענתה",IF(G130&lt;&gt;"","אושרה קבלה","נפתחה"))))</f>
        <v/>
      </c>
      <c r="L130" s="42" t="str">
        <f aca="false">IF(OR(F130="",G130=""),"",G130-F130)</f>
        <v/>
      </c>
      <c r="M130" s="42" t="str">
        <f aca="false">IF(OR(F130="",H130=""),"",H130-F130)</f>
        <v/>
      </c>
      <c r="N130" s="42" t="str">
        <f aca="false">IF(OR(F130="",I130=""),"",I130-F130)</f>
        <v/>
      </c>
    </row>
    <row r="131" customFormat="false" ht="15" hidden="false" customHeight="true" outlineLevel="0" collapsed="false">
      <c r="A131" s="37" t="s">
        <v>618</v>
      </c>
      <c r="B131" s="35"/>
      <c r="C131" s="35"/>
      <c r="D131" s="35"/>
      <c r="E131" s="35"/>
      <c r="F131" s="41"/>
      <c r="G131" s="41"/>
      <c r="H131" s="41"/>
      <c r="I131" s="41"/>
      <c r="J131" s="35"/>
      <c r="K131" s="37" t="str">
        <f aca="false">IF(F131="","",IF(I131&lt;&gt;"","נסגרה",IF(H131&lt;&gt;"","נענתה",IF(G131&lt;&gt;"","אושרה קבלה","נפתחה"))))</f>
        <v/>
      </c>
      <c r="L131" s="42" t="str">
        <f aca="false">IF(OR(F131="",G131=""),"",G131-F131)</f>
        <v/>
      </c>
      <c r="M131" s="42" t="str">
        <f aca="false">IF(OR(F131="",H131=""),"",H131-F131)</f>
        <v/>
      </c>
      <c r="N131" s="42" t="str">
        <f aca="false">IF(OR(F131="",I131=""),"",I131-F131)</f>
        <v/>
      </c>
    </row>
    <row r="132" customFormat="false" ht="15" hidden="false" customHeight="true" outlineLevel="0" collapsed="false">
      <c r="A132" s="37" t="s">
        <v>619</v>
      </c>
      <c r="B132" s="35"/>
      <c r="C132" s="35"/>
      <c r="D132" s="35"/>
      <c r="E132" s="35"/>
      <c r="F132" s="41"/>
      <c r="G132" s="41"/>
      <c r="H132" s="41"/>
      <c r="I132" s="41"/>
      <c r="J132" s="35"/>
      <c r="K132" s="37" t="str">
        <f aca="false">IF(F132="","",IF(I132&lt;&gt;"","נסגרה",IF(H132&lt;&gt;"","נענתה",IF(G132&lt;&gt;"","אושרה קבלה","נפתחה"))))</f>
        <v/>
      </c>
      <c r="L132" s="42" t="str">
        <f aca="false">IF(OR(F132="",G132=""),"",G132-F132)</f>
        <v/>
      </c>
      <c r="M132" s="42" t="str">
        <f aca="false">IF(OR(F132="",H132=""),"",H132-F132)</f>
        <v/>
      </c>
      <c r="N132" s="42" t="str">
        <f aca="false">IF(OR(F132="",I132=""),"",I132-F132)</f>
        <v/>
      </c>
    </row>
    <row r="133" customFormat="false" ht="15" hidden="false" customHeight="true" outlineLevel="0" collapsed="false">
      <c r="A133" s="37" t="s">
        <v>620</v>
      </c>
      <c r="B133" s="35"/>
      <c r="C133" s="35"/>
      <c r="D133" s="35"/>
      <c r="E133" s="35"/>
      <c r="F133" s="41"/>
      <c r="G133" s="41"/>
      <c r="H133" s="41"/>
      <c r="I133" s="41"/>
      <c r="J133" s="35"/>
      <c r="K133" s="37" t="str">
        <f aca="false">IF(F133="","",IF(I133&lt;&gt;"","נסגרה",IF(H133&lt;&gt;"","נענתה",IF(G133&lt;&gt;"","אושרה קבלה","נפתחה"))))</f>
        <v/>
      </c>
      <c r="L133" s="42" t="str">
        <f aca="false">IF(OR(F133="",G133=""),"",G133-F133)</f>
        <v/>
      </c>
      <c r="M133" s="42" t="str">
        <f aca="false">IF(OR(F133="",H133=""),"",H133-F133)</f>
        <v/>
      </c>
      <c r="N133" s="42" t="str">
        <f aca="false">IF(OR(F133="",I133=""),"",I133-F133)</f>
        <v/>
      </c>
    </row>
    <row r="134" customFormat="false" ht="15" hidden="false" customHeight="true" outlineLevel="0" collapsed="false">
      <c r="A134" s="37" t="s">
        <v>621</v>
      </c>
      <c r="B134" s="35"/>
      <c r="C134" s="35"/>
      <c r="D134" s="35"/>
      <c r="E134" s="35"/>
      <c r="F134" s="41"/>
      <c r="G134" s="41"/>
      <c r="H134" s="41"/>
      <c r="I134" s="41"/>
      <c r="J134" s="35"/>
      <c r="K134" s="37" t="str">
        <f aca="false">IF(F134="","",IF(I134&lt;&gt;"","נסגרה",IF(H134&lt;&gt;"","נענתה",IF(G134&lt;&gt;"","אושרה קבלה","נפתחה"))))</f>
        <v/>
      </c>
      <c r="L134" s="42" t="str">
        <f aca="false">IF(OR(F134="",G134=""),"",G134-F134)</f>
        <v/>
      </c>
      <c r="M134" s="42" t="str">
        <f aca="false">IF(OR(F134="",H134=""),"",H134-F134)</f>
        <v/>
      </c>
      <c r="N134" s="42" t="str">
        <f aca="false">IF(OR(F134="",I134=""),"",I134-F134)</f>
        <v/>
      </c>
    </row>
    <row r="135" customFormat="false" ht="15" hidden="false" customHeight="true" outlineLevel="0" collapsed="false">
      <c r="A135" s="37" t="s">
        <v>622</v>
      </c>
      <c r="B135" s="35"/>
      <c r="C135" s="35"/>
      <c r="D135" s="35"/>
      <c r="E135" s="35"/>
      <c r="F135" s="41"/>
      <c r="G135" s="41"/>
      <c r="H135" s="41"/>
      <c r="I135" s="41"/>
      <c r="J135" s="35"/>
      <c r="K135" s="37" t="str">
        <f aca="false">IF(F135="","",IF(I135&lt;&gt;"","נסגרה",IF(H135&lt;&gt;"","נענתה",IF(G135&lt;&gt;"","אושרה קבלה","נפתחה"))))</f>
        <v/>
      </c>
      <c r="L135" s="42" t="str">
        <f aca="false">IF(OR(F135="",G135=""),"",G135-F135)</f>
        <v/>
      </c>
      <c r="M135" s="42" t="str">
        <f aca="false">IF(OR(F135="",H135=""),"",H135-F135)</f>
        <v/>
      </c>
      <c r="N135" s="42" t="str">
        <f aca="false">IF(OR(F135="",I135=""),"",I135-F135)</f>
        <v/>
      </c>
    </row>
    <row r="136" customFormat="false" ht="15" hidden="false" customHeight="true" outlineLevel="0" collapsed="false">
      <c r="A136" s="37" t="s">
        <v>623</v>
      </c>
      <c r="B136" s="35"/>
      <c r="C136" s="35"/>
      <c r="D136" s="35"/>
      <c r="E136" s="35"/>
      <c r="F136" s="41"/>
      <c r="G136" s="41"/>
      <c r="H136" s="41"/>
      <c r="I136" s="41"/>
      <c r="J136" s="35"/>
      <c r="K136" s="37" t="str">
        <f aca="false">IF(F136="","",IF(I136&lt;&gt;"","נסגרה",IF(H136&lt;&gt;"","נענתה",IF(G136&lt;&gt;"","אושרה קבלה","נפתחה"))))</f>
        <v/>
      </c>
      <c r="L136" s="42" t="str">
        <f aca="false">IF(OR(F136="",G136=""),"",G136-F136)</f>
        <v/>
      </c>
      <c r="M136" s="42" t="str">
        <f aca="false">IF(OR(F136="",H136=""),"",H136-F136)</f>
        <v/>
      </c>
      <c r="N136" s="42" t="str">
        <f aca="false">IF(OR(F136="",I136=""),"",I136-F136)</f>
        <v/>
      </c>
    </row>
    <row r="137" customFormat="false" ht="15" hidden="false" customHeight="true" outlineLevel="0" collapsed="false">
      <c r="A137" s="37" t="s">
        <v>624</v>
      </c>
      <c r="B137" s="35"/>
      <c r="C137" s="35"/>
      <c r="D137" s="35"/>
      <c r="E137" s="35"/>
      <c r="F137" s="41"/>
      <c r="G137" s="41"/>
      <c r="H137" s="41"/>
      <c r="I137" s="41"/>
      <c r="J137" s="35"/>
      <c r="K137" s="37" t="str">
        <f aca="false">IF(F137="","",IF(I137&lt;&gt;"","נסגרה",IF(H137&lt;&gt;"","נענתה",IF(G137&lt;&gt;"","אושרה קבלה","נפתחה"))))</f>
        <v/>
      </c>
      <c r="L137" s="42" t="str">
        <f aca="false">IF(OR(F137="",G137=""),"",G137-F137)</f>
        <v/>
      </c>
      <c r="M137" s="42" t="str">
        <f aca="false">IF(OR(F137="",H137=""),"",H137-F137)</f>
        <v/>
      </c>
      <c r="N137" s="42" t="str">
        <f aca="false">IF(OR(F137="",I137=""),"",I137-F137)</f>
        <v/>
      </c>
    </row>
    <row r="138" customFormat="false" ht="15" hidden="false" customHeight="true" outlineLevel="0" collapsed="false">
      <c r="A138" s="37" t="s">
        <v>625</v>
      </c>
      <c r="B138" s="35"/>
      <c r="C138" s="35"/>
      <c r="D138" s="35"/>
      <c r="E138" s="35"/>
      <c r="F138" s="41"/>
      <c r="G138" s="41"/>
      <c r="H138" s="41"/>
      <c r="I138" s="41"/>
      <c r="J138" s="35"/>
      <c r="K138" s="37" t="str">
        <f aca="false">IF(F138="","",IF(I138&lt;&gt;"","נסגרה",IF(H138&lt;&gt;"","נענתה",IF(G138&lt;&gt;"","אושרה קבלה","נפתחה"))))</f>
        <v/>
      </c>
      <c r="L138" s="42" t="str">
        <f aca="false">IF(OR(F138="",G138=""),"",G138-F138)</f>
        <v/>
      </c>
      <c r="M138" s="42" t="str">
        <f aca="false">IF(OR(F138="",H138=""),"",H138-F138)</f>
        <v/>
      </c>
      <c r="N138" s="42" t="str">
        <f aca="false">IF(OR(F138="",I138=""),"",I138-F138)</f>
        <v/>
      </c>
    </row>
    <row r="139" customFormat="false" ht="15" hidden="false" customHeight="true" outlineLevel="0" collapsed="false">
      <c r="A139" s="37" t="s">
        <v>626</v>
      </c>
      <c r="B139" s="35"/>
      <c r="C139" s="35"/>
      <c r="D139" s="35"/>
      <c r="E139" s="35"/>
      <c r="F139" s="41"/>
      <c r="G139" s="41"/>
      <c r="H139" s="41"/>
      <c r="I139" s="41"/>
      <c r="J139" s="35"/>
      <c r="K139" s="37" t="str">
        <f aca="false">IF(F139="","",IF(I139&lt;&gt;"","נסגרה",IF(H139&lt;&gt;"","נענתה",IF(G139&lt;&gt;"","אושרה קבלה","נפתחה"))))</f>
        <v/>
      </c>
      <c r="L139" s="42" t="str">
        <f aca="false">IF(OR(F139="",G139=""),"",G139-F139)</f>
        <v/>
      </c>
      <c r="M139" s="42" t="str">
        <f aca="false">IF(OR(F139="",H139=""),"",H139-F139)</f>
        <v/>
      </c>
      <c r="N139" s="42" t="str">
        <f aca="false">IF(OR(F139="",I139=""),"",I139-F139)</f>
        <v/>
      </c>
    </row>
    <row r="140" customFormat="false" ht="15" hidden="false" customHeight="true" outlineLevel="0" collapsed="false">
      <c r="A140" s="37" t="s">
        <v>627</v>
      </c>
      <c r="B140" s="35"/>
      <c r="C140" s="35"/>
      <c r="D140" s="35"/>
      <c r="E140" s="35"/>
      <c r="F140" s="41"/>
      <c r="G140" s="41"/>
      <c r="H140" s="41"/>
      <c r="I140" s="41"/>
      <c r="J140" s="35"/>
      <c r="K140" s="37" t="str">
        <f aca="false">IF(F140="","",IF(I140&lt;&gt;"","נסגרה",IF(H140&lt;&gt;"","נענתה",IF(G140&lt;&gt;"","אושרה קבלה","נפתחה"))))</f>
        <v/>
      </c>
      <c r="L140" s="42" t="str">
        <f aca="false">IF(OR(F140="",G140=""),"",G140-F140)</f>
        <v/>
      </c>
      <c r="M140" s="42" t="str">
        <f aca="false">IF(OR(F140="",H140=""),"",H140-F140)</f>
        <v/>
      </c>
      <c r="N140" s="42" t="str">
        <f aca="false">IF(OR(F140="",I140=""),"",I140-F140)</f>
        <v/>
      </c>
    </row>
    <row r="141" customFormat="false" ht="15" hidden="false" customHeight="true" outlineLevel="0" collapsed="false">
      <c r="A141" s="37" t="s">
        <v>628</v>
      </c>
      <c r="B141" s="35"/>
      <c r="C141" s="35"/>
      <c r="D141" s="35"/>
      <c r="E141" s="35"/>
      <c r="F141" s="41"/>
      <c r="G141" s="41"/>
      <c r="H141" s="41"/>
      <c r="I141" s="41"/>
      <c r="J141" s="35"/>
      <c r="K141" s="37" t="str">
        <f aca="false">IF(F141="","",IF(I141&lt;&gt;"","נסגרה",IF(H141&lt;&gt;"","נענתה",IF(G141&lt;&gt;"","אושרה קבלה","נפתחה"))))</f>
        <v/>
      </c>
      <c r="L141" s="42" t="str">
        <f aca="false">IF(OR(F141="",G141=""),"",G141-F141)</f>
        <v/>
      </c>
      <c r="M141" s="42" t="str">
        <f aca="false">IF(OR(F141="",H141=""),"",H141-F141)</f>
        <v/>
      </c>
      <c r="N141" s="42" t="str">
        <f aca="false">IF(OR(F141="",I141=""),"",I141-F141)</f>
        <v/>
      </c>
    </row>
    <row r="142" customFormat="false" ht="15" hidden="false" customHeight="true" outlineLevel="0" collapsed="false">
      <c r="A142" s="37" t="s">
        <v>629</v>
      </c>
      <c r="B142" s="35"/>
      <c r="C142" s="35"/>
      <c r="D142" s="35"/>
      <c r="E142" s="35"/>
      <c r="F142" s="41"/>
      <c r="G142" s="41"/>
      <c r="H142" s="41"/>
      <c r="I142" s="41"/>
      <c r="J142" s="35"/>
      <c r="K142" s="37" t="str">
        <f aca="false">IF(F142="","",IF(I142&lt;&gt;"","נסגרה",IF(H142&lt;&gt;"","נענתה",IF(G142&lt;&gt;"","אושרה קבלה","נפתחה"))))</f>
        <v/>
      </c>
      <c r="L142" s="42" t="str">
        <f aca="false">IF(OR(F142="",G142=""),"",G142-F142)</f>
        <v/>
      </c>
      <c r="M142" s="42" t="str">
        <f aca="false">IF(OR(F142="",H142=""),"",H142-F142)</f>
        <v/>
      </c>
      <c r="N142" s="42" t="str">
        <f aca="false">IF(OR(F142="",I142=""),"",I142-F142)</f>
        <v/>
      </c>
    </row>
    <row r="143" customFormat="false" ht="15" hidden="false" customHeight="true" outlineLevel="0" collapsed="false">
      <c r="A143" s="37" t="s">
        <v>630</v>
      </c>
      <c r="B143" s="35"/>
      <c r="C143" s="35"/>
      <c r="D143" s="35"/>
      <c r="E143" s="35"/>
      <c r="F143" s="41"/>
      <c r="G143" s="41"/>
      <c r="H143" s="41"/>
      <c r="I143" s="41"/>
      <c r="J143" s="35"/>
      <c r="K143" s="37" t="str">
        <f aca="false">IF(F143="","",IF(I143&lt;&gt;"","נסגרה",IF(H143&lt;&gt;"","נענתה",IF(G143&lt;&gt;"","אושרה קבלה","נפתחה"))))</f>
        <v/>
      </c>
      <c r="L143" s="42" t="str">
        <f aca="false">IF(OR(F143="",G143=""),"",G143-F143)</f>
        <v/>
      </c>
      <c r="M143" s="42" t="str">
        <f aca="false">IF(OR(F143="",H143=""),"",H143-F143)</f>
        <v/>
      </c>
      <c r="N143" s="42" t="str">
        <f aca="false">IF(OR(F143="",I143=""),"",I143-F143)</f>
        <v/>
      </c>
    </row>
    <row r="144" customFormat="false" ht="15" hidden="false" customHeight="true" outlineLevel="0" collapsed="false">
      <c r="A144" s="37" t="s">
        <v>631</v>
      </c>
      <c r="B144" s="35"/>
      <c r="C144" s="35"/>
      <c r="D144" s="35"/>
      <c r="E144" s="35"/>
      <c r="F144" s="41"/>
      <c r="G144" s="41"/>
      <c r="H144" s="41"/>
      <c r="I144" s="41"/>
      <c r="J144" s="35"/>
      <c r="K144" s="37" t="str">
        <f aca="false">IF(F144="","",IF(I144&lt;&gt;"","נסגרה",IF(H144&lt;&gt;"","נענתה",IF(G144&lt;&gt;"","אושרה קבלה","נפתחה"))))</f>
        <v/>
      </c>
      <c r="L144" s="42" t="str">
        <f aca="false">IF(OR(F144="",G144=""),"",G144-F144)</f>
        <v/>
      </c>
      <c r="M144" s="42" t="str">
        <f aca="false">IF(OR(F144="",H144=""),"",H144-F144)</f>
        <v/>
      </c>
      <c r="N144" s="42" t="str">
        <f aca="false">IF(OR(F144="",I144=""),"",I144-F144)</f>
        <v/>
      </c>
    </row>
    <row r="145" customFormat="false" ht="15" hidden="false" customHeight="true" outlineLevel="0" collapsed="false">
      <c r="A145" s="37" t="s">
        <v>632</v>
      </c>
      <c r="B145" s="35"/>
      <c r="C145" s="35"/>
      <c r="D145" s="35"/>
      <c r="E145" s="35"/>
      <c r="F145" s="41"/>
      <c r="G145" s="41"/>
      <c r="H145" s="41"/>
      <c r="I145" s="41"/>
      <c r="J145" s="35"/>
      <c r="K145" s="37" t="str">
        <f aca="false">IF(F145="","",IF(I145&lt;&gt;"","נסגרה",IF(H145&lt;&gt;"","נענתה",IF(G145&lt;&gt;"","אושרה קבלה","נפתחה"))))</f>
        <v/>
      </c>
      <c r="L145" s="42" t="str">
        <f aca="false">IF(OR(F145="",G145=""),"",G145-F145)</f>
        <v/>
      </c>
      <c r="M145" s="42" t="str">
        <f aca="false">IF(OR(F145="",H145=""),"",H145-F145)</f>
        <v/>
      </c>
      <c r="N145" s="42" t="str">
        <f aca="false">IF(OR(F145="",I145=""),"",I145-F145)</f>
        <v/>
      </c>
    </row>
    <row r="146" customFormat="false" ht="15" hidden="false" customHeight="true" outlineLevel="0" collapsed="false">
      <c r="A146" s="37" t="s">
        <v>633</v>
      </c>
      <c r="B146" s="35"/>
      <c r="C146" s="35"/>
      <c r="D146" s="35"/>
      <c r="E146" s="35"/>
      <c r="F146" s="41"/>
      <c r="G146" s="41"/>
      <c r="H146" s="41"/>
      <c r="I146" s="41"/>
      <c r="J146" s="35"/>
      <c r="K146" s="37" t="str">
        <f aca="false">IF(F146="","",IF(I146&lt;&gt;"","נסגרה",IF(H146&lt;&gt;"","נענתה",IF(G146&lt;&gt;"","אושרה קבלה","נפתחה"))))</f>
        <v/>
      </c>
      <c r="L146" s="42" t="str">
        <f aca="false">IF(OR(F146="",G146=""),"",G146-F146)</f>
        <v/>
      </c>
      <c r="M146" s="42" t="str">
        <f aca="false">IF(OR(F146="",H146=""),"",H146-F146)</f>
        <v/>
      </c>
      <c r="N146" s="42" t="str">
        <f aca="false">IF(OR(F146="",I146=""),"",I146-F146)</f>
        <v/>
      </c>
    </row>
    <row r="147" customFormat="false" ht="15" hidden="false" customHeight="true" outlineLevel="0" collapsed="false">
      <c r="A147" s="37" t="s">
        <v>634</v>
      </c>
      <c r="B147" s="35"/>
      <c r="C147" s="35"/>
      <c r="D147" s="35"/>
      <c r="E147" s="35"/>
      <c r="F147" s="41"/>
      <c r="G147" s="41"/>
      <c r="H147" s="41"/>
      <c r="I147" s="41"/>
      <c r="J147" s="35"/>
      <c r="K147" s="37" t="str">
        <f aca="false">IF(F147="","",IF(I147&lt;&gt;"","נסגרה",IF(H147&lt;&gt;"","נענתה",IF(G147&lt;&gt;"","אושרה קבלה","נפתחה"))))</f>
        <v/>
      </c>
      <c r="L147" s="42" t="str">
        <f aca="false">IF(OR(F147="",G147=""),"",G147-F147)</f>
        <v/>
      </c>
      <c r="M147" s="42" t="str">
        <f aca="false">IF(OR(F147="",H147=""),"",H147-F147)</f>
        <v/>
      </c>
      <c r="N147" s="42" t="str">
        <f aca="false">IF(OR(F147="",I147=""),"",I147-F147)</f>
        <v/>
      </c>
    </row>
    <row r="148" customFormat="false" ht="15" hidden="false" customHeight="true" outlineLevel="0" collapsed="false">
      <c r="A148" s="37" t="s">
        <v>635</v>
      </c>
      <c r="B148" s="35"/>
      <c r="C148" s="35"/>
      <c r="D148" s="35"/>
      <c r="E148" s="35"/>
      <c r="F148" s="41"/>
      <c r="G148" s="41"/>
      <c r="H148" s="41"/>
      <c r="I148" s="41"/>
      <c r="J148" s="35"/>
      <c r="K148" s="37" t="str">
        <f aca="false">IF(F148="","",IF(I148&lt;&gt;"","נסגרה",IF(H148&lt;&gt;"","נענתה",IF(G148&lt;&gt;"","אושרה קבלה","נפתחה"))))</f>
        <v/>
      </c>
      <c r="L148" s="42" t="str">
        <f aca="false">IF(OR(F148="",G148=""),"",G148-F148)</f>
        <v/>
      </c>
      <c r="M148" s="42" t="str">
        <f aca="false">IF(OR(F148="",H148=""),"",H148-F148)</f>
        <v/>
      </c>
      <c r="N148" s="42" t="str">
        <f aca="false">IF(OR(F148="",I148=""),"",I148-F148)</f>
        <v/>
      </c>
    </row>
    <row r="149" customFormat="false" ht="15" hidden="false" customHeight="true" outlineLevel="0" collapsed="false">
      <c r="A149" s="37" t="s">
        <v>636</v>
      </c>
      <c r="B149" s="35"/>
      <c r="C149" s="35"/>
      <c r="D149" s="35"/>
      <c r="E149" s="35"/>
      <c r="F149" s="41"/>
      <c r="G149" s="41"/>
      <c r="H149" s="41"/>
      <c r="I149" s="41"/>
      <c r="J149" s="35"/>
      <c r="K149" s="37" t="str">
        <f aca="false">IF(F149="","",IF(I149&lt;&gt;"","נסגרה",IF(H149&lt;&gt;"","נענתה",IF(G149&lt;&gt;"","אושרה קבלה","נפתחה"))))</f>
        <v/>
      </c>
      <c r="L149" s="42" t="str">
        <f aca="false">IF(OR(F149="",G149=""),"",G149-F149)</f>
        <v/>
      </c>
      <c r="M149" s="42" t="str">
        <f aca="false">IF(OR(F149="",H149=""),"",H149-F149)</f>
        <v/>
      </c>
      <c r="N149" s="42" t="str">
        <f aca="false">IF(OR(F149="",I149=""),"",I149-F149)</f>
        <v/>
      </c>
    </row>
    <row r="150" customFormat="false" ht="15" hidden="false" customHeight="true" outlineLevel="0" collapsed="false">
      <c r="A150" s="37" t="s">
        <v>637</v>
      </c>
      <c r="B150" s="35"/>
      <c r="C150" s="35"/>
      <c r="D150" s="35"/>
      <c r="E150" s="35"/>
      <c r="F150" s="41"/>
      <c r="G150" s="41"/>
      <c r="H150" s="41"/>
      <c r="I150" s="41"/>
      <c r="J150" s="35"/>
      <c r="K150" s="37" t="str">
        <f aca="false">IF(F150="","",IF(I150&lt;&gt;"","נסגרה",IF(H150&lt;&gt;"","נענתה",IF(G150&lt;&gt;"","אושרה קבלה","נפתחה"))))</f>
        <v/>
      </c>
      <c r="L150" s="42" t="str">
        <f aca="false">IF(OR(F150="",G150=""),"",G150-F150)</f>
        <v/>
      </c>
      <c r="M150" s="42" t="str">
        <f aca="false">IF(OR(F150="",H150=""),"",H150-F150)</f>
        <v/>
      </c>
      <c r="N150" s="42" t="str">
        <f aca="false">IF(OR(F150="",I150=""),"",I150-F150)</f>
        <v/>
      </c>
    </row>
    <row r="151" customFormat="false" ht="15" hidden="false" customHeight="true" outlineLevel="0" collapsed="false">
      <c r="A151" s="37" t="s">
        <v>638</v>
      </c>
      <c r="B151" s="35"/>
      <c r="C151" s="35"/>
      <c r="D151" s="35"/>
      <c r="E151" s="35"/>
      <c r="F151" s="41"/>
      <c r="G151" s="41"/>
      <c r="H151" s="41"/>
      <c r="I151" s="41"/>
      <c r="J151" s="35"/>
      <c r="K151" s="37" t="str">
        <f aca="false">IF(F151="","",IF(I151&lt;&gt;"","נסגרה",IF(H151&lt;&gt;"","נענתה",IF(G151&lt;&gt;"","אושרה קבלה","נפתחה"))))</f>
        <v/>
      </c>
      <c r="L151" s="42" t="str">
        <f aca="false">IF(OR(F151="",G151=""),"",G151-F151)</f>
        <v/>
      </c>
      <c r="M151" s="42" t="str">
        <f aca="false">IF(OR(F151="",H151=""),"",H151-F151)</f>
        <v/>
      </c>
      <c r="N151" s="42" t="str">
        <f aca="false">IF(OR(F151="",I151=""),"",I151-F151)</f>
        <v/>
      </c>
    </row>
    <row r="152" customFormat="false" ht="15" hidden="false" customHeight="true" outlineLevel="0" collapsed="false">
      <c r="A152" s="37" t="s">
        <v>639</v>
      </c>
      <c r="B152" s="35"/>
      <c r="C152" s="35"/>
      <c r="D152" s="35"/>
      <c r="E152" s="35"/>
      <c r="F152" s="41"/>
      <c r="G152" s="41"/>
      <c r="H152" s="41"/>
      <c r="I152" s="41"/>
      <c r="J152" s="35"/>
      <c r="K152" s="37" t="str">
        <f aca="false">IF(F152="","",IF(I152&lt;&gt;"","נסגרה",IF(H152&lt;&gt;"","נענתה",IF(G152&lt;&gt;"","אושרה קבלה","נפתחה"))))</f>
        <v/>
      </c>
      <c r="L152" s="42" t="str">
        <f aca="false">IF(OR(F152="",G152=""),"",G152-F152)</f>
        <v/>
      </c>
      <c r="M152" s="42" t="str">
        <f aca="false">IF(OR(F152="",H152=""),"",H152-F152)</f>
        <v/>
      </c>
      <c r="N152" s="42" t="str">
        <f aca="false">IF(OR(F152="",I152=""),"",I152-F152)</f>
        <v/>
      </c>
    </row>
    <row r="153" customFormat="false" ht="15" hidden="false" customHeight="true" outlineLevel="0" collapsed="false">
      <c r="A153" s="37" t="s">
        <v>640</v>
      </c>
      <c r="B153" s="35"/>
      <c r="C153" s="35"/>
      <c r="D153" s="35"/>
      <c r="E153" s="35"/>
      <c r="F153" s="41"/>
      <c r="G153" s="41"/>
      <c r="H153" s="41"/>
      <c r="I153" s="41"/>
      <c r="J153" s="35"/>
      <c r="K153" s="37" t="str">
        <f aca="false">IF(F153="","",IF(I153&lt;&gt;"","נסגרה",IF(H153&lt;&gt;"","נענתה",IF(G153&lt;&gt;"","אושרה קבלה","נפתחה"))))</f>
        <v/>
      </c>
      <c r="L153" s="42" t="str">
        <f aca="false">IF(OR(F153="",G153=""),"",G153-F153)</f>
        <v/>
      </c>
      <c r="M153" s="42" t="str">
        <f aca="false">IF(OR(F153="",H153=""),"",H153-F153)</f>
        <v/>
      </c>
      <c r="N153" s="42" t="str">
        <f aca="false">IF(OR(F153="",I153=""),"",I153-F153)</f>
        <v/>
      </c>
    </row>
    <row r="154" customFormat="false" ht="15" hidden="false" customHeight="true" outlineLevel="0" collapsed="false">
      <c r="A154" s="37" t="s">
        <v>641</v>
      </c>
      <c r="B154" s="35"/>
      <c r="C154" s="35"/>
      <c r="D154" s="35"/>
      <c r="E154" s="35"/>
      <c r="F154" s="41"/>
      <c r="G154" s="41"/>
      <c r="H154" s="41"/>
      <c r="I154" s="41"/>
      <c r="J154" s="35"/>
      <c r="K154" s="37" t="str">
        <f aca="false">IF(F154="","",IF(I154&lt;&gt;"","נסגרה",IF(H154&lt;&gt;"","נענתה",IF(G154&lt;&gt;"","אושרה קבלה","נפתחה"))))</f>
        <v/>
      </c>
      <c r="L154" s="42" t="str">
        <f aca="false">IF(OR(F154="",G154=""),"",G154-F154)</f>
        <v/>
      </c>
      <c r="M154" s="42" t="str">
        <f aca="false">IF(OR(F154="",H154=""),"",H154-F154)</f>
        <v/>
      </c>
      <c r="N154" s="42" t="str">
        <f aca="false">IF(OR(F154="",I154=""),"",I154-F154)</f>
        <v/>
      </c>
    </row>
    <row r="155" customFormat="false" ht="15" hidden="false" customHeight="true" outlineLevel="0" collapsed="false">
      <c r="A155" s="37" t="s">
        <v>642</v>
      </c>
      <c r="B155" s="35"/>
      <c r="C155" s="35"/>
      <c r="D155" s="35"/>
      <c r="E155" s="35"/>
      <c r="F155" s="41"/>
      <c r="G155" s="41"/>
      <c r="H155" s="41"/>
      <c r="I155" s="41"/>
      <c r="J155" s="35"/>
      <c r="K155" s="37" t="str">
        <f aca="false">IF(F155="","",IF(I155&lt;&gt;"","נסגרה",IF(H155&lt;&gt;"","נענתה",IF(G155&lt;&gt;"","אושרה קבלה","נפתחה"))))</f>
        <v/>
      </c>
      <c r="L155" s="42" t="str">
        <f aca="false">IF(OR(F155="",G155=""),"",G155-F155)</f>
        <v/>
      </c>
      <c r="M155" s="42" t="str">
        <f aca="false">IF(OR(F155="",H155=""),"",H155-F155)</f>
        <v/>
      </c>
      <c r="N155" s="42" t="str">
        <f aca="false">IF(OR(F155="",I155=""),"",I155-F155)</f>
        <v/>
      </c>
    </row>
    <row r="156" customFormat="false" ht="15" hidden="false" customHeight="true" outlineLevel="0" collapsed="false">
      <c r="A156" s="37" t="s">
        <v>643</v>
      </c>
      <c r="B156" s="35"/>
      <c r="C156" s="35"/>
      <c r="D156" s="35"/>
      <c r="E156" s="35"/>
      <c r="F156" s="41"/>
      <c r="G156" s="41"/>
      <c r="H156" s="41"/>
      <c r="I156" s="41"/>
      <c r="J156" s="35"/>
      <c r="K156" s="37" t="str">
        <f aca="false">IF(F156="","",IF(I156&lt;&gt;"","נסגרה",IF(H156&lt;&gt;"","נענתה",IF(G156&lt;&gt;"","אושרה קבלה","נפתחה"))))</f>
        <v/>
      </c>
      <c r="L156" s="42" t="str">
        <f aca="false">IF(OR(F156="",G156=""),"",G156-F156)</f>
        <v/>
      </c>
      <c r="M156" s="42" t="str">
        <f aca="false">IF(OR(F156="",H156=""),"",H156-F156)</f>
        <v/>
      </c>
      <c r="N156" s="42" t="str">
        <f aca="false">IF(OR(F156="",I156=""),"",I156-F156)</f>
        <v/>
      </c>
    </row>
    <row r="157" customFormat="false" ht="15" hidden="false" customHeight="true" outlineLevel="0" collapsed="false">
      <c r="A157" s="37" t="s">
        <v>644</v>
      </c>
      <c r="B157" s="35"/>
      <c r="C157" s="35"/>
      <c r="D157" s="35"/>
      <c r="E157" s="35"/>
      <c r="F157" s="41"/>
      <c r="G157" s="41"/>
      <c r="H157" s="41"/>
      <c r="I157" s="41"/>
      <c r="J157" s="35"/>
      <c r="K157" s="37" t="str">
        <f aca="false">IF(F157="","",IF(I157&lt;&gt;"","נסגרה",IF(H157&lt;&gt;"","נענתה",IF(G157&lt;&gt;"","אושרה קבלה","נפתחה"))))</f>
        <v/>
      </c>
      <c r="L157" s="42" t="str">
        <f aca="false">IF(OR(F157="",G157=""),"",G157-F157)</f>
        <v/>
      </c>
      <c r="M157" s="42" t="str">
        <f aca="false">IF(OR(F157="",H157=""),"",H157-F157)</f>
        <v/>
      </c>
      <c r="N157" s="42" t="str">
        <f aca="false">IF(OR(F157="",I157=""),"",I157-F157)</f>
        <v/>
      </c>
    </row>
    <row r="158" customFormat="false" ht="15" hidden="false" customHeight="true" outlineLevel="0" collapsed="false">
      <c r="A158" s="37" t="s">
        <v>645</v>
      </c>
      <c r="B158" s="35"/>
      <c r="C158" s="35"/>
      <c r="D158" s="35"/>
      <c r="E158" s="35"/>
      <c r="F158" s="41"/>
      <c r="G158" s="41"/>
      <c r="H158" s="41"/>
      <c r="I158" s="41"/>
      <c r="J158" s="35"/>
      <c r="K158" s="37" t="str">
        <f aca="false">IF(F158="","",IF(I158&lt;&gt;"","נסגרה",IF(H158&lt;&gt;"","נענתה",IF(G158&lt;&gt;"","אושרה קבלה","נפתחה"))))</f>
        <v/>
      </c>
      <c r="L158" s="42" t="str">
        <f aca="false">IF(OR(F158="",G158=""),"",G158-F158)</f>
        <v/>
      </c>
      <c r="M158" s="42" t="str">
        <f aca="false">IF(OR(F158="",H158=""),"",H158-F158)</f>
        <v/>
      </c>
      <c r="N158" s="42" t="str">
        <f aca="false">IF(OR(F158="",I158=""),"",I158-F158)</f>
        <v/>
      </c>
    </row>
    <row r="159" customFormat="false" ht="15" hidden="false" customHeight="true" outlineLevel="0" collapsed="false">
      <c r="A159" s="37" t="s">
        <v>646</v>
      </c>
      <c r="B159" s="35"/>
      <c r="C159" s="35"/>
      <c r="D159" s="35"/>
      <c r="E159" s="35"/>
      <c r="F159" s="41"/>
      <c r="G159" s="41"/>
      <c r="H159" s="41"/>
      <c r="I159" s="41"/>
      <c r="J159" s="35"/>
      <c r="K159" s="37" t="str">
        <f aca="false">IF(F159="","",IF(I159&lt;&gt;"","נסגרה",IF(H159&lt;&gt;"","נענתה",IF(G159&lt;&gt;"","אושרה קבלה","נפתחה"))))</f>
        <v/>
      </c>
      <c r="L159" s="42" t="str">
        <f aca="false">IF(OR(F159="",G159=""),"",G159-F159)</f>
        <v/>
      </c>
      <c r="M159" s="42" t="str">
        <f aca="false">IF(OR(F159="",H159=""),"",H159-F159)</f>
        <v/>
      </c>
      <c r="N159" s="42" t="str">
        <f aca="false">IF(OR(F159="",I159=""),"",I159-F159)</f>
        <v/>
      </c>
    </row>
    <row r="160" customFormat="false" ht="15" hidden="false" customHeight="true" outlineLevel="0" collapsed="false">
      <c r="A160" s="37" t="s">
        <v>647</v>
      </c>
      <c r="B160" s="35"/>
      <c r="C160" s="35"/>
      <c r="D160" s="35"/>
      <c r="E160" s="35"/>
      <c r="F160" s="41"/>
      <c r="G160" s="41"/>
      <c r="H160" s="41"/>
      <c r="I160" s="41"/>
      <c r="J160" s="35"/>
      <c r="K160" s="37" t="str">
        <f aca="false">IF(F160="","",IF(I160&lt;&gt;"","נסגרה",IF(H160&lt;&gt;"","נענתה",IF(G160&lt;&gt;"","אושרה קבלה","נפתחה"))))</f>
        <v/>
      </c>
      <c r="L160" s="42" t="str">
        <f aca="false">IF(OR(F160="",G160=""),"",G160-F160)</f>
        <v/>
      </c>
      <c r="M160" s="42" t="str">
        <f aca="false">IF(OR(F160="",H160=""),"",H160-F160)</f>
        <v/>
      </c>
      <c r="N160" s="42" t="str">
        <f aca="false">IF(OR(F160="",I160=""),"",I160-F160)</f>
        <v/>
      </c>
    </row>
    <row r="161" customFormat="false" ht="15" hidden="false" customHeight="true" outlineLevel="0" collapsed="false">
      <c r="A161" s="37" t="s">
        <v>648</v>
      </c>
      <c r="B161" s="35"/>
      <c r="C161" s="35"/>
      <c r="D161" s="35"/>
      <c r="E161" s="35"/>
      <c r="F161" s="41"/>
      <c r="G161" s="41"/>
      <c r="H161" s="41"/>
      <c r="I161" s="41"/>
      <c r="J161" s="35"/>
      <c r="K161" s="37" t="str">
        <f aca="false">IF(F161="","",IF(I161&lt;&gt;"","נסגרה",IF(H161&lt;&gt;"","נענתה",IF(G161&lt;&gt;"","אושרה קבלה","נפתחה"))))</f>
        <v/>
      </c>
      <c r="L161" s="42" t="str">
        <f aca="false">IF(OR(F161="",G161=""),"",G161-F161)</f>
        <v/>
      </c>
      <c r="M161" s="42" t="str">
        <f aca="false">IF(OR(F161="",H161=""),"",H161-F161)</f>
        <v/>
      </c>
      <c r="N161" s="42" t="str">
        <f aca="false">IF(OR(F161="",I161=""),"",I161-F161)</f>
        <v/>
      </c>
    </row>
    <row r="162" customFormat="false" ht="15" hidden="false" customHeight="true" outlineLevel="0" collapsed="false">
      <c r="A162" s="37" t="s">
        <v>649</v>
      </c>
      <c r="B162" s="35"/>
      <c r="C162" s="35"/>
      <c r="D162" s="35"/>
      <c r="E162" s="35"/>
      <c r="F162" s="41"/>
      <c r="G162" s="41"/>
      <c r="H162" s="41"/>
      <c r="I162" s="41"/>
      <c r="J162" s="35"/>
      <c r="K162" s="37" t="str">
        <f aca="false">IF(F162="","",IF(I162&lt;&gt;"","נסגרה",IF(H162&lt;&gt;"","נענתה",IF(G162&lt;&gt;"","אושרה קבלה","נפתחה"))))</f>
        <v/>
      </c>
      <c r="L162" s="42" t="str">
        <f aca="false">IF(OR(F162="",G162=""),"",G162-F162)</f>
        <v/>
      </c>
      <c r="M162" s="42" t="str">
        <f aca="false">IF(OR(F162="",H162=""),"",H162-F162)</f>
        <v/>
      </c>
      <c r="N162" s="42" t="str">
        <f aca="false">IF(OR(F162="",I162=""),"",I162-F162)</f>
        <v/>
      </c>
    </row>
    <row r="163" customFormat="false" ht="15" hidden="false" customHeight="true" outlineLevel="0" collapsed="false">
      <c r="A163" s="37" t="s">
        <v>650</v>
      </c>
      <c r="B163" s="35"/>
      <c r="C163" s="35"/>
      <c r="D163" s="35"/>
      <c r="E163" s="35"/>
      <c r="F163" s="41"/>
      <c r="G163" s="41"/>
      <c r="H163" s="41"/>
      <c r="I163" s="41"/>
      <c r="J163" s="35"/>
      <c r="K163" s="37" t="str">
        <f aca="false">IF(F163="","",IF(I163&lt;&gt;"","נסגרה",IF(H163&lt;&gt;"","נענתה",IF(G163&lt;&gt;"","אושרה קבלה","נפתחה"))))</f>
        <v/>
      </c>
      <c r="L163" s="42" t="str">
        <f aca="false">IF(OR(F163="",G163=""),"",G163-F163)</f>
        <v/>
      </c>
      <c r="M163" s="42" t="str">
        <f aca="false">IF(OR(F163="",H163=""),"",H163-F163)</f>
        <v/>
      </c>
      <c r="N163" s="42" t="str">
        <f aca="false">IF(OR(F163="",I163=""),"",I163-F163)</f>
        <v/>
      </c>
    </row>
    <row r="164" customFormat="false" ht="15" hidden="false" customHeight="true" outlineLevel="0" collapsed="false">
      <c r="A164" s="37" t="s">
        <v>651</v>
      </c>
      <c r="B164" s="35"/>
      <c r="C164" s="35"/>
      <c r="D164" s="35"/>
      <c r="E164" s="35"/>
      <c r="F164" s="41"/>
      <c r="G164" s="41"/>
      <c r="H164" s="41"/>
      <c r="I164" s="41"/>
      <c r="J164" s="35"/>
      <c r="K164" s="37" t="str">
        <f aca="false">IF(F164="","",IF(I164&lt;&gt;"","נסגרה",IF(H164&lt;&gt;"","נענתה",IF(G164&lt;&gt;"","אושרה קבלה","נפתחה"))))</f>
        <v/>
      </c>
      <c r="L164" s="42" t="str">
        <f aca="false">IF(OR(F164="",G164=""),"",G164-F164)</f>
        <v/>
      </c>
      <c r="M164" s="42" t="str">
        <f aca="false">IF(OR(F164="",H164=""),"",H164-F164)</f>
        <v/>
      </c>
      <c r="N164" s="42" t="str">
        <f aca="false">IF(OR(F164="",I164=""),"",I164-F164)</f>
        <v/>
      </c>
    </row>
    <row r="165" customFormat="false" ht="15" hidden="false" customHeight="true" outlineLevel="0" collapsed="false">
      <c r="A165" s="37" t="s">
        <v>652</v>
      </c>
      <c r="B165" s="35"/>
      <c r="C165" s="35"/>
      <c r="D165" s="35"/>
      <c r="E165" s="35"/>
      <c r="F165" s="41"/>
      <c r="G165" s="41"/>
      <c r="H165" s="41"/>
      <c r="I165" s="41"/>
      <c r="J165" s="35"/>
      <c r="K165" s="37" t="str">
        <f aca="false">IF(F165="","",IF(I165&lt;&gt;"","נסגרה",IF(H165&lt;&gt;"","נענתה",IF(G165&lt;&gt;"","אושרה קבלה","נפתחה"))))</f>
        <v/>
      </c>
      <c r="L165" s="42" t="str">
        <f aca="false">IF(OR(F165="",G165=""),"",G165-F165)</f>
        <v/>
      </c>
      <c r="M165" s="42" t="str">
        <f aca="false">IF(OR(F165="",H165=""),"",H165-F165)</f>
        <v/>
      </c>
      <c r="N165" s="42" t="str">
        <f aca="false">IF(OR(F165="",I165=""),"",I165-F165)</f>
        <v/>
      </c>
    </row>
    <row r="166" customFormat="false" ht="15" hidden="false" customHeight="true" outlineLevel="0" collapsed="false">
      <c r="A166" s="37" t="s">
        <v>653</v>
      </c>
      <c r="B166" s="35"/>
      <c r="C166" s="35"/>
      <c r="D166" s="35"/>
      <c r="E166" s="35"/>
      <c r="F166" s="41"/>
      <c r="G166" s="41"/>
      <c r="H166" s="41"/>
      <c r="I166" s="41"/>
      <c r="J166" s="35"/>
      <c r="K166" s="37" t="str">
        <f aca="false">IF(F166="","",IF(I166&lt;&gt;"","נסגרה",IF(H166&lt;&gt;"","נענתה",IF(G166&lt;&gt;"","אושרה קבלה","נפתחה"))))</f>
        <v/>
      </c>
      <c r="L166" s="42" t="str">
        <f aca="false">IF(OR(F166="",G166=""),"",G166-F166)</f>
        <v/>
      </c>
      <c r="M166" s="42" t="str">
        <f aca="false">IF(OR(F166="",H166=""),"",H166-F166)</f>
        <v/>
      </c>
      <c r="N166" s="42" t="str">
        <f aca="false">IF(OR(F166="",I166=""),"",I166-F166)</f>
        <v/>
      </c>
    </row>
    <row r="167" customFormat="false" ht="15" hidden="false" customHeight="true" outlineLevel="0" collapsed="false">
      <c r="A167" s="37" t="s">
        <v>654</v>
      </c>
      <c r="B167" s="35"/>
      <c r="C167" s="35"/>
      <c r="D167" s="35"/>
      <c r="E167" s="35"/>
      <c r="F167" s="41"/>
      <c r="G167" s="41"/>
      <c r="H167" s="41"/>
      <c r="I167" s="41"/>
      <c r="J167" s="35"/>
      <c r="K167" s="37" t="str">
        <f aca="false">IF(F167="","",IF(I167&lt;&gt;"","נסגרה",IF(H167&lt;&gt;"","נענתה",IF(G167&lt;&gt;"","אושרה קבלה","נפתחה"))))</f>
        <v/>
      </c>
      <c r="L167" s="42" t="str">
        <f aca="false">IF(OR(F167="",G167=""),"",G167-F167)</f>
        <v/>
      </c>
      <c r="M167" s="42" t="str">
        <f aca="false">IF(OR(F167="",H167=""),"",H167-F167)</f>
        <v/>
      </c>
      <c r="N167" s="42" t="str">
        <f aca="false">IF(OR(F167="",I167=""),"",I167-F167)</f>
        <v/>
      </c>
    </row>
    <row r="168" customFormat="false" ht="15" hidden="false" customHeight="true" outlineLevel="0" collapsed="false">
      <c r="A168" s="37" t="s">
        <v>655</v>
      </c>
      <c r="B168" s="35"/>
      <c r="C168" s="35"/>
      <c r="D168" s="35"/>
      <c r="E168" s="35"/>
      <c r="F168" s="41"/>
      <c r="G168" s="41"/>
      <c r="H168" s="41"/>
      <c r="I168" s="41"/>
      <c r="J168" s="35"/>
      <c r="K168" s="37" t="str">
        <f aca="false">IF(F168="","",IF(I168&lt;&gt;"","נסגרה",IF(H168&lt;&gt;"","נענתה",IF(G168&lt;&gt;"","אושרה קבלה","נפתחה"))))</f>
        <v/>
      </c>
      <c r="L168" s="42" t="str">
        <f aca="false">IF(OR(F168="",G168=""),"",G168-F168)</f>
        <v/>
      </c>
      <c r="M168" s="42" t="str">
        <f aca="false">IF(OR(F168="",H168=""),"",H168-F168)</f>
        <v/>
      </c>
      <c r="N168" s="42" t="str">
        <f aca="false">IF(OR(F168="",I168=""),"",I168-F168)</f>
        <v/>
      </c>
    </row>
    <row r="169" customFormat="false" ht="15" hidden="false" customHeight="true" outlineLevel="0" collapsed="false">
      <c r="A169" s="37" t="s">
        <v>656</v>
      </c>
      <c r="B169" s="35"/>
      <c r="C169" s="35"/>
      <c r="D169" s="35"/>
      <c r="E169" s="35"/>
      <c r="F169" s="41"/>
      <c r="G169" s="41"/>
      <c r="H169" s="41"/>
      <c r="I169" s="41"/>
      <c r="J169" s="35"/>
      <c r="K169" s="37" t="str">
        <f aca="false">IF(F169="","",IF(I169&lt;&gt;"","נסגרה",IF(H169&lt;&gt;"","נענתה",IF(G169&lt;&gt;"","אושרה קבלה","נפתחה"))))</f>
        <v/>
      </c>
      <c r="L169" s="42" t="str">
        <f aca="false">IF(OR(F169="",G169=""),"",G169-F169)</f>
        <v/>
      </c>
      <c r="M169" s="42" t="str">
        <f aca="false">IF(OR(F169="",H169=""),"",H169-F169)</f>
        <v/>
      </c>
      <c r="N169" s="42" t="str">
        <f aca="false">IF(OR(F169="",I169=""),"",I169-F169)</f>
        <v/>
      </c>
    </row>
    <row r="170" customFormat="false" ht="15" hidden="false" customHeight="true" outlineLevel="0" collapsed="false">
      <c r="A170" s="37" t="s">
        <v>657</v>
      </c>
      <c r="B170" s="35"/>
      <c r="C170" s="35"/>
      <c r="D170" s="35"/>
      <c r="E170" s="35"/>
      <c r="F170" s="41"/>
      <c r="G170" s="41"/>
      <c r="H170" s="41"/>
      <c r="I170" s="41"/>
      <c r="J170" s="35"/>
      <c r="K170" s="37" t="str">
        <f aca="false">IF(F170="","",IF(I170&lt;&gt;"","נסגרה",IF(H170&lt;&gt;"","נענתה",IF(G170&lt;&gt;"","אושרה קבלה","נפתחה"))))</f>
        <v/>
      </c>
      <c r="L170" s="42" t="str">
        <f aca="false">IF(OR(F170="",G170=""),"",G170-F170)</f>
        <v/>
      </c>
      <c r="M170" s="42" t="str">
        <f aca="false">IF(OR(F170="",H170=""),"",H170-F170)</f>
        <v/>
      </c>
      <c r="N170" s="42" t="str">
        <f aca="false">IF(OR(F170="",I170=""),"",I170-F170)</f>
        <v/>
      </c>
    </row>
    <row r="171" customFormat="false" ht="15" hidden="false" customHeight="true" outlineLevel="0" collapsed="false">
      <c r="A171" s="37" t="s">
        <v>658</v>
      </c>
      <c r="B171" s="35"/>
      <c r="C171" s="35"/>
      <c r="D171" s="35"/>
      <c r="E171" s="35"/>
      <c r="F171" s="41"/>
      <c r="G171" s="41"/>
      <c r="H171" s="41"/>
      <c r="I171" s="41"/>
      <c r="J171" s="35"/>
      <c r="K171" s="37" t="str">
        <f aca="false">IF(F171="","",IF(I171&lt;&gt;"","נסגרה",IF(H171&lt;&gt;"","נענתה",IF(G171&lt;&gt;"","אושרה קבלה","נפתחה"))))</f>
        <v/>
      </c>
      <c r="L171" s="42" t="str">
        <f aca="false">IF(OR(F171="",G171=""),"",G171-F171)</f>
        <v/>
      </c>
      <c r="M171" s="42" t="str">
        <f aca="false">IF(OR(F171="",H171=""),"",H171-F171)</f>
        <v/>
      </c>
      <c r="N171" s="42" t="str">
        <f aca="false">IF(OR(F171="",I171=""),"",I171-F171)</f>
        <v/>
      </c>
    </row>
    <row r="172" customFormat="false" ht="15" hidden="false" customHeight="true" outlineLevel="0" collapsed="false">
      <c r="A172" s="37" t="s">
        <v>659</v>
      </c>
      <c r="B172" s="35"/>
      <c r="C172" s="35"/>
      <c r="D172" s="35"/>
      <c r="E172" s="35"/>
      <c r="F172" s="41"/>
      <c r="G172" s="41"/>
      <c r="H172" s="41"/>
      <c r="I172" s="41"/>
      <c r="J172" s="35"/>
      <c r="K172" s="37" t="str">
        <f aca="false">IF(F172="","",IF(I172&lt;&gt;"","נסגרה",IF(H172&lt;&gt;"","נענתה",IF(G172&lt;&gt;"","אושרה קבלה","נפתחה"))))</f>
        <v/>
      </c>
      <c r="L172" s="42" t="str">
        <f aca="false">IF(OR(F172="",G172=""),"",G172-F172)</f>
        <v/>
      </c>
      <c r="M172" s="42" t="str">
        <f aca="false">IF(OR(F172="",H172=""),"",H172-F172)</f>
        <v/>
      </c>
      <c r="N172" s="42" t="str">
        <f aca="false">IF(OR(F172="",I172=""),"",I172-F172)</f>
        <v/>
      </c>
    </row>
    <row r="173" customFormat="false" ht="15" hidden="false" customHeight="true" outlineLevel="0" collapsed="false">
      <c r="A173" s="37" t="s">
        <v>660</v>
      </c>
      <c r="B173" s="35"/>
      <c r="C173" s="35"/>
      <c r="D173" s="35"/>
      <c r="E173" s="35"/>
      <c r="F173" s="41"/>
      <c r="G173" s="41"/>
      <c r="H173" s="41"/>
      <c r="I173" s="41"/>
      <c r="J173" s="35"/>
      <c r="K173" s="37" t="str">
        <f aca="false">IF(F173="","",IF(I173&lt;&gt;"","נסגרה",IF(H173&lt;&gt;"","נענתה",IF(G173&lt;&gt;"","אושרה קבלה","נפתחה"))))</f>
        <v/>
      </c>
      <c r="L173" s="42" t="str">
        <f aca="false">IF(OR(F173="",G173=""),"",G173-F173)</f>
        <v/>
      </c>
      <c r="M173" s="42" t="str">
        <f aca="false">IF(OR(F173="",H173=""),"",H173-F173)</f>
        <v/>
      </c>
      <c r="N173" s="42" t="str">
        <f aca="false">IF(OR(F173="",I173=""),"",I173-F173)</f>
        <v/>
      </c>
    </row>
    <row r="174" customFormat="false" ht="15" hidden="false" customHeight="true" outlineLevel="0" collapsed="false">
      <c r="A174" s="37" t="s">
        <v>661</v>
      </c>
      <c r="B174" s="35"/>
      <c r="C174" s="35"/>
      <c r="D174" s="35"/>
      <c r="E174" s="35"/>
      <c r="F174" s="41"/>
      <c r="G174" s="41"/>
      <c r="H174" s="41"/>
      <c r="I174" s="41"/>
      <c r="J174" s="35"/>
      <c r="K174" s="37" t="str">
        <f aca="false">IF(F174="","",IF(I174&lt;&gt;"","נסגרה",IF(H174&lt;&gt;"","נענתה",IF(G174&lt;&gt;"","אושרה קבלה","נפתחה"))))</f>
        <v/>
      </c>
      <c r="L174" s="42" t="str">
        <f aca="false">IF(OR(F174="",G174=""),"",G174-F174)</f>
        <v/>
      </c>
      <c r="M174" s="42" t="str">
        <f aca="false">IF(OR(F174="",H174=""),"",H174-F174)</f>
        <v/>
      </c>
      <c r="N174" s="42" t="str">
        <f aca="false">IF(OR(F174="",I174=""),"",I174-F174)</f>
        <v/>
      </c>
    </row>
    <row r="175" customFormat="false" ht="15" hidden="false" customHeight="true" outlineLevel="0" collapsed="false">
      <c r="A175" s="37" t="s">
        <v>662</v>
      </c>
      <c r="B175" s="35"/>
      <c r="C175" s="35"/>
      <c r="D175" s="35"/>
      <c r="E175" s="35"/>
      <c r="F175" s="41"/>
      <c r="G175" s="41"/>
      <c r="H175" s="41"/>
      <c r="I175" s="41"/>
      <c r="J175" s="35"/>
      <c r="K175" s="37" t="str">
        <f aca="false">IF(F175="","",IF(I175&lt;&gt;"","נסגרה",IF(H175&lt;&gt;"","נענתה",IF(G175&lt;&gt;"","אושרה קבלה","נפתחה"))))</f>
        <v/>
      </c>
      <c r="L175" s="42" t="str">
        <f aca="false">IF(OR(F175="",G175=""),"",G175-F175)</f>
        <v/>
      </c>
      <c r="M175" s="42" t="str">
        <f aca="false">IF(OR(F175="",H175=""),"",H175-F175)</f>
        <v/>
      </c>
      <c r="N175" s="42" t="str">
        <f aca="false">IF(OR(F175="",I175=""),"",I175-F175)</f>
        <v/>
      </c>
    </row>
    <row r="176" customFormat="false" ht="15" hidden="false" customHeight="true" outlineLevel="0" collapsed="false">
      <c r="A176" s="37" t="s">
        <v>663</v>
      </c>
      <c r="B176" s="35"/>
      <c r="C176" s="35"/>
      <c r="D176" s="35"/>
      <c r="E176" s="35"/>
      <c r="F176" s="41"/>
      <c r="G176" s="41"/>
      <c r="H176" s="41"/>
      <c r="I176" s="41"/>
      <c r="J176" s="35"/>
      <c r="K176" s="37" t="str">
        <f aca="false">IF(F176="","",IF(I176&lt;&gt;"","נסגרה",IF(H176&lt;&gt;"","נענתה",IF(G176&lt;&gt;"","אושרה קבלה","נפתחה"))))</f>
        <v/>
      </c>
      <c r="L176" s="42" t="str">
        <f aca="false">IF(OR(F176="",G176=""),"",G176-F176)</f>
        <v/>
      </c>
      <c r="M176" s="42" t="str">
        <f aca="false">IF(OR(F176="",H176=""),"",H176-F176)</f>
        <v/>
      </c>
      <c r="N176" s="42" t="str">
        <f aca="false">IF(OR(F176="",I176=""),"",I176-F176)</f>
        <v/>
      </c>
    </row>
    <row r="177" customFormat="false" ht="15" hidden="false" customHeight="true" outlineLevel="0" collapsed="false">
      <c r="A177" s="37" t="s">
        <v>664</v>
      </c>
      <c r="B177" s="35"/>
      <c r="C177" s="35"/>
      <c r="D177" s="35"/>
      <c r="E177" s="35"/>
      <c r="F177" s="41"/>
      <c r="G177" s="41"/>
      <c r="H177" s="41"/>
      <c r="I177" s="41"/>
      <c r="J177" s="35"/>
      <c r="K177" s="37" t="str">
        <f aca="false">IF(F177="","",IF(I177&lt;&gt;"","נסגרה",IF(H177&lt;&gt;"","נענתה",IF(G177&lt;&gt;"","אושרה קבלה","נפתחה"))))</f>
        <v/>
      </c>
      <c r="L177" s="42" t="str">
        <f aca="false">IF(OR(F177="",G177=""),"",G177-F177)</f>
        <v/>
      </c>
      <c r="M177" s="42" t="str">
        <f aca="false">IF(OR(F177="",H177=""),"",H177-F177)</f>
        <v/>
      </c>
      <c r="N177" s="42" t="str">
        <f aca="false">IF(OR(F177="",I177=""),"",I177-F177)</f>
        <v/>
      </c>
    </row>
    <row r="178" customFormat="false" ht="15" hidden="false" customHeight="true" outlineLevel="0" collapsed="false">
      <c r="A178" s="37" t="s">
        <v>665</v>
      </c>
      <c r="B178" s="35"/>
      <c r="C178" s="35"/>
      <c r="D178" s="35"/>
      <c r="E178" s="35"/>
      <c r="F178" s="41"/>
      <c r="G178" s="41"/>
      <c r="H178" s="41"/>
      <c r="I178" s="41"/>
      <c r="J178" s="35"/>
      <c r="K178" s="37" t="str">
        <f aca="false">IF(F178="","",IF(I178&lt;&gt;"","נסגרה",IF(H178&lt;&gt;"","נענתה",IF(G178&lt;&gt;"","אושרה קבלה","נפתחה"))))</f>
        <v/>
      </c>
      <c r="L178" s="42" t="str">
        <f aca="false">IF(OR(F178="",G178=""),"",G178-F178)</f>
        <v/>
      </c>
      <c r="M178" s="42" t="str">
        <f aca="false">IF(OR(F178="",H178=""),"",H178-F178)</f>
        <v/>
      </c>
      <c r="N178" s="42" t="str">
        <f aca="false">IF(OR(F178="",I178=""),"",I178-F178)</f>
        <v/>
      </c>
    </row>
    <row r="179" customFormat="false" ht="15" hidden="false" customHeight="true" outlineLevel="0" collapsed="false">
      <c r="A179" s="37" t="s">
        <v>666</v>
      </c>
      <c r="B179" s="35"/>
      <c r="C179" s="35"/>
      <c r="D179" s="35"/>
      <c r="E179" s="35"/>
      <c r="F179" s="41"/>
      <c r="G179" s="41"/>
      <c r="H179" s="41"/>
      <c r="I179" s="41"/>
      <c r="J179" s="35"/>
      <c r="K179" s="37" t="str">
        <f aca="false">IF(F179="","",IF(I179&lt;&gt;"","נסגרה",IF(H179&lt;&gt;"","נענתה",IF(G179&lt;&gt;"","אושרה קבלה","נפתחה"))))</f>
        <v/>
      </c>
      <c r="L179" s="42" t="str">
        <f aca="false">IF(OR(F179="",G179=""),"",G179-F179)</f>
        <v/>
      </c>
      <c r="M179" s="42" t="str">
        <f aca="false">IF(OR(F179="",H179=""),"",H179-F179)</f>
        <v/>
      </c>
      <c r="N179" s="42" t="str">
        <f aca="false">IF(OR(F179="",I179=""),"",I179-F179)</f>
        <v/>
      </c>
    </row>
    <row r="180" customFormat="false" ht="15" hidden="false" customHeight="true" outlineLevel="0" collapsed="false">
      <c r="A180" s="37" t="s">
        <v>667</v>
      </c>
      <c r="B180" s="35"/>
      <c r="C180" s="35"/>
      <c r="D180" s="35"/>
      <c r="E180" s="35"/>
      <c r="F180" s="41"/>
      <c r="G180" s="41"/>
      <c r="H180" s="41"/>
      <c r="I180" s="41"/>
      <c r="J180" s="35"/>
      <c r="K180" s="37" t="str">
        <f aca="false">IF(F180="","",IF(I180&lt;&gt;"","נסגרה",IF(H180&lt;&gt;"","נענתה",IF(G180&lt;&gt;"","אושרה קבלה","נפתחה"))))</f>
        <v/>
      </c>
      <c r="L180" s="42" t="str">
        <f aca="false">IF(OR(F180="",G180=""),"",G180-F180)</f>
        <v/>
      </c>
      <c r="M180" s="42" t="str">
        <f aca="false">IF(OR(F180="",H180=""),"",H180-F180)</f>
        <v/>
      </c>
      <c r="N180" s="42" t="str">
        <f aca="false">IF(OR(F180="",I180=""),"",I180-F180)</f>
        <v/>
      </c>
    </row>
    <row r="181" customFormat="false" ht="15" hidden="false" customHeight="true" outlineLevel="0" collapsed="false">
      <c r="A181" s="37" t="s">
        <v>668</v>
      </c>
      <c r="B181" s="35"/>
      <c r="C181" s="35"/>
      <c r="D181" s="35"/>
      <c r="E181" s="35"/>
      <c r="F181" s="41"/>
      <c r="G181" s="41"/>
      <c r="H181" s="41"/>
      <c r="I181" s="41"/>
      <c r="J181" s="35"/>
      <c r="K181" s="37" t="str">
        <f aca="false">IF(F181="","",IF(I181&lt;&gt;"","נסגרה",IF(H181&lt;&gt;"","נענתה",IF(G181&lt;&gt;"","אושרה קבלה","נפתחה"))))</f>
        <v/>
      </c>
      <c r="L181" s="42" t="str">
        <f aca="false">IF(OR(F181="",G181=""),"",G181-F181)</f>
        <v/>
      </c>
      <c r="M181" s="42" t="str">
        <f aca="false">IF(OR(F181="",H181=""),"",H181-F181)</f>
        <v/>
      </c>
      <c r="N181" s="42" t="str">
        <f aca="false">IF(OR(F181="",I181=""),"",I181-F181)</f>
        <v/>
      </c>
    </row>
    <row r="182" customFormat="false" ht="15" hidden="false" customHeight="true" outlineLevel="0" collapsed="false">
      <c r="A182" s="37" t="s">
        <v>669</v>
      </c>
      <c r="B182" s="35"/>
      <c r="C182" s="35"/>
      <c r="D182" s="35"/>
      <c r="E182" s="35"/>
      <c r="F182" s="41"/>
      <c r="G182" s="41"/>
      <c r="H182" s="41"/>
      <c r="I182" s="41"/>
      <c r="J182" s="35"/>
      <c r="K182" s="37" t="str">
        <f aca="false">IF(F182="","",IF(I182&lt;&gt;"","נסגרה",IF(H182&lt;&gt;"","נענתה",IF(G182&lt;&gt;"","אושרה קבלה","נפתחה"))))</f>
        <v/>
      </c>
      <c r="L182" s="42" t="str">
        <f aca="false">IF(OR(F182="",G182=""),"",G182-F182)</f>
        <v/>
      </c>
      <c r="M182" s="42" t="str">
        <f aca="false">IF(OR(F182="",H182=""),"",H182-F182)</f>
        <v/>
      </c>
      <c r="N182" s="42" t="str">
        <f aca="false">IF(OR(F182="",I182=""),"",I182-F182)</f>
        <v/>
      </c>
    </row>
    <row r="183" customFormat="false" ht="15" hidden="false" customHeight="true" outlineLevel="0" collapsed="false">
      <c r="A183" s="37" t="s">
        <v>670</v>
      </c>
      <c r="B183" s="35"/>
      <c r="C183" s="35"/>
      <c r="D183" s="35"/>
      <c r="E183" s="35"/>
      <c r="F183" s="41"/>
      <c r="G183" s="41"/>
      <c r="H183" s="41"/>
      <c r="I183" s="41"/>
      <c r="J183" s="35"/>
      <c r="K183" s="37" t="str">
        <f aca="false">IF(F183="","",IF(I183&lt;&gt;"","נסגרה",IF(H183&lt;&gt;"","נענתה",IF(G183&lt;&gt;"","אושרה קבלה","נפתחה"))))</f>
        <v/>
      </c>
      <c r="L183" s="42" t="str">
        <f aca="false">IF(OR(F183="",G183=""),"",G183-F183)</f>
        <v/>
      </c>
      <c r="M183" s="42" t="str">
        <f aca="false">IF(OR(F183="",H183=""),"",H183-F183)</f>
        <v/>
      </c>
      <c r="N183" s="42" t="str">
        <f aca="false">IF(OR(F183="",I183=""),"",I183-F183)</f>
        <v/>
      </c>
    </row>
    <row r="184" customFormat="false" ht="15" hidden="false" customHeight="true" outlineLevel="0" collapsed="false">
      <c r="A184" s="37" t="s">
        <v>671</v>
      </c>
      <c r="B184" s="35"/>
      <c r="C184" s="35"/>
      <c r="D184" s="35"/>
      <c r="E184" s="35"/>
      <c r="F184" s="41"/>
      <c r="G184" s="41"/>
      <c r="H184" s="41"/>
      <c r="I184" s="41"/>
      <c r="J184" s="35"/>
      <c r="K184" s="37" t="str">
        <f aca="false">IF(F184="","",IF(I184&lt;&gt;"","נסגרה",IF(H184&lt;&gt;"","נענתה",IF(G184&lt;&gt;"","אושרה קבלה","נפתחה"))))</f>
        <v/>
      </c>
      <c r="L184" s="42" t="str">
        <f aca="false">IF(OR(F184="",G184=""),"",G184-F184)</f>
        <v/>
      </c>
      <c r="M184" s="42" t="str">
        <f aca="false">IF(OR(F184="",H184=""),"",H184-F184)</f>
        <v/>
      </c>
      <c r="N184" s="42" t="str">
        <f aca="false">IF(OR(F184="",I184=""),"",I184-F184)</f>
        <v/>
      </c>
    </row>
    <row r="185" customFormat="false" ht="15" hidden="false" customHeight="true" outlineLevel="0" collapsed="false">
      <c r="A185" s="37" t="s">
        <v>672</v>
      </c>
      <c r="B185" s="35"/>
      <c r="C185" s="35"/>
      <c r="D185" s="35"/>
      <c r="E185" s="35"/>
      <c r="F185" s="41"/>
      <c r="G185" s="41"/>
      <c r="H185" s="41"/>
      <c r="I185" s="41"/>
      <c r="J185" s="35"/>
      <c r="K185" s="37" t="str">
        <f aca="false">IF(F185="","",IF(I185&lt;&gt;"","נסגרה",IF(H185&lt;&gt;"","נענתה",IF(G185&lt;&gt;"","אושרה קבלה","נפתחה"))))</f>
        <v/>
      </c>
      <c r="L185" s="42" t="str">
        <f aca="false">IF(OR(F185="",G185=""),"",G185-F185)</f>
        <v/>
      </c>
      <c r="M185" s="42" t="str">
        <f aca="false">IF(OR(F185="",H185=""),"",H185-F185)</f>
        <v/>
      </c>
      <c r="N185" s="42" t="str">
        <f aca="false">IF(OR(F185="",I185=""),"",I185-F185)</f>
        <v/>
      </c>
    </row>
    <row r="186" customFormat="false" ht="15" hidden="false" customHeight="true" outlineLevel="0" collapsed="false">
      <c r="A186" s="37" t="s">
        <v>673</v>
      </c>
      <c r="B186" s="35"/>
      <c r="C186" s="35"/>
      <c r="D186" s="35"/>
      <c r="E186" s="35"/>
      <c r="F186" s="41"/>
      <c r="G186" s="41"/>
      <c r="H186" s="41"/>
      <c r="I186" s="41"/>
      <c r="J186" s="35"/>
      <c r="K186" s="37" t="str">
        <f aca="false">IF(F186="","",IF(I186&lt;&gt;"","נסגרה",IF(H186&lt;&gt;"","נענתה",IF(G186&lt;&gt;"","אושרה קבלה","נפתחה"))))</f>
        <v/>
      </c>
      <c r="L186" s="42" t="str">
        <f aca="false">IF(OR(F186="",G186=""),"",G186-F186)</f>
        <v/>
      </c>
      <c r="M186" s="42" t="str">
        <f aca="false">IF(OR(F186="",H186=""),"",H186-F186)</f>
        <v/>
      </c>
      <c r="N186" s="42" t="str">
        <f aca="false">IF(OR(F186="",I186=""),"",I186-F186)</f>
        <v/>
      </c>
    </row>
    <row r="187" customFormat="false" ht="15" hidden="false" customHeight="true" outlineLevel="0" collapsed="false">
      <c r="A187" s="37" t="s">
        <v>674</v>
      </c>
      <c r="B187" s="35"/>
      <c r="C187" s="35"/>
      <c r="D187" s="35"/>
      <c r="E187" s="35"/>
      <c r="F187" s="41"/>
      <c r="G187" s="41"/>
      <c r="H187" s="41"/>
      <c r="I187" s="41"/>
      <c r="J187" s="35"/>
      <c r="K187" s="37" t="str">
        <f aca="false">IF(F187="","",IF(I187&lt;&gt;"","נסגרה",IF(H187&lt;&gt;"","נענתה",IF(G187&lt;&gt;"","אושרה קבלה","נפתחה"))))</f>
        <v/>
      </c>
      <c r="L187" s="42" t="str">
        <f aca="false">IF(OR(F187="",G187=""),"",G187-F187)</f>
        <v/>
      </c>
      <c r="M187" s="42" t="str">
        <f aca="false">IF(OR(F187="",H187=""),"",H187-F187)</f>
        <v/>
      </c>
      <c r="N187" s="42" t="str">
        <f aca="false">IF(OR(F187="",I187=""),"",I187-F187)</f>
        <v/>
      </c>
    </row>
    <row r="188" customFormat="false" ht="15" hidden="false" customHeight="true" outlineLevel="0" collapsed="false">
      <c r="A188" s="37" t="s">
        <v>675</v>
      </c>
      <c r="B188" s="35"/>
      <c r="C188" s="35"/>
      <c r="D188" s="35"/>
      <c r="E188" s="35"/>
      <c r="F188" s="41"/>
      <c r="G188" s="41"/>
      <c r="H188" s="41"/>
      <c r="I188" s="41"/>
      <c r="J188" s="35"/>
      <c r="K188" s="37" t="str">
        <f aca="false">IF(F188="","",IF(I188&lt;&gt;"","נסגרה",IF(H188&lt;&gt;"","נענתה",IF(G188&lt;&gt;"","אושרה קבלה","נפתחה"))))</f>
        <v/>
      </c>
      <c r="L188" s="42" t="str">
        <f aca="false">IF(OR(F188="",G188=""),"",G188-F188)</f>
        <v/>
      </c>
      <c r="M188" s="42" t="str">
        <f aca="false">IF(OR(F188="",H188=""),"",H188-F188)</f>
        <v/>
      </c>
      <c r="N188" s="42" t="str">
        <f aca="false">IF(OR(F188="",I188=""),"",I188-F188)</f>
        <v/>
      </c>
    </row>
    <row r="189" customFormat="false" ht="15" hidden="false" customHeight="true" outlineLevel="0" collapsed="false">
      <c r="A189" s="37" t="s">
        <v>676</v>
      </c>
      <c r="B189" s="35"/>
      <c r="C189" s="35"/>
      <c r="D189" s="35"/>
      <c r="E189" s="35"/>
      <c r="F189" s="41"/>
      <c r="G189" s="41"/>
      <c r="H189" s="41"/>
      <c r="I189" s="41"/>
      <c r="J189" s="35"/>
      <c r="K189" s="37" t="str">
        <f aca="false">IF(F189="","",IF(I189&lt;&gt;"","נסגרה",IF(H189&lt;&gt;"","נענתה",IF(G189&lt;&gt;"","אושרה קבלה","נפתחה"))))</f>
        <v/>
      </c>
      <c r="L189" s="42" t="str">
        <f aca="false">IF(OR(F189="",G189=""),"",G189-F189)</f>
        <v/>
      </c>
      <c r="M189" s="42" t="str">
        <f aca="false">IF(OR(F189="",H189=""),"",H189-F189)</f>
        <v/>
      </c>
      <c r="N189" s="42" t="str">
        <f aca="false">IF(OR(F189="",I189=""),"",I189-F189)</f>
        <v/>
      </c>
    </row>
    <row r="190" customFormat="false" ht="15" hidden="false" customHeight="true" outlineLevel="0" collapsed="false">
      <c r="A190" s="37" t="s">
        <v>677</v>
      </c>
      <c r="B190" s="35"/>
      <c r="C190" s="35"/>
      <c r="D190" s="35"/>
      <c r="E190" s="35"/>
      <c r="F190" s="41"/>
      <c r="G190" s="41"/>
      <c r="H190" s="41"/>
      <c r="I190" s="41"/>
      <c r="J190" s="35"/>
      <c r="K190" s="37" t="str">
        <f aca="false">IF(F190="","",IF(I190&lt;&gt;"","נסגרה",IF(H190&lt;&gt;"","נענתה",IF(G190&lt;&gt;"","אושרה קבלה","נפתחה"))))</f>
        <v/>
      </c>
      <c r="L190" s="42" t="str">
        <f aca="false">IF(OR(F190="",G190=""),"",G190-F190)</f>
        <v/>
      </c>
      <c r="M190" s="42" t="str">
        <f aca="false">IF(OR(F190="",H190=""),"",H190-F190)</f>
        <v/>
      </c>
      <c r="N190" s="42" t="str">
        <f aca="false">IF(OR(F190="",I190=""),"",I190-F190)</f>
        <v/>
      </c>
    </row>
    <row r="191" customFormat="false" ht="15" hidden="false" customHeight="true" outlineLevel="0" collapsed="false">
      <c r="A191" s="37" t="s">
        <v>678</v>
      </c>
      <c r="B191" s="35"/>
      <c r="C191" s="35"/>
      <c r="D191" s="35"/>
      <c r="E191" s="35"/>
      <c r="F191" s="41"/>
      <c r="G191" s="41"/>
      <c r="H191" s="41"/>
      <c r="I191" s="41"/>
      <c r="J191" s="35"/>
      <c r="K191" s="37" t="str">
        <f aca="false">IF(F191="","",IF(I191&lt;&gt;"","נסגרה",IF(H191&lt;&gt;"","נענתה",IF(G191&lt;&gt;"","אושרה קבלה","נפתחה"))))</f>
        <v/>
      </c>
      <c r="L191" s="42" t="str">
        <f aca="false">IF(OR(F191="",G191=""),"",G191-F191)</f>
        <v/>
      </c>
      <c r="M191" s="42" t="str">
        <f aca="false">IF(OR(F191="",H191=""),"",H191-F191)</f>
        <v/>
      </c>
      <c r="N191" s="42" t="str">
        <f aca="false">IF(OR(F191="",I191=""),"",I191-F191)</f>
        <v/>
      </c>
    </row>
    <row r="192" customFormat="false" ht="15" hidden="false" customHeight="true" outlineLevel="0" collapsed="false">
      <c r="A192" s="37" t="s">
        <v>679</v>
      </c>
      <c r="B192" s="35"/>
      <c r="C192" s="35"/>
      <c r="D192" s="35"/>
      <c r="E192" s="35"/>
      <c r="F192" s="41"/>
      <c r="G192" s="41"/>
      <c r="H192" s="41"/>
      <c r="I192" s="41"/>
      <c r="J192" s="35"/>
      <c r="K192" s="37" t="str">
        <f aca="false">IF(F192="","",IF(I192&lt;&gt;"","נסגרה",IF(H192&lt;&gt;"","נענתה",IF(G192&lt;&gt;"","אושרה קבלה","נפתחה"))))</f>
        <v/>
      </c>
      <c r="L192" s="42" t="str">
        <f aca="false">IF(OR(F192="",G192=""),"",G192-F192)</f>
        <v/>
      </c>
      <c r="M192" s="42" t="str">
        <f aca="false">IF(OR(F192="",H192=""),"",H192-F192)</f>
        <v/>
      </c>
      <c r="N192" s="42" t="str">
        <f aca="false">IF(OR(F192="",I192=""),"",I192-F192)</f>
        <v/>
      </c>
    </row>
    <row r="193" customFormat="false" ht="15" hidden="false" customHeight="true" outlineLevel="0" collapsed="false">
      <c r="A193" s="37" t="s">
        <v>680</v>
      </c>
      <c r="B193" s="35"/>
      <c r="C193" s="35"/>
      <c r="D193" s="35"/>
      <c r="E193" s="35"/>
      <c r="F193" s="41"/>
      <c r="G193" s="41"/>
      <c r="H193" s="41"/>
      <c r="I193" s="41"/>
      <c r="J193" s="35"/>
      <c r="K193" s="37" t="str">
        <f aca="false">IF(F193="","",IF(I193&lt;&gt;"","נסגרה",IF(H193&lt;&gt;"","נענתה",IF(G193&lt;&gt;"","אושרה קבלה","נפתחה"))))</f>
        <v/>
      </c>
      <c r="L193" s="42" t="str">
        <f aca="false">IF(OR(F193="",G193=""),"",G193-F193)</f>
        <v/>
      </c>
      <c r="M193" s="42" t="str">
        <f aca="false">IF(OR(F193="",H193=""),"",H193-F193)</f>
        <v/>
      </c>
      <c r="N193" s="42" t="str">
        <f aca="false">IF(OR(F193="",I193=""),"",I193-F193)</f>
        <v/>
      </c>
    </row>
    <row r="194" customFormat="false" ht="15" hidden="false" customHeight="true" outlineLevel="0" collapsed="false">
      <c r="A194" s="37" t="s">
        <v>681</v>
      </c>
      <c r="B194" s="35"/>
      <c r="C194" s="35"/>
      <c r="D194" s="35"/>
      <c r="E194" s="35"/>
      <c r="F194" s="41"/>
      <c r="G194" s="41"/>
      <c r="H194" s="41"/>
      <c r="I194" s="41"/>
      <c r="J194" s="35"/>
      <c r="K194" s="37" t="str">
        <f aca="false">IF(F194="","",IF(I194&lt;&gt;"","נסגרה",IF(H194&lt;&gt;"","נענתה",IF(G194&lt;&gt;"","אושרה קבלה","נפתחה"))))</f>
        <v/>
      </c>
      <c r="L194" s="42" t="str">
        <f aca="false">IF(OR(F194="",G194=""),"",G194-F194)</f>
        <v/>
      </c>
      <c r="M194" s="42" t="str">
        <f aca="false">IF(OR(F194="",H194=""),"",H194-F194)</f>
        <v/>
      </c>
      <c r="N194" s="42" t="str">
        <f aca="false">IF(OR(F194="",I194=""),"",I194-F194)</f>
        <v/>
      </c>
    </row>
    <row r="195" customFormat="false" ht="15" hidden="false" customHeight="true" outlineLevel="0" collapsed="false">
      <c r="A195" s="37" t="s">
        <v>682</v>
      </c>
      <c r="B195" s="35"/>
      <c r="C195" s="35"/>
      <c r="D195" s="35"/>
      <c r="E195" s="35"/>
      <c r="F195" s="41"/>
      <c r="G195" s="41"/>
      <c r="H195" s="41"/>
      <c r="I195" s="41"/>
      <c r="J195" s="35"/>
      <c r="K195" s="37" t="str">
        <f aca="false">IF(F195="","",IF(I195&lt;&gt;"","נסגרה",IF(H195&lt;&gt;"","נענתה",IF(G195&lt;&gt;"","אושרה קבלה","נפתחה"))))</f>
        <v/>
      </c>
      <c r="L195" s="42" t="str">
        <f aca="false">IF(OR(F195="",G195=""),"",G195-F195)</f>
        <v/>
      </c>
      <c r="M195" s="42" t="str">
        <f aca="false">IF(OR(F195="",H195=""),"",H195-F195)</f>
        <v/>
      </c>
      <c r="N195" s="42" t="str">
        <f aca="false">IF(OR(F195="",I195=""),"",I195-F195)</f>
        <v/>
      </c>
    </row>
    <row r="196" customFormat="false" ht="15" hidden="false" customHeight="true" outlineLevel="0" collapsed="false">
      <c r="A196" s="37" t="s">
        <v>683</v>
      </c>
      <c r="B196" s="35"/>
      <c r="C196" s="35"/>
      <c r="D196" s="35"/>
      <c r="E196" s="35"/>
      <c r="F196" s="41"/>
      <c r="G196" s="41"/>
      <c r="H196" s="41"/>
      <c r="I196" s="41"/>
      <c r="J196" s="35"/>
      <c r="K196" s="37" t="str">
        <f aca="false">IF(F196="","",IF(I196&lt;&gt;"","נסגרה",IF(H196&lt;&gt;"","נענתה",IF(G196&lt;&gt;"","אושרה קבלה","נפתחה"))))</f>
        <v/>
      </c>
      <c r="L196" s="42" t="str">
        <f aca="false">IF(OR(F196="",G196=""),"",G196-F196)</f>
        <v/>
      </c>
      <c r="M196" s="42" t="str">
        <f aca="false">IF(OR(F196="",H196=""),"",H196-F196)</f>
        <v/>
      </c>
      <c r="N196" s="42" t="str">
        <f aca="false">IF(OR(F196="",I196=""),"",I196-F196)</f>
        <v/>
      </c>
    </row>
    <row r="197" customFormat="false" ht="15" hidden="false" customHeight="true" outlineLevel="0" collapsed="false">
      <c r="A197" s="37" t="s">
        <v>684</v>
      </c>
      <c r="B197" s="35"/>
      <c r="C197" s="35"/>
      <c r="D197" s="35"/>
      <c r="E197" s="35"/>
      <c r="F197" s="41"/>
      <c r="G197" s="41"/>
      <c r="H197" s="41"/>
      <c r="I197" s="41"/>
      <c r="J197" s="35"/>
      <c r="K197" s="37" t="str">
        <f aca="false">IF(F197="","",IF(I197&lt;&gt;"","נסגרה",IF(H197&lt;&gt;"","נענתה",IF(G197&lt;&gt;"","אושרה קבלה","נפתחה"))))</f>
        <v/>
      </c>
      <c r="L197" s="42" t="str">
        <f aca="false">IF(OR(F197="",G197=""),"",G197-F197)</f>
        <v/>
      </c>
      <c r="M197" s="42" t="str">
        <f aca="false">IF(OR(F197="",H197=""),"",H197-F197)</f>
        <v/>
      </c>
      <c r="N197" s="42" t="str">
        <f aca="false">IF(OR(F197="",I197=""),"",I197-F197)</f>
        <v/>
      </c>
    </row>
    <row r="198" customFormat="false" ht="15" hidden="false" customHeight="true" outlineLevel="0" collapsed="false">
      <c r="A198" s="37" t="s">
        <v>685</v>
      </c>
      <c r="B198" s="35"/>
      <c r="C198" s="35"/>
      <c r="D198" s="35"/>
      <c r="E198" s="35"/>
      <c r="F198" s="41"/>
      <c r="G198" s="41"/>
      <c r="H198" s="41"/>
      <c r="I198" s="41"/>
      <c r="J198" s="35"/>
      <c r="K198" s="37" t="str">
        <f aca="false">IF(F198="","",IF(I198&lt;&gt;"","נסגרה",IF(H198&lt;&gt;"","נענתה",IF(G198&lt;&gt;"","אושרה קבלה","נפתחה"))))</f>
        <v/>
      </c>
      <c r="L198" s="42" t="str">
        <f aca="false">IF(OR(F198="",G198=""),"",G198-F198)</f>
        <v/>
      </c>
      <c r="M198" s="42" t="str">
        <f aca="false">IF(OR(F198="",H198=""),"",H198-F198)</f>
        <v/>
      </c>
      <c r="N198" s="42" t="str">
        <f aca="false">IF(OR(F198="",I198=""),"",I198-F198)</f>
        <v/>
      </c>
    </row>
    <row r="199" customFormat="false" ht="15" hidden="false" customHeight="true" outlineLevel="0" collapsed="false">
      <c r="A199" s="37" t="s">
        <v>686</v>
      </c>
      <c r="B199" s="35"/>
      <c r="C199" s="35"/>
      <c r="D199" s="35"/>
      <c r="E199" s="35"/>
      <c r="F199" s="41"/>
      <c r="G199" s="41"/>
      <c r="H199" s="41"/>
      <c r="I199" s="41"/>
      <c r="J199" s="35"/>
      <c r="K199" s="37" t="str">
        <f aca="false">IF(F199="","",IF(I199&lt;&gt;"","נסגרה",IF(H199&lt;&gt;"","נענתה",IF(G199&lt;&gt;"","אושרה קבלה","נפתחה"))))</f>
        <v/>
      </c>
      <c r="L199" s="42" t="str">
        <f aca="false">IF(OR(F199="",G199=""),"",G199-F199)</f>
        <v/>
      </c>
      <c r="M199" s="42" t="str">
        <f aca="false">IF(OR(F199="",H199=""),"",H199-F199)</f>
        <v/>
      </c>
      <c r="N199" s="42" t="str">
        <f aca="false">IF(OR(F199="",I199=""),"",I199-F199)</f>
        <v/>
      </c>
    </row>
    <row r="200" customFormat="false" ht="15" hidden="false" customHeight="true" outlineLevel="0" collapsed="false">
      <c r="A200" s="37" t="s">
        <v>687</v>
      </c>
      <c r="B200" s="35"/>
      <c r="C200" s="35"/>
      <c r="D200" s="35"/>
      <c r="E200" s="35"/>
      <c r="F200" s="41"/>
      <c r="G200" s="41"/>
      <c r="H200" s="41"/>
      <c r="I200" s="41"/>
      <c r="J200" s="35"/>
      <c r="K200" s="37" t="str">
        <f aca="false">IF(F200="","",IF(I200&lt;&gt;"","נסגרה",IF(H200&lt;&gt;"","נענתה",IF(G200&lt;&gt;"","אושרה קבלה","נפתחה"))))</f>
        <v/>
      </c>
      <c r="L200" s="42" t="str">
        <f aca="false">IF(OR(F200="",G200=""),"",G200-F200)</f>
        <v/>
      </c>
      <c r="M200" s="42" t="str">
        <f aca="false">IF(OR(F200="",H200=""),"",H200-F200)</f>
        <v/>
      </c>
      <c r="N200" s="42" t="str">
        <f aca="false">IF(OR(F200="",I200=""),"",I200-F200)</f>
        <v/>
      </c>
    </row>
    <row r="201" customFormat="false" ht="15" hidden="false" customHeight="true" outlineLevel="0" collapsed="false">
      <c r="A201" s="37" t="s">
        <v>688</v>
      </c>
      <c r="B201" s="35"/>
      <c r="C201" s="35"/>
      <c r="D201" s="35"/>
      <c r="E201" s="35"/>
      <c r="F201" s="41"/>
      <c r="G201" s="41"/>
      <c r="H201" s="41"/>
      <c r="I201" s="41"/>
      <c r="J201" s="35"/>
      <c r="K201" s="37" t="str">
        <f aca="false">IF(F201="","",IF(I201&lt;&gt;"","נסגרה",IF(H201&lt;&gt;"","נענתה",IF(G201&lt;&gt;"","אושרה קבלה","נפתחה"))))</f>
        <v/>
      </c>
      <c r="L201" s="42" t="str">
        <f aca="false">IF(OR(F201="",G201=""),"",G201-F201)</f>
        <v/>
      </c>
      <c r="M201" s="42" t="str">
        <f aca="false">IF(OR(F201="",H201=""),"",H201-F201)</f>
        <v/>
      </c>
      <c r="N201" s="42" t="str">
        <f aca="false">IF(OR(F201="",I201=""),"",I201-F201)</f>
        <v/>
      </c>
    </row>
    <row r="202" customFormat="false" ht="15" hidden="false" customHeight="true" outlineLevel="0" collapsed="false">
      <c r="A202" s="37" t="s">
        <v>689</v>
      </c>
      <c r="B202" s="35"/>
      <c r="C202" s="35"/>
      <c r="D202" s="35"/>
      <c r="E202" s="35"/>
      <c r="F202" s="41"/>
      <c r="G202" s="41"/>
      <c r="H202" s="41"/>
      <c r="I202" s="41"/>
      <c r="J202" s="35"/>
      <c r="K202" s="37" t="str">
        <f aca="false">IF(F202="","",IF(I202&lt;&gt;"","נסגרה",IF(H202&lt;&gt;"","נענתה",IF(G202&lt;&gt;"","אושרה קבלה","נפתחה"))))</f>
        <v/>
      </c>
      <c r="L202" s="42" t="str">
        <f aca="false">IF(OR(F202="",G202=""),"",G202-F202)</f>
        <v/>
      </c>
      <c r="M202" s="42" t="str">
        <f aca="false">IF(OR(F202="",H202=""),"",H202-F202)</f>
        <v/>
      </c>
      <c r="N202" s="42" t="str">
        <f aca="false">IF(OR(F202="",I202=""),"",I202-F202)</f>
        <v/>
      </c>
    </row>
    <row r="203" customFormat="false" ht="15" hidden="false" customHeight="true" outlineLevel="0" collapsed="false">
      <c r="A203" s="37" t="s">
        <v>690</v>
      </c>
      <c r="B203" s="35"/>
      <c r="C203" s="35"/>
      <c r="D203" s="35"/>
      <c r="E203" s="35"/>
      <c r="F203" s="41"/>
      <c r="G203" s="41"/>
      <c r="H203" s="41"/>
      <c r="I203" s="41"/>
      <c r="J203" s="35"/>
      <c r="K203" s="37" t="str">
        <f aca="false">IF(F203="","",IF(I203&lt;&gt;"","נסגרה",IF(H203&lt;&gt;"","נענתה",IF(G203&lt;&gt;"","אושרה קבלה","נפתחה"))))</f>
        <v/>
      </c>
      <c r="L203" s="42" t="str">
        <f aca="false">IF(OR(F203="",G203=""),"",G203-F203)</f>
        <v/>
      </c>
      <c r="M203" s="42" t="str">
        <f aca="false">IF(OR(F203="",H203=""),"",H203-F203)</f>
        <v/>
      </c>
      <c r="N203" s="42" t="str">
        <f aca="false">IF(OR(F203="",I203=""),"",I203-F203)</f>
        <v/>
      </c>
    </row>
    <row r="204" customFormat="false" ht="15" hidden="false" customHeight="true" outlineLevel="0" collapsed="false">
      <c r="A204" s="37" t="s">
        <v>691</v>
      </c>
      <c r="B204" s="35"/>
      <c r="C204" s="35"/>
      <c r="D204" s="35"/>
      <c r="E204" s="35"/>
      <c r="F204" s="41"/>
      <c r="G204" s="41"/>
      <c r="H204" s="41"/>
      <c r="I204" s="41"/>
      <c r="J204" s="35"/>
      <c r="K204" s="37" t="str">
        <f aca="false">IF(F204="","",IF(I204&lt;&gt;"","נסגרה",IF(H204&lt;&gt;"","נענתה",IF(G204&lt;&gt;"","אושרה קבלה","נפתחה"))))</f>
        <v/>
      </c>
      <c r="L204" s="42" t="str">
        <f aca="false">IF(OR(F204="",G204=""),"",G204-F204)</f>
        <v/>
      </c>
      <c r="M204" s="42" t="str">
        <f aca="false">IF(OR(F204="",H204=""),"",H204-F204)</f>
        <v/>
      </c>
      <c r="N204" s="42" t="str">
        <f aca="false">IF(OR(F204="",I204=""),"",I204-F204)</f>
        <v/>
      </c>
    </row>
    <row r="205" customFormat="false" ht="15" hidden="false" customHeight="true" outlineLevel="0" collapsed="false">
      <c r="A205" s="37" t="s">
        <v>692</v>
      </c>
      <c r="B205" s="35"/>
      <c r="C205" s="35"/>
      <c r="D205" s="35"/>
      <c r="E205" s="35"/>
      <c r="F205" s="41"/>
      <c r="G205" s="41"/>
      <c r="H205" s="41"/>
      <c r="I205" s="41"/>
      <c r="J205" s="35"/>
      <c r="K205" s="37" t="str">
        <f aca="false">IF(F205="","",IF(I205&lt;&gt;"","נסגרה",IF(H205&lt;&gt;"","נענתה",IF(G205&lt;&gt;"","אושרה קבלה","נפתחה"))))</f>
        <v/>
      </c>
      <c r="L205" s="42" t="str">
        <f aca="false">IF(OR(F205="",G205=""),"",G205-F205)</f>
        <v/>
      </c>
      <c r="M205" s="42" t="str">
        <f aca="false">IF(OR(F205="",H205=""),"",H205-F205)</f>
        <v/>
      </c>
      <c r="N205" s="42" t="str">
        <f aca="false">IF(OR(F205="",I205=""),"",I205-F205)</f>
        <v/>
      </c>
    </row>
    <row r="206" customFormat="false" ht="15" hidden="false" customHeight="true" outlineLevel="0" collapsed="false">
      <c r="A206" s="37" t="s">
        <v>693</v>
      </c>
      <c r="B206" s="35"/>
      <c r="C206" s="35"/>
      <c r="D206" s="35"/>
      <c r="E206" s="35"/>
      <c r="F206" s="41"/>
      <c r="G206" s="41"/>
      <c r="H206" s="41"/>
      <c r="I206" s="41"/>
      <c r="J206" s="35"/>
      <c r="K206" s="37" t="str">
        <f aca="false">IF(F206="","",IF(I206&lt;&gt;"","נסגרה",IF(H206&lt;&gt;"","נענתה",IF(G206&lt;&gt;"","אושרה קבלה","נפתחה"))))</f>
        <v/>
      </c>
      <c r="L206" s="42" t="str">
        <f aca="false">IF(OR(F206="",G206=""),"",G206-F206)</f>
        <v/>
      </c>
      <c r="M206" s="42" t="str">
        <f aca="false">IF(OR(F206="",H206=""),"",H206-F206)</f>
        <v/>
      </c>
      <c r="N206" s="42" t="str">
        <f aca="false">IF(OR(F206="",I206=""),"",I206-F206)</f>
        <v/>
      </c>
    </row>
    <row r="207" customFormat="false" ht="15" hidden="false" customHeight="true" outlineLevel="0" collapsed="false">
      <c r="A207" s="37" t="s">
        <v>694</v>
      </c>
      <c r="B207" s="35"/>
      <c r="C207" s="35"/>
      <c r="D207" s="35"/>
      <c r="E207" s="35"/>
      <c r="F207" s="41"/>
      <c r="G207" s="41"/>
      <c r="H207" s="41"/>
      <c r="I207" s="41"/>
      <c r="J207" s="35"/>
      <c r="K207" s="37" t="str">
        <f aca="false">IF(F207="","",IF(I207&lt;&gt;"","נסגרה",IF(H207&lt;&gt;"","נענתה",IF(G207&lt;&gt;"","אושרה קבלה","נפתחה"))))</f>
        <v/>
      </c>
      <c r="L207" s="42" t="str">
        <f aca="false">IF(OR(F207="",G207=""),"",G207-F207)</f>
        <v/>
      </c>
      <c r="M207" s="42" t="str">
        <f aca="false">IF(OR(F207="",H207=""),"",H207-F207)</f>
        <v/>
      </c>
      <c r="N207" s="42" t="str">
        <f aca="false">IF(OR(F207="",I207=""),"",I207-F207)</f>
        <v/>
      </c>
    </row>
    <row r="208" customFormat="false" ht="15" hidden="false" customHeight="true" outlineLevel="0" collapsed="false">
      <c r="A208" s="37" t="s">
        <v>695</v>
      </c>
      <c r="B208" s="35"/>
      <c r="C208" s="35"/>
      <c r="D208" s="35"/>
      <c r="E208" s="35"/>
      <c r="F208" s="41"/>
      <c r="G208" s="41"/>
      <c r="H208" s="41"/>
      <c r="I208" s="41"/>
      <c r="J208" s="35"/>
      <c r="K208" s="37" t="str">
        <f aca="false">IF(F208="","",IF(I208&lt;&gt;"","נסגרה",IF(H208&lt;&gt;"","נענתה",IF(G208&lt;&gt;"","אושרה קבלה","נפתחה"))))</f>
        <v/>
      </c>
      <c r="L208" s="42" t="str">
        <f aca="false">IF(OR(F208="",G208=""),"",G208-F208)</f>
        <v/>
      </c>
      <c r="M208" s="42" t="str">
        <f aca="false">IF(OR(F208="",H208=""),"",H208-F208)</f>
        <v/>
      </c>
      <c r="N208" s="42" t="str">
        <f aca="false">IF(OR(F208="",I208=""),"",I208-F208)</f>
        <v/>
      </c>
    </row>
    <row r="209" customFormat="false" ht="15" hidden="false" customHeight="true" outlineLevel="0" collapsed="false">
      <c r="A209" s="37" t="s">
        <v>696</v>
      </c>
      <c r="B209" s="35"/>
      <c r="C209" s="35"/>
      <c r="D209" s="35"/>
      <c r="E209" s="35"/>
      <c r="F209" s="41"/>
      <c r="G209" s="41"/>
      <c r="H209" s="41"/>
      <c r="I209" s="41"/>
      <c r="J209" s="35"/>
      <c r="K209" s="37" t="str">
        <f aca="false">IF(F209="","",IF(I209&lt;&gt;"","נסגרה",IF(H209&lt;&gt;"","נענתה",IF(G209&lt;&gt;"","אושרה קבלה","נפתחה"))))</f>
        <v/>
      </c>
      <c r="L209" s="42" t="str">
        <f aca="false">IF(OR(F209="",G209=""),"",G209-F209)</f>
        <v/>
      </c>
      <c r="M209" s="42" t="str">
        <f aca="false">IF(OR(F209="",H209=""),"",H209-F209)</f>
        <v/>
      </c>
      <c r="N209" s="42" t="str">
        <f aca="false">IF(OR(F209="",I209=""),"",I209-F209)</f>
        <v/>
      </c>
    </row>
    <row r="210" customFormat="false" ht="15" hidden="false" customHeight="true" outlineLevel="0" collapsed="false">
      <c r="A210" s="37" t="s">
        <v>697</v>
      </c>
      <c r="B210" s="35"/>
      <c r="C210" s="35"/>
      <c r="D210" s="35"/>
      <c r="E210" s="35"/>
      <c r="F210" s="41"/>
      <c r="G210" s="41"/>
      <c r="H210" s="41"/>
      <c r="I210" s="41"/>
      <c r="J210" s="35"/>
      <c r="K210" s="37" t="str">
        <f aca="false">IF(F210="","",IF(I210&lt;&gt;"","נסגרה",IF(H210&lt;&gt;"","נענתה",IF(G210&lt;&gt;"","אושרה קבלה","נפתחה"))))</f>
        <v/>
      </c>
      <c r="L210" s="42" t="str">
        <f aca="false">IF(OR(F210="",G210=""),"",G210-F210)</f>
        <v/>
      </c>
      <c r="M210" s="42" t="str">
        <f aca="false">IF(OR(F210="",H210=""),"",H210-F210)</f>
        <v/>
      </c>
      <c r="N210" s="42" t="str">
        <f aca="false">IF(OR(F210="",I210=""),"",I210-F210)</f>
        <v/>
      </c>
    </row>
    <row r="211" customFormat="false" ht="15" hidden="false" customHeight="true" outlineLevel="0" collapsed="false">
      <c r="A211" s="37" t="s">
        <v>698</v>
      </c>
      <c r="B211" s="35"/>
      <c r="C211" s="35"/>
      <c r="D211" s="35"/>
      <c r="E211" s="35"/>
      <c r="F211" s="41"/>
      <c r="G211" s="41"/>
      <c r="H211" s="41"/>
      <c r="I211" s="41"/>
      <c r="J211" s="35"/>
      <c r="K211" s="37" t="str">
        <f aca="false">IF(F211="","",IF(I211&lt;&gt;"","נסגרה",IF(H211&lt;&gt;"","נענתה",IF(G211&lt;&gt;"","אושרה קבלה","נפתחה"))))</f>
        <v/>
      </c>
      <c r="L211" s="42" t="str">
        <f aca="false">IF(OR(F211="",G211=""),"",G211-F211)</f>
        <v/>
      </c>
      <c r="M211" s="42" t="str">
        <f aca="false">IF(OR(F211="",H211=""),"",H211-F211)</f>
        <v/>
      </c>
      <c r="N211" s="42" t="str">
        <f aca="false">IF(OR(F211="",I211=""),"",I211-F211)</f>
        <v/>
      </c>
    </row>
    <row r="212" customFormat="false" ht="15" hidden="false" customHeight="true" outlineLevel="0" collapsed="false">
      <c r="A212" s="37" t="s">
        <v>699</v>
      </c>
      <c r="B212" s="35"/>
      <c r="C212" s="35"/>
      <c r="D212" s="35"/>
      <c r="E212" s="35"/>
      <c r="F212" s="41"/>
      <c r="G212" s="41"/>
      <c r="H212" s="41"/>
      <c r="I212" s="41"/>
      <c r="J212" s="35"/>
      <c r="K212" s="37" t="str">
        <f aca="false">IF(F212="","",IF(I212&lt;&gt;"","נסגרה",IF(H212&lt;&gt;"","נענתה",IF(G212&lt;&gt;"","אושרה קבלה","נפתחה"))))</f>
        <v/>
      </c>
      <c r="L212" s="42" t="str">
        <f aca="false">IF(OR(F212="",G212=""),"",G212-F212)</f>
        <v/>
      </c>
      <c r="M212" s="42" t="str">
        <f aca="false">IF(OR(F212="",H212=""),"",H212-F212)</f>
        <v/>
      </c>
      <c r="N212" s="42" t="str">
        <f aca="false">IF(OR(F212="",I212=""),"",I212-F212)</f>
        <v/>
      </c>
    </row>
    <row r="213" customFormat="false" ht="15" hidden="false" customHeight="true" outlineLevel="0" collapsed="false">
      <c r="A213" s="37" t="s">
        <v>700</v>
      </c>
      <c r="B213" s="35"/>
      <c r="C213" s="35"/>
      <c r="D213" s="35"/>
      <c r="E213" s="35"/>
      <c r="F213" s="41"/>
      <c r="G213" s="41"/>
      <c r="H213" s="41"/>
      <c r="I213" s="41"/>
      <c r="J213" s="35"/>
      <c r="K213" s="37" t="str">
        <f aca="false">IF(F213="","",IF(I213&lt;&gt;"","נסגרה",IF(H213&lt;&gt;"","נענתה",IF(G213&lt;&gt;"","אושרה קבלה","נפתחה"))))</f>
        <v/>
      </c>
      <c r="L213" s="42" t="str">
        <f aca="false">IF(OR(F213="",G213=""),"",G213-F213)</f>
        <v/>
      </c>
      <c r="M213" s="42" t="str">
        <f aca="false">IF(OR(F213="",H213=""),"",H213-F213)</f>
        <v/>
      </c>
      <c r="N213" s="42" t="str">
        <f aca="false">IF(OR(F213="",I213=""),"",I213-F213)</f>
        <v/>
      </c>
    </row>
    <row r="214" customFormat="false" ht="15" hidden="false" customHeight="true" outlineLevel="0" collapsed="false">
      <c r="A214" s="37" t="s">
        <v>701</v>
      </c>
      <c r="B214" s="35"/>
      <c r="C214" s="35"/>
      <c r="D214" s="35"/>
      <c r="E214" s="35"/>
      <c r="F214" s="41"/>
      <c r="G214" s="41"/>
      <c r="H214" s="41"/>
      <c r="I214" s="41"/>
      <c r="J214" s="35"/>
      <c r="K214" s="37" t="str">
        <f aca="false">IF(F214="","",IF(I214&lt;&gt;"","נסגרה",IF(H214&lt;&gt;"","נענתה",IF(G214&lt;&gt;"","אושרה קבלה","נפתחה"))))</f>
        <v/>
      </c>
      <c r="L214" s="42" t="str">
        <f aca="false">IF(OR(F214="",G214=""),"",G214-F214)</f>
        <v/>
      </c>
      <c r="M214" s="42" t="str">
        <f aca="false">IF(OR(F214="",H214=""),"",H214-F214)</f>
        <v/>
      </c>
      <c r="N214" s="42" t="str">
        <f aca="false">IF(OR(F214="",I214=""),"",I214-F214)</f>
        <v/>
      </c>
    </row>
    <row r="215" customFormat="false" ht="15" hidden="false" customHeight="true" outlineLevel="0" collapsed="false">
      <c r="A215" s="37" t="s">
        <v>702</v>
      </c>
      <c r="B215" s="35"/>
      <c r="C215" s="35"/>
      <c r="D215" s="35"/>
      <c r="E215" s="35"/>
      <c r="F215" s="41"/>
      <c r="G215" s="41"/>
      <c r="H215" s="41"/>
      <c r="I215" s="41"/>
      <c r="J215" s="35"/>
      <c r="K215" s="37" t="str">
        <f aca="false">IF(F215="","",IF(I215&lt;&gt;"","נסגרה",IF(H215&lt;&gt;"","נענתה",IF(G215&lt;&gt;"","אושרה קבלה","נפתחה"))))</f>
        <v/>
      </c>
      <c r="L215" s="42" t="str">
        <f aca="false">IF(OR(F215="",G215=""),"",G215-F215)</f>
        <v/>
      </c>
      <c r="M215" s="42" t="str">
        <f aca="false">IF(OR(F215="",H215=""),"",H215-F215)</f>
        <v/>
      </c>
      <c r="N215" s="42" t="str">
        <f aca="false">IF(OR(F215="",I215=""),"",I215-F215)</f>
        <v/>
      </c>
    </row>
    <row r="216" customFormat="false" ht="15" hidden="false" customHeight="true" outlineLevel="0" collapsed="false">
      <c r="A216" s="37" t="s">
        <v>703</v>
      </c>
      <c r="B216" s="35"/>
      <c r="C216" s="35"/>
      <c r="D216" s="35"/>
      <c r="E216" s="35"/>
      <c r="F216" s="41"/>
      <c r="G216" s="41"/>
      <c r="H216" s="41"/>
      <c r="I216" s="41"/>
      <c r="J216" s="35"/>
      <c r="K216" s="37" t="str">
        <f aca="false">IF(F216="","",IF(I216&lt;&gt;"","נסגרה",IF(H216&lt;&gt;"","נענתה",IF(G216&lt;&gt;"","אושרה קבלה","נפתחה"))))</f>
        <v/>
      </c>
      <c r="L216" s="42" t="str">
        <f aca="false">IF(OR(F216="",G216=""),"",G216-F216)</f>
        <v/>
      </c>
      <c r="M216" s="42" t="str">
        <f aca="false">IF(OR(F216="",H216=""),"",H216-F216)</f>
        <v/>
      </c>
      <c r="N216" s="42" t="str">
        <f aca="false">IF(OR(F216="",I216=""),"",I216-F216)</f>
        <v/>
      </c>
    </row>
    <row r="217" customFormat="false" ht="15" hidden="false" customHeight="true" outlineLevel="0" collapsed="false">
      <c r="A217" s="37" t="s">
        <v>704</v>
      </c>
      <c r="B217" s="35"/>
      <c r="C217" s="35"/>
      <c r="D217" s="35"/>
      <c r="E217" s="35"/>
      <c r="F217" s="41"/>
      <c r="G217" s="41"/>
      <c r="H217" s="41"/>
      <c r="I217" s="41"/>
      <c r="J217" s="35"/>
      <c r="K217" s="37" t="str">
        <f aca="false">IF(F217="","",IF(I217&lt;&gt;"","נסגרה",IF(H217&lt;&gt;"","נענתה",IF(G217&lt;&gt;"","אושרה קבלה","נפתחה"))))</f>
        <v/>
      </c>
      <c r="L217" s="42" t="str">
        <f aca="false">IF(OR(F217="",G217=""),"",G217-F217)</f>
        <v/>
      </c>
      <c r="M217" s="42" t="str">
        <f aca="false">IF(OR(F217="",H217=""),"",H217-F217)</f>
        <v/>
      </c>
      <c r="N217" s="42" t="str">
        <f aca="false">IF(OR(F217="",I217=""),"",I217-F217)</f>
        <v/>
      </c>
    </row>
    <row r="218" customFormat="false" ht="15" hidden="false" customHeight="true" outlineLevel="0" collapsed="false">
      <c r="A218" s="37" t="s">
        <v>705</v>
      </c>
      <c r="B218" s="35"/>
      <c r="C218" s="35"/>
      <c r="D218" s="35"/>
      <c r="E218" s="35"/>
      <c r="F218" s="41"/>
      <c r="G218" s="41"/>
      <c r="H218" s="41"/>
      <c r="I218" s="41"/>
      <c r="J218" s="35"/>
      <c r="K218" s="37" t="str">
        <f aca="false">IF(F218="","",IF(I218&lt;&gt;"","נסגרה",IF(H218&lt;&gt;"","נענתה",IF(G218&lt;&gt;"","אושרה קבלה","נפתחה"))))</f>
        <v/>
      </c>
      <c r="L218" s="42" t="str">
        <f aca="false">IF(OR(F218="",G218=""),"",G218-F218)</f>
        <v/>
      </c>
      <c r="M218" s="42" t="str">
        <f aca="false">IF(OR(F218="",H218=""),"",H218-F218)</f>
        <v/>
      </c>
      <c r="N218" s="42" t="str">
        <f aca="false">IF(OR(F218="",I218=""),"",I218-F218)</f>
        <v/>
      </c>
    </row>
    <row r="219" customFormat="false" ht="15" hidden="false" customHeight="true" outlineLevel="0" collapsed="false">
      <c r="A219" s="37" t="s">
        <v>706</v>
      </c>
      <c r="B219" s="35"/>
      <c r="C219" s="35"/>
      <c r="D219" s="35"/>
      <c r="E219" s="35"/>
      <c r="F219" s="41"/>
      <c r="G219" s="41"/>
      <c r="H219" s="41"/>
      <c r="I219" s="41"/>
      <c r="J219" s="35"/>
      <c r="K219" s="37" t="str">
        <f aca="false">IF(F219="","",IF(I219&lt;&gt;"","נסגרה",IF(H219&lt;&gt;"","נענתה",IF(G219&lt;&gt;"","אושרה קבלה","נפתחה"))))</f>
        <v/>
      </c>
      <c r="L219" s="42" t="str">
        <f aca="false">IF(OR(F219="",G219=""),"",G219-F219)</f>
        <v/>
      </c>
      <c r="M219" s="42" t="str">
        <f aca="false">IF(OR(F219="",H219=""),"",H219-F219)</f>
        <v/>
      </c>
      <c r="N219" s="42" t="str">
        <f aca="false">IF(OR(F219="",I219=""),"",I219-F219)</f>
        <v/>
      </c>
    </row>
    <row r="220" customFormat="false" ht="15" hidden="false" customHeight="true" outlineLevel="0" collapsed="false">
      <c r="A220" s="37" t="s">
        <v>707</v>
      </c>
      <c r="B220" s="35"/>
      <c r="C220" s="35"/>
      <c r="D220" s="35"/>
      <c r="E220" s="35"/>
      <c r="F220" s="41"/>
      <c r="G220" s="41"/>
      <c r="H220" s="41"/>
      <c r="I220" s="41"/>
      <c r="J220" s="35"/>
      <c r="K220" s="37" t="str">
        <f aca="false">IF(F220="","",IF(I220&lt;&gt;"","נסגרה",IF(H220&lt;&gt;"","נענתה",IF(G220&lt;&gt;"","אושרה קבלה","נפתחה"))))</f>
        <v/>
      </c>
      <c r="L220" s="42" t="str">
        <f aca="false">IF(OR(F220="",G220=""),"",G220-F220)</f>
        <v/>
      </c>
      <c r="M220" s="42" t="str">
        <f aca="false">IF(OR(F220="",H220=""),"",H220-F220)</f>
        <v/>
      </c>
      <c r="N220" s="42" t="str">
        <f aca="false">IF(OR(F220="",I220=""),"",I220-F220)</f>
        <v/>
      </c>
    </row>
    <row r="221" customFormat="false" ht="15" hidden="false" customHeight="true" outlineLevel="0" collapsed="false">
      <c r="A221" s="37" t="s">
        <v>708</v>
      </c>
      <c r="B221" s="35"/>
      <c r="C221" s="35"/>
      <c r="D221" s="35"/>
      <c r="E221" s="35"/>
      <c r="F221" s="41"/>
      <c r="G221" s="41"/>
      <c r="H221" s="41"/>
      <c r="I221" s="41"/>
      <c r="J221" s="35"/>
      <c r="K221" s="37" t="str">
        <f aca="false">IF(F221="","",IF(I221&lt;&gt;"","נסגרה",IF(H221&lt;&gt;"","נענתה",IF(G221&lt;&gt;"","אושרה קבלה","נפתחה"))))</f>
        <v/>
      </c>
      <c r="L221" s="42" t="str">
        <f aca="false">IF(OR(F221="",G221=""),"",G221-F221)</f>
        <v/>
      </c>
      <c r="M221" s="42" t="str">
        <f aca="false">IF(OR(F221="",H221=""),"",H221-F221)</f>
        <v/>
      </c>
      <c r="N221" s="42" t="str">
        <f aca="false">IF(OR(F221="",I221=""),"",I221-F221)</f>
        <v/>
      </c>
    </row>
    <row r="222" customFormat="false" ht="15" hidden="false" customHeight="true" outlineLevel="0" collapsed="false">
      <c r="A222" s="37" t="s">
        <v>709</v>
      </c>
      <c r="B222" s="35"/>
      <c r="C222" s="35"/>
      <c r="D222" s="35"/>
      <c r="E222" s="35"/>
      <c r="F222" s="41"/>
      <c r="G222" s="41"/>
      <c r="H222" s="41"/>
      <c r="I222" s="41"/>
      <c r="J222" s="35"/>
      <c r="K222" s="37" t="str">
        <f aca="false">IF(F222="","",IF(I222&lt;&gt;"","נסגרה",IF(H222&lt;&gt;"","נענתה",IF(G222&lt;&gt;"","אושרה קבלה","נפתחה"))))</f>
        <v/>
      </c>
      <c r="L222" s="42" t="str">
        <f aca="false">IF(OR(F222="",G222=""),"",G222-F222)</f>
        <v/>
      </c>
      <c r="M222" s="42" t="str">
        <f aca="false">IF(OR(F222="",H222=""),"",H222-F222)</f>
        <v/>
      </c>
      <c r="N222" s="42" t="str">
        <f aca="false">IF(OR(F222="",I222=""),"",I222-F222)</f>
        <v/>
      </c>
    </row>
    <row r="223" customFormat="false" ht="15" hidden="false" customHeight="true" outlineLevel="0" collapsed="false">
      <c r="A223" s="37" t="s">
        <v>710</v>
      </c>
      <c r="B223" s="35"/>
      <c r="C223" s="35"/>
      <c r="D223" s="35"/>
      <c r="E223" s="35"/>
      <c r="F223" s="41"/>
      <c r="G223" s="41"/>
      <c r="H223" s="41"/>
      <c r="I223" s="41"/>
      <c r="J223" s="35"/>
      <c r="K223" s="37" t="str">
        <f aca="false">IF(F223="","",IF(I223&lt;&gt;"","נסגרה",IF(H223&lt;&gt;"","נענתה",IF(G223&lt;&gt;"","אושרה קבלה","נפתחה"))))</f>
        <v/>
      </c>
      <c r="L223" s="42" t="str">
        <f aca="false">IF(OR(F223="",G223=""),"",G223-F223)</f>
        <v/>
      </c>
      <c r="M223" s="42" t="str">
        <f aca="false">IF(OR(F223="",H223=""),"",H223-F223)</f>
        <v/>
      </c>
      <c r="N223" s="42" t="str">
        <f aca="false">IF(OR(F223="",I223=""),"",I223-F223)</f>
        <v/>
      </c>
    </row>
    <row r="224" customFormat="false" ht="15" hidden="false" customHeight="true" outlineLevel="0" collapsed="false">
      <c r="A224" s="37" t="s">
        <v>711</v>
      </c>
      <c r="B224" s="35"/>
      <c r="C224" s="35"/>
      <c r="D224" s="35"/>
      <c r="E224" s="35"/>
      <c r="F224" s="41"/>
      <c r="G224" s="41"/>
      <c r="H224" s="41"/>
      <c r="I224" s="41"/>
      <c r="J224" s="35"/>
      <c r="K224" s="37" t="str">
        <f aca="false">IF(F224="","",IF(I224&lt;&gt;"","נסגרה",IF(H224&lt;&gt;"","נענתה",IF(G224&lt;&gt;"","אושרה קבלה","נפתחה"))))</f>
        <v/>
      </c>
      <c r="L224" s="42" t="str">
        <f aca="false">IF(OR(F224="",G224=""),"",G224-F224)</f>
        <v/>
      </c>
      <c r="M224" s="42" t="str">
        <f aca="false">IF(OR(F224="",H224=""),"",H224-F224)</f>
        <v/>
      </c>
      <c r="N224" s="42" t="str">
        <f aca="false">IF(OR(F224="",I224=""),"",I224-F224)</f>
        <v/>
      </c>
    </row>
    <row r="225" customFormat="false" ht="15" hidden="false" customHeight="true" outlineLevel="0" collapsed="false">
      <c r="A225" s="37" t="s">
        <v>712</v>
      </c>
      <c r="B225" s="35"/>
      <c r="C225" s="35"/>
      <c r="D225" s="35"/>
      <c r="E225" s="35"/>
      <c r="F225" s="41"/>
      <c r="G225" s="41"/>
      <c r="H225" s="41"/>
      <c r="I225" s="41"/>
      <c r="J225" s="35"/>
      <c r="K225" s="37" t="str">
        <f aca="false">IF(F225="","",IF(I225&lt;&gt;"","נסגרה",IF(H225&lt;&gt;"","נענתה",IF(G225&lt;&gt;"","אושרה קבלה","נפתחה"))))</f>
        <v/>
      </c>
      <c r="L225" s="42" t="str">
        <f aca="false">IF(OR(F225="",G225=""),"",G225-F225)</f>
        <v/>
      </c>
      <c r="M225" s="42" t="str">
        <f aca="false">IF(OR(F225="",H225=""),"",H225-F225)</f>
        <v/>
      </c>
      <c r="N225" s="42" t="str">
        <f aca="false">IF(OR(F225="",I225=""),"",I225-F225)</f>
        <v/>
      </c>
    </row>
    <row r="226" customFormat="false" ht="15" hidden="false" customHeight="true" outlineLevel="0" collapsed="false">
      <c r="A226" s="37" t="s">
        <v>713</v>
      </c>
      <c r="B226" s="35"/>
      <c r="C226" s="35"/>
      <c r="D226" s="35"/>
      <c r="E226" s="35"/>
      <c r="F226" s="41"/>
      <c r="G226" s="41"/>
      <c r="H226" s="41"/>
      <c r="I226" s="41"/>
      <c r="J226" s="35"/>
      <c r="K226" s="37" t="str">
        <f aca="false">IF(F226="","",IF(I226&lt;&gt;"","נסגרה",IF(H226&lt;&gt;"","נענתה",IF(G226&lt;&gt;"","אושרה קבלה","נפתחה"))))</f>
        <v/>
      </c>
      <c r="L226" s="42" t="str">
        <f aca="false">IF(OR(F226="",G226=""),"",G226-F226)</f>
        <v/>
      </c>
      <c r="M226" s="42" t="str">
        <f aca="false">IF(OR(F226="",H226=""),"",H226-F226)</f>
        <v/>
      </c>
      <c r="N226" s="42" t="str">
        <f aca="false">IF(OR(F226="",I226=""),"",I226-F226)</f>
        <v/>
      </c>
    </row>
    <row r="227" customFormat="false" ht="15" hidden="false" customHeight="true" outlineLevel="0" collapsed="false">
      <c r="A227" s="37" t="s">
        <v>714</v>
      </c>
      <c r="B227" s="35"/>
      <c r="C227" s="35"/>
      <c r="D227" s="35"/>
      <c r="E227" s="35"/>
      <c r="F227" s="41"/>
      <c r="G227" s="41"/>
      <c r="H227" s="41"/>
      <c r="I227" s="41"/>
      <c r="J227" s="35"/>
      <c r="K227" s="37" t="str">
        <f aca="false">IF(F227="","",IF(I227&lt;&gt;"","נסגרה",IF(H227&lt;&gt;"","נענתה",IF(G227&lt;&gt;"","אושרה קבלה","נפתחה"))))</f>
        <v/>
      </c>
      <c r="L227" s="42" t="str">
        <f aca="false">IF(OR(F227="",G227=""),"",G227-F227)</f>
        <v/>
      </c>
      <c r="M227" s="42" t="str">
        <f aca="false">IF(OR(F227="",H227=""),"",H227-F227)</f>
        <v/>
      </c>
      <c r="N227" s="42" t="str">
        <f aca="false">IF(OR(F227="",I227=""),"",I227-F227)</f>
        <v/>
      </c>
    </row>
    <row r="228" customFormat="false" ht="15" hidden="false" customHeight="true" outlineLevel="0" collapsed="false">
      <c r="A228" s="37" t="s">
        <v>715</v>
      </c>
      <c r="B228" s="35"/>
      <c r="C228" s="35"/>
      <c r="D228" s="35"/>
      <c r="E228" s="35"/>
      <c r="F228" s="41"/>
      <c r="G228" s="41"/>
      <c r="H228" s="41"/>
      <c r="I228" s="41"/>
      <c r="J228" s="35"/>
      <c r="K228" s="37" t="str">
        <f aca="false">IF(F228="","",IF(I228&lt;&gt;"","נסגרה",IF(H228&lt;&gt;"","נענתה",IF(G228&lt;&gt;"","אושרה קבלה","נפתחה"))))</f>
        <v/>
      </c>
      <c r="L228" s="42" t="str">
        <f aca="false">IF(OR(F228="",G228=""),"",G228-F228)</f>
        <v/>
      </c>
      <c r="M228" s="42" t="str">
        <f aca="false">IF(OR(F228="",H228=""),"",H228-F228)</f>
        <v/>
      </c>
      <c r="N228" s="42" t="str">
        <f aca="false">IF(OR(F228="",I228=""),"",I228-F228)</f>
        <v/>
      </c>
    </row>
    <row r="229" customFormat="false" ht="15" hidden="false" customHeight="true" outlineLevel="0" collapsed="false">
      <c r="A229" s="37" t="s">
        <v>716</v>
      </c>
      <c r="B229" s="35"/>
      <c r="C229" s="35"/>
      <c r="D229" s="35"/>
      <c r="E229" s="35"/>
      <c r="F229" s="41"/>
      <c r="G229" s="41"/>
      <c r="H229" s="41"/>
      <c r="I229" s="41"/>
      <c r="J229" s="35"/>
      <c r="K229" s="37" t="str">
        <f aca="false">IF(F229="","",IF(I229&lt;&gt;"","נסגרה",IF(H229&lt;&gt;"","נענתה",IF(G229&lt;&gt;"","אושרה קבלה","נפתחה"))))</f>
        <v/>
      </c>
      <c r="L229" s="42" t="str">
        <f aca="false">IF(OR(F229="",G229=""),"",G229-F229)</f>
        <v/>
      </c>
      <c r="M229" s="42" t="str">
        <f aca="false">IF(OR(F229="",H229=""),"",H229-F229)</f>
        <v/>
      </c>
      <c r="N229" s="42" t="str">
        <f aca="false">IF(OR(F229="",I229=""),"",I229-F229)</f>
        <v/>
      </c>
    </row>
    <row r="230" customFormat="false" ht="15" hidden="false" customHeight="true" outlineLevel="0" collapsed="false">
      <c r="A230" s="37" t="s">
        <v>717</v>
      </c>
      <c r="B230" s="35"/>
      <c r="C230" s="35"/>
      <c r="D230" s="35"/>
      <c r="E230" s="35"/>
      <c r="F230" s="41"/>
      <c r="G230" s="41"/>
      <c r="H230" s="41"/>
      <c r="I230" s="41"/>
      <c r="J230" s="35"/>
      <c r="K230" s="37" t="str">
        <f aca="false">IF(F230="","",IF(I230&lt;&gt;"","נסגרה",IF(H230&lt;&gt;"","נענתה",IF(G230&lt;&gt;"","אושרה קבלה","נפתחה"))))</f>
        <v/>
      </c>
      <c r="L230" s="42" t="str">
        <f aca="false">IF(OR(F230="",G230=""),"",G230-F230)</f>
        <v/>
      </c>
      <c r="M230" s="42" t="str">
        <f aca="false">IF(OR(F230="",H230=""),"",H230-F230)</f>
        <v/>
      </c>
      <c r="N230" s="42" t="str">
        <f aca="false">IF(OR(F230="",I230=""),"",I230-F230)</f>
        <v/>
      </c>
    </row>
    <row r="231" customFormat="false" ht="15" hidden="false" customHeight="true" outlineLevel="0" collapsed="false">
      <c r="A231" s="37" t="s">
        <v>718</v>
      </c>
      <c r="B231" s="35"/>
      <c r="C231" s="35"/>
      <c r="D231" s="35"/>
      <c r="E231" s="35"/>
      <c r="F231" s="41"/>
      <c r="G231" s="41"/>
      <c r="H231" s="41"/>
      <c r="I231" s="41"/>
      <c r="J231" s="35"/>
      <c r="K231" s="37" t="str">
        <f aca="false">IF(F231="","",IF(I231&lt;&gt;"","נסגרה",IF(H231&lt;&gt;"","נענתה",IF(G231&lt;&gt;"","אושרה קבלה","נפתחה"))))</f>
        <v/>
      </c>
      <c r="L231" s="42" t="str">
        <f aca="false">IF(OR(F231="",G231=""),"",G231-F231)</f>
        <v/>
      </c>
      <c r="M231" s="42" t="str">
        <f aca="false">IF(OR(F231="",H231=""),"",H231-F231)</f>
        <v/>
      </c>
      <c r="N231" s="42" t="str">
        <f aca="false">IF(OR(F231="",I231=""),"",I231-F231)</f>
        <v/>
      </c>
    </row>
    <row r="232" customFormat="false" ht="15" hidden="false" customHeight="true" outlineLevel="0" collapsed="false">
      <c r="A232" s="37" t="s">
        <v>719</v>
      </c>
      <c r="B232" s="35"/>
      <c r="C232" s="35"/>
      <c r="D232" s="35"/>
      <c r="E232" s="35"/>
      <c r="F232" s="41"/>
      <c r="G232" s="41"/>
      <c r="H232" s="41"/>
      <c r="I232" s="41"/>
      <c r="J232" s="35"/>
      <c r="K232" s="37" t="str">
        <f aca="false">IF(F232="","",IF(I232&lt;&gt;"","נסגרה",IF(H232&lt;&gt;"","נענתה",IF(G232&lt;&gt;"","אושרה קבלה","נפתחה"))))</f>
        <v/>
      </c>
      <c r="L232" s="42" t="str">
        <f aca="false">IF(OR(F232="",G232=""),"",G232-F232)</f>
        <v/>
      </c>
      <c r="M232" s="42" t="str">
        <f aca="false">IF(OR(F232="",H232=""),"",H232-F232)</f>
        <v/>
      </c>
      <c r="N232" s="42" t="str">
        <f aca="false">IF(OR(F232="",I232=""),"",I232-F232)</f>
        <v/>
      </c>
    </row>
    <row r="233" customFormat="false" ht="15" hidden="false" customHeight="true" outlineLevel="0" collapsed="false">
      <c r="A233" s="37" t="s">
        <v>720</v>
      </c>
      <c r="B233" s="35"/>
      <c r="C233" s="35"/>
      <c r="D233" s="35"/>
      <c r="E233" s="35"/>
      <c r="F233" s="41"/>
      <c r="G233" s="41"/>
      <c r="H233" s="41"/>
      <c r="I233" s="41"/>
      <c r="J233" s="35"/>
      <c r="K233" s="37" t="str">
        <f aca="false">IF(F233="","",IF(I233&lt;&gt;"","נסגרה",IF(H233&lt;&gt;"","נענתה",IF(G233&lt;&gt;"","אושרה קבלה","נפתחה"))))</f>
        <v/>
      </c>
      <c r="L233" s="42" t="str">
        <f aca="false">IF(OR(F233="",G233=""),"",G233-F233)</f>
        <v/>
      </c>
      <c r="M233" s="42" t="str">
        <f aca="false">IF(OR(F233="",H233=""),"",H233-F233)</f>
        <v/>
      </c>
      <c r="N233" s="42" t="str">
        <f aca="false">IF(OR(F233="",I233=""),"",I233-F233)</f>
        <v/>
      </c>
    </row>
    <row r="234" customFormat="false" ht="15" hidden="false" customHeight="true" outlineLevel="0" collapsed="false">
      <c r="A234" s="37" t="s">
        <v>721</v>
      </c>
      <c r="B234" s="35"/>
      <c r="C234" s="35"/>
      <c r="D234" s="35"/>
      <c r="E234" s="35"/>
      <c r="F234" s="41"/>
      <c r="G234" s="41"/>
      <c r="H234" s="41"/>
      <c r="I234" s="41"/>
      <c r="J234" s="35"/>
      <c r="K234" s="37" t="str">
        <f aca="false">IF(F234="","",IF(I234&lt;&gt;"","נסגרה",IF(H234&lt;&gt;"","נענתה",IF(G234&lt;&gt;"","אושרה קבלה","נפתחה"))))</f>
        <v/>
      </c>
      <c r="L234" s="42" t="str">
        <f aca="false">IF(OR(F234="",G234=""),"",G234-F234)</f>
        <v/>
      </c>
      <c r="M234" s="42" t="str">
        <f aca="false">IF(OR(F234="",H234=""),"",H234-F234)</f>
        <v/>
      </c>
      <c r="N234" s="42" t="str">
        <f aca="false">IF(OR(F234="",I234=""),"",I234-F234)</f>
        <v/>
      </c>
    </row>
    <row r="235" customFormat="false" ht="15" hidden="false" customHeight="true" outlineLevel="0" collapsed="false">
      <c r="A235" s="37" t="s">
        <v>722</v>
      </c>
      <c r="B235" s="35"/>
      <c r="C235" s="35"/>
      <c r="D235" s="35"/>
      <c r="E235" s="35"/>
      <c r="F235" s="41"/>
      <c r="G235" s="41"/>
      <c r="H235" s="41"/>
      <c r="I235" s="41"/>
      <c r="J235" s="35"/>
      <c r="K235" s="37" t="str">
        <f aca="false">IF(F235="","",IF(I235&lt;&gt;"","נסגרה",IF(H235&lt;&gt;"","נענתה",IF(G235&lt;&gt;"","אושרה קבלה","נפתחה"))))</f>
        <v/>
      </c>
      <c r="L235" s="42" t="str">
        <f aca="false">IF(OR(F235="",G235=""),"",G235-F235)</f>
        <v/>
      </c>
      <c r="M235" s="42" t="str">
        <f aca="false">IF(OR(F235="",H235=""),"",H235-F235)</f>
        <v/>
      </c>
      <c r="N235" s="42" t="str">
        <f aca="false">IF(OR(F235="",I235=""),"",I235-F235)</f>
        <v/>
      </c>
    </row>
    <row r="236" customFormat="false" ht="15" hidden="false" customHeight="true" outlineLevel="0" collapsed="false">
      <c r="A236" s="37" t="s">
        <v>723</v>
      </c>
      <c r="B236" s="35"/>
      <c r="C236" s="35"/>
      <c r="D236" s="35"/>
      <c r="E236" s="35"/>
      <c r="F236" s="41"/>
      <c r="G236" s="41"/>
      <c r="H236" s="41"/>
      <c r="I236" s="41"/>
      <c r="J236" s="35"/>
      <c r="K236" s="37" t="str">
        <f aca="false">IF(F236="","",IF(I236&lt;&gt;"","נסגרה",IF(H236&lt;&gt;"","נענתה",IF(G236&lt;&gt;"","אושרה קבלה","נפתחה"))))</f>
        <v/>
      </c>
      <c r="L236" s="42" t="str">
        <f aca="false">IF(OR(F236="",G236=""),"",G236-F236)</f>
        <v/>
      </c>
      <c r="M236" s="42" t="str">
        <f aca="false">IF(OR(F236="",H236=""),"",H236-F236)</f>
        <v/>
      </c>
      <c r="N236" s="42" t="str">
        <f aca="false">IF(OR(F236="",I236=""),"",I236-F236)</f>
        <v/>
      </c>
    </row>
    <row r="237" customFormat="false" ht="15" hidden="false" customHeight="true" outlineLevel="0" collapsed="false">
      <c r="A237" s="37" t="s">
        <v>724</v>
      </c>
      <c r="B237" s="35"/>
      <c r="C237" s="35"/>
      <c r="D237" s="35"/>
      <c r="E237" s="35"/>
      <c r="F237" s="41"/>
      <c r="G237" s="41"/>
      <c r="H237" s="41"/>
      <c r="I237" s="41"/>
      <c r="J237" s="35"/>
      <c r="K237" s="37" t="str">
        <f aca="false">IF(F237="","",IF(I237&lt;&gt;"","נסגרה",IF(H237&lt;&gt;"","נענתה",IF(G237&lt;&gt;"","אושרה קבלה","נפתחה"))))</f>
        <v/>
      </c>
      <c r="L237" s="42" t="str">
        <f aca="false">IF(OR(F237="",G237=""),"",G237-F237)</f>
        <v/>
      </c>
      <c r="M237" s="42" t="str">
        <f aca="false">IF(OR(F237="",H237=""),"",H237-F237)</f>
        <v/>
      </c>
      <c r="N237" s="42" t="str">
        <f aca="false">IF(OR(F237="",I237=""),"",I237-F237)</f>
        <v/>
      </c>
    </row>
    <row r="238" customFormat="false" ht="15" hidden="false" customHeight="true" outlineLevel="0" collapsed="false">
      <c r="A238" s="37" t="s">
        <v>725</v>
      </c>
      <c r="B238" s="35"/>
      <c r="C238" s="35"/>
      <c r="D238" s="35"/>
      <c r="E238" s="35"/>
      <c r="F238" s="41"/>
      <c r="G238" s="41"/>
      <c r="H238" s="41"/>
      <c r="I238" s="41"/>
      <c r="J238" s="35"/>
      <c r="K238" s="37" t="str">
        <f aca="false">IF(F238="","",IF(I238&lt;&gt;"","נסגרה",IF(H238&lt;&gt;"","נענתה",IF(G238&lt;&gt;"","אושרה קבלה","נפתחה"))))</f>
        <v/>
      </c>
      <c r="L238" s="42" t="str">
        <f aca="false">IF(OR(F238="",G238=""),"",G238-F238)</f>
        <v/>
      </c>
      <c r="M238" s="42" t="str">
        <f aca="false">IF(OR(F238="",H238=""),"",H238-F238)</f>
        <v/>
      </c>
      <c r="N238" s="42" t="str">
        <f aca="false">IF(OR(F238="",I238=""),"",I238-F238)</f>
        <v/>
      </c>
    </row>
    <row r="239" customFormat="false" ht="15" hidden="false" customHeight="true" outlineLevel="0" collapsed="false">
      <c r="A239" s="37" t="s">
        <v>726</v>
      </c>
      <c r="B239" s="35"/>
      <c r="C239" s="35"/>
      <c r="D239" s="35"/>
      <c r="E239" s="35"/>
      <c r="F239" s="41"/>
      <c r="G239" s="41"/>
      <c r="H239" s="41"/>
      <c r="I239" s="41"/>
      <c r="J239" s="35"/>
      <c r="K239" s="37" t="str">
        <f aca="false">IF(F239="","",IF(I239&lt;&gt;"","נסגרה",IF(H239&lt;&gt;"","נענתה",IF(G239&lt;&gt;"","אושרה קבלה","נפתחה"))))</f>
        <v/>
      </c>
      <c r="L239" s="42" t="str">
        <f aca="false">IF(OR(F239="",G239=""),"",G239-F239)</f>
        <v/>
      </c>
      <c r="M239" s="42" t="str">
        <f aca="false">IF(OR(F239="",H239=""),"",H239-F239)</f>
        <v/>
      </c>
      <c r="N239" s="42" t="str">
        <f aca="false">IF(OR(F239="",I239=""),"",I239-F239)</f>
        <v/>
      </c>
    </row>
    <row r="240" customFormat="false" ht="15" hidden="false" customHeight="true" outlineLevel="0" collapsed="false">
      <c r="A240" s="37" t="s">
        <v>727</v>
      </c>
      <c r="B240" s="35"/>
      <c r="C240" s="35"/>
      <c r="D240" s="35"/>
      <c r="E240" s="35"/>
      <c r="F240" s="41"/>
      <c r="G240" s="41"/>
      <c r="H240" s="41"/>
      <c r="I240" s="41"/>
      <c r="J240" s="35"/>
      <c r="K240" s="37" t="str">
        <f aca="false">IF(F240="","",IF(I240&lt;&gt;"","נסגרה",IF(H240&lt;&gt;"","נענתה",IF(G240&lt;&gt;"","אושרה קבלה","נפתחה"))))</f>
        <v/>
      </c>
      <c r="L240" s="42" t="str">
        <f aca="false">IF(OR(F240="",G240=""),"",G240-F240)</f>
        <v/>
      </c>
      <c r="M240" s="42" t="str">
        <f aca="false">IF(OR(F240="",H240=""),"",H240-F240)</f>
        <v/>
      </c>
      <c r="N240" s="42" t="str">
        <f aca="false">IF(OR(F240="",I240=""),"",I240-F240)</f>
        <v/>
      </c>
    </row>
    <row r="241" customFormat="false" ht="15" hidden="false" customHeight="true" outlineLevel="0" collapsed="false">
      <c r="A241" s="37" t="s">
        <v>728</v>
      </c>
      <c r="B241" s="35"/>
      <c r="C241" s="35"/>
      <c r="D241" s="35"/>
      <c r="E241" s="35"/>
      <c r="F241" s="41"/>
      <c r="G241" s="41"/>
      <c r="H241" s="41"/>
      <c r="I241" s="41"/>
      <c r="J241" s="35"/>
      <c r="K241" s="37" t="str">
        <f aca="false">IF(F241="","",IF(I241&lt;&gt;"","נסגרה",IF(H241&lt;&gt;"","נענתה",IF(G241&lt;&gt;"","אושרה קבלה","נפתחה"))))</f>
        <v/>
      </c>
      <c r="L241" s="42" t="str">
        <f aca="false">IF(OR(F241="",G241=""),"",G241-F241)</f>
        <v/>
      </c>
      <c r="M241" s="42" t="str">
        <f aca="false">IF(OR(F241="",H241=""),"",H241-F241)</f>
        <v/>
      </c>
      <c r="N241" s="42" t="str">
        <f aca="false">IF(OR(F241="",I241=""),"",I241-F241)</f>
        <v/>
      </c>
    </row>
    <row r="242" customFormat="false" ht="15" hidden="false" customHeight="true" outlineLevel="0" collapsed="false">
      <c r="A242" s="37" t="s">
        <v>729</v>
      </c>
      <c r="B242" s="35"/>
      <c r="C242" s="35"/>
      <c r="D242" s="35"/>
      <c r="E242" s="35"/>
      <c r="F242" s="41"/>
      <c r="G242" s="41"/>
      <c r="H242" s="41"/>
      <c r="I242" s="41"/>
      <c r="J242" s="35"/>
      <c r="K242" s="37" t="str">
        <f aca="false">IF(F242="","",IF(I242&lt;&gt;"","נסגרה",IF(H242&lt;&gt;"","נענתה",IF(G242&lt;&gt;"","אושרה קבלה","נפתחה"))))</f>
        <v/>
      </c>
      <c r="L242" s="42" t="str">
        <f aca="false">IF(OR(F242="",G242=""),"",G242-F242)</f>
        <v/>
      </c>
      <c r="M242" s="42" t="str">
        <f aca="false">IF(OR(F242="",H242=""),"",H242-F242)</f>
        <v/>
      </c>
      <c r="N242" s="42" t="str">
        <f aca="false">IF(OR(F242="",I242=""),"",I242-F242)</f>
        <v/>
      </c>
    </row>
    <row r="243" customFormat="false" ht="15" hidden="false" customHeight="true" outlineLevel="0" collapsed="false">
      <c r="A243" s="37" t="s">
        <v>730</v>
      </c>
      <c r="B243" s="35"/>
      <c r="C243" s="35"/>
      <c r="D243" s="35"/>
      <c r="E243" s="35"/>
      <c r="F243" s="41"/>
      <c r="G243" s="41"/>
      <c r="H243" s="41"/>
      <c r="I243" s="41"/>
      <c r="J243" s="35"/>
      <c r="K243" s="37" t="str">
        <f aca="false">IF(F243="","",IF(I243&lt;&gt;"","נסגרה",IF(H243&lt;&gt;"","נענתה",IF(G243&lt;&gt;"","אושרה קבלה","נפתחה"))))</f>
        <v/>
      </c>
      <c r="L243" s="42" t="str">
        <f aca="false">IF(OR(F243="",G243=""),"",G243-F243)</f>
        <v/>
      </c>
      <c r="M243" s="42" t="str">
        <f aca="false">IF(OR(F243="",H243=""),"",H243-F243)</f>
        <v/>
      </c>
      <c r="N243" s="42" t="str">
        <f aca="false">IF(OR(F243="",I243=""),"",I243-F243)</f>
        <v/>
      </c>
    </row>
    <row r="244" customFormat="false" ht="15" hidden="false" customHeight="true" outlineLevel="0" collapsed="false">
      <c r="A244" s="37" t="s">
        <v>731</v>
      </c>
      <c r="B244" s="35"/>
      <c r="C244" s="35"/>
      <c r="D244" s="35"/>
      <c r="E244" s="35"/>
      <c r="F244" s="41"/>
      <c r="G244" s="41"/>
      <c r="H244" s="41"/>
      <c r="I244" s="41"/>
      <c r="J244" s="35"/>
      <c r="K244" s="37" t="str">
        <f aca="false">IF(F244="","",IF(I244&lt;&gt;"","נסגרה",IF(H244&lt;&gt;"","נענתה",IF(G244&lt;&gt;"","אושרה קבלה","נפתחה"))))</f>
        <v/>
      </c>
      <c r="L244" s="42" t="str">
        <f aca="false">IF(OR(F244="",G244=""),"",G244-F244)</f>
        <v/>
      </c>
      <c r="M244" s="42" t="str">
        <f aca="false">IF(OR(F244="",H244=""),"",H244-F244)</f>
        <v/>
      </c>
      <c r="N244" s="42" t="str">
        <f aca="false">IF(OR(F244="",I244=""),"",I244-F244)</f>
        <v/>
      </c>
    </row>
    <row r="245" customFormat="false" ht="15" hidden="false" customHeight="true" outlineLevel="0" collapsed="false">
      <c r="A245" s="37" t="s">
        <v>732</v>
      </c>
      <c r="B245" s="35"/>
      <c r="C245" s="35"/>
      <c r="D245" s="35"/>
      <c r="E245" s="35"/>
      <c r="F245" s="41"/>
      <c r="G245" s="41"/>
      <c r="H245" s="41"/>
      <c r="I245" s="41"/>
      <c r="J245" s="35"/>
      <c r="K245" s="37" t="str">
        <f aca="false">IF(F245="","",IF(I245&lt;&gt;"","נסגרה",IF(H245&lt;&gt;"","נענתה",IF(G245&lt;&gt;"","אושרה קבלה","נפתחה"))))</f>
        <v/>
      </c>
      <c r="L245" s="42" t="str">
        <f aca="false">IF(OR(F245="",G245=""),"",G245-F245)</f>
        <v/>
      </c>
      <c r="M245" s="42" t="str">
        <f aca="false">IF(OR(F245="",H245=""),"",H245-F245)</f>
        <v/>
      </c>
      <c r="N245" s="42" t="str">
        <f aca="false">IF(OR(F245="",I245=""),"",I245-F245)</f>
        <v/>
      </c>
    </row>
    <row r="246" customFormat="false" ht="15" hidden="false" customHeight="true" outlineLevel="0" collapsed="false">
      <c r="A246" s="37" t="s">
        <v>733</v>
      </c>
      <c r="B246" s="35"/>
      <c r="C246" s="35"/>
      <c r="D246" s="35"/>
      <c r="E246" s="35"/>
      <c r="F246" s="41"/>
      <c r="G246" s="41"/>
      <c r="H246" s="41"/>
      <c r="I246" s="41"/>
      <c r="J246" s="35"/>
      <c r="K246" s="37" t="str">
        <f aca="false">IF(F246="","",IF(I246&lt;&gt;"","נסגרה",IF(H246&lt;&gt;"","נענתה",IF(G246&lt;&gt;"","אושרה קבלה","נפתחה"))))</f>
        <v/>
      </c>
      <c r="L246" s="42" t="str">
        <f aca="false">IF(OR(F246="",G246=""),"",G246-F246)</f>
        <v/>
      </c>
      <c r="M246" s="42" t="str">
        <f aca="false">IF(OR(F246="",H246=""),"",H246-F246)</f>
        <v/>
      </c>
      <c r="N246" s="42" t="str">
        <f aca="false">IF(OR(F246="",I246=""),"",I246-F246)</f>
        <v/>
      </c>
    </row>
    <row r="247" customFormat="false" ht="15" hidden="false" customHeight="true" outlineLevel="0" collapsed="false">
      <c r="A247" s="37" t="s">
        <v>734</v>
      </c>
      <c r="B247" s="35"/>
      <c r="C247" s="35"/>
      <c r="D247" s="35"/>
      <c r="E247" s="35"/>
      <c r="F247" s="41"/>
      <c r="G247" s="41"/>
      <c r="H247" s="41"/>
      <c r="I247" s="41"/>
      <c r="J247" s="35"/>
      <c r="K247" s="37" t="str">
        <f aca="false">IF(F247="","",IF(I247&lt;&gt;"","נסגרה",IF(H247&lt;&gt;"","נענתה",IF(G247&lt;&gt;"","אושרה קבלה","נפתחה"))))</f>
        <v/>
      </c>
      <c r="L247" s="42" t="str">
        <f aca="false">IF(OR(F247="",G247=""),"",G247-F247)</f>
        <v/>
      </c>
      <c r="M247" s="42" t="str">
        <f aca="false">IF(OR(F247="",H247=""),"",H247-F247)</f>
        <v/>
      </c>
      <c r="N247" s="42" t="str">
        <f aca="false">IF(OR(F247="",I247=""),"",I247-F247)</f>
        <v/>
      </c>
    </row>
    <row r="248" customFormat="false" ht="15" hidden="false" customHeight="true" outlineLevel="0" collapsed="false">
      <c r="A248" s="37" t="s">
        <v>735</v>
      </c>
      <c r="B248" s="35"/>
      <c r="C248" s="35"/>
      <c r="D248" s="35"/>
      <c r="E248" s="35"/>
      <c r="F248" s="41"/>
      <c r="G248" s="41"/>
      <c r="H248" s="41"/>
      <c r="I248" s="41"/>
      <c r="J248" s="35"/>
      <c r="K248" s="37" t="str">
        <f aca="false">IF(F248="","",IF(I248&lt;&gt;"","נסגרה",IF(H248&lt;&gt;"","נענתה",IF(G248&lt;&gt;"","אושרה קבלה","נפתחה"))))</f>
        <v/>
      </c>
      <c r="L248" s="42" t="str">
        <f aca="false">IF(OR(F248="",G248=""),"",G248-F248)</f>
        <v/>
      </c>
      <c r="M248" s="42" t="str">
        <f aca="false">IF(OR(F248="",H248=""),"",H248-F248)</f>
        <v/>
      </c>
      <c r="N248" s="42" t="str">
        <f aca="false">IF(OR(F248="",I248=""),"",I248-F248)</f>
        <v/>
      </c>
    </row>
    <row r="249" customFormat="false" ht="15" hidden="false" customHeight="true" outlineLevel="0" collapsed="false">
      <c r="A249" s="37" t="s">
        <v>736</v>
      </c>
      <c r="B249" s="35"/>
      <c r="C249" s="35"/>
      <c r="D249" s="35"/>
      <c r="E249" s="35"/>
      <c r="F249" s="41"/>
      <c r="G249" s="41"/>
      <c r="H249" s="41"/>
      <c r="I249" s="41"/>
      <c r="J249" s="35"/>
      <c r="K249" s="37" t="str">
        <f aca="false">IF(F249="","",IF(I249&lt;&gt;"","נסגרה",IF(H249&lt;&gt;"","נענתה",IF(G249&lt;&gt;"","אושרה קבלה","נפתחה"))))</f>
        <v/>
      </c>
      <c r="L249" s="42" t="str">
        <f aca="false">IF(OR(F249="",G249=""),"",G249-F249)</f>
        <v/>
      </c>
      <c r="M249" s="42" t="str">
        <f aca="false">IF(OR(F249="",H249=""),"",H249-F249)</f>
        <v/>
      </c>
      <c r="N249" s="42" t="str">
        <f aca="false">IF(OR(F249="",I249=""),"",I249-F249)</f>
        <v/>
      </c>
    </row>
    <row r="250" customFormat="false" ht="15" hidden="false" customHeight="true" outlineLevel="0" collapsed="false">
      <c r="A250" s="37" t="s">
        <v>737</v>
      </c>
      <c r="B250" s="35"/>
      <c r="C250" s="35"/>
      <c r="D250" s="35"/>
      <c r="E250" s="35"/>
      <c r="F250" s="41"/>
      <c r="G250" s="41"/>
      <c r="H250" s="41"/>
      <c r="I250" s="41"/>
      <c r="J250" s="35"/>
      <c r="K250" s="37" t="str">
        <f aca="false">IF(F250="","",IF(I250&lt;&gt;"","נסגרה",IF(H250&lt;&gt;"","נענתה",IF(G250&lt;&gt;"","אושרה קבלה","נפתחה"))))</f>
        <v/>
      </c>
      <c r="L250" s="42" t="str">
        <f aca="false">IF(OR(F250="",G250=""),"",G250-F250)</f>
        <v/>
      </c>
      <c r="M250" s="42" t="str">
        <f aca="false">IF(OR(F250="",H250=""),"",H250-F250)</f>
        <v/>
      </c>
      <c r="N250" s="42" t="str">
        <f aca="false">IF(OR(F250="",I250=""),"",I250-F250)</f>
        <v/>
      </c>
    </row>
    <row r="251" customFormat="false" ht="15" hidden="false" customHeight="true" outlineLevel="0" collapsed="false">
      <c r="A251" s="37" t="s">
        <v>738</v>
      </c>
      <c r="B251" s="35"/>
      <c r="C251" s="35"/>
      <c r="D251" s="35"/>
      <c r="E251" s="35"/>
      <c r="F251" s="41"/>
      <c r="G251" s="41"/>
      <c r="H251" s="41"/>
      <c r="I251" s="41"/>
      <c r="J251" s="35"/>
      <c r="K251" s="37" t="str">
        <f aca="false">IF(F251="","",IF(I251&lt;&gt;"","נסגרה",IF(H251&lt;&gt;"","נענתה",IF(G251&lt;&gt;"","אושרה קבלה","נפתחה"))))</f>
        <v/>
      </c>
      <c r="L251" s="42" t="str">
        <f aca="false">IF(OR(F251="",G251=""),"",G251-F251)</f>
        <v/>
      </c>
      <c r="M251" s="42" t="str">
        <f aca="false">IF(OR(F251="",H251=""),"",H251-F251)</f>
        <v/>
      </c>
      <c r="N251" s="42" t="str">
        <f aca="false">IF(OR(F251="",I251=""),"",I251-F251)</f>
        <v/>
      </c>
    </row>
    <row r="252" customFormat="false" ht="15" hidden="false" customHeight="true" outlineLevel="0" collapsed="false">
      <c r="A252" s="37" t="s">
        <v>739</v>
      </c>
      <c r="B252" s="35"/>
      <c r="C252" s="35"/>
      <c r="D252" s="35"/>
      <c r="E252" s="35"/>
      <c r="F252" s="41"/>
      <c r="G252" s="41"/>
      <c r="H252" s="41"/>
      <c r="I252" s="41"/>
      <c r="J252" s="35"/>
      <c r="K252" s="37" t="str">
        <f aca="false">IF(F252="","",IF(I252&lt;&gt;"","נסגרה",IF(H252&lt;&gt;"","נענתה",IF(G252&lt;&gt;"","אושרה קבלה","נפתחה"))))</f>
        <v/>
      </c>
      <c r="L252" s="42" t="str">
        <f aca="false">IF(OR(F252="",G252=""),"",G252-F252)</f>
        <v/>
      </c>
      <c r="M252" s="42" t="str">
        <f aca="false">IF(OR(F252="",H252=""),"",H252-F252)</f>
        <v/>
      </c>
      <c r="N252" s="42" t="str">
        <f aca="false">IF(OR(F252="",I252=""),"",I252-F252)</f>
        <v/>
      </c>
    </row>
    <row r="253" customFormat="false" ht="15" hidden="false" customHeight="true" outlineLevel="0" collapsed="false">
      <c r="A253" s="37" t="s">
        <v>740</v>
      </c>
      <c r="B253" s="35"/>
      <c r="C253" s="35"/>
      <c r="D253" s="35"/>
      <c r="E253" s="35"/>
      <c r="F253" s="41"/>
      <c r="G253" s="41"/>
      <c r="H253" s="41"/>
      <c r="I253" s="41"/>
      <c r="J253" s="35"/>
      <c r="K253" s="37" t="str">
        <f aca="false">IF(F253="","",IF(I253&lt;&gt;"","נסגרה",IF(H253&lt;&gt;"","נענתה",IF(G253&lt;&gt;"","אושרה קבלה","נפתחה"))))</f>
        <v/>
      </c>
      <c r="L253" s="42" t="str">
        <f aca="false">IF(OR(F253="",G253=""),"",G253-F253)</f>
        <v/>
      </c>
      <c r="M253" s="42" t="str">
        <f aca="false">IF(OR(F253="",H253=""),"",H253-F253)</f>
        <v/>
      </c>
      <c r="N253" s="42" t="str">
        <f aca="false">IF(OR(F253="",I253=""),"",I253-F253)</f>
        <v/>
      </c>
    </row>
    <row r="254" customFormat="false" ht="15" hidden="false" customHeight="true" outlineLevel="0" collapsed="false">
      <c r="A254" s="37" t="s">
        <v>741</v>
      </c>
      <c r="B254" s="35"/>
      <c r="C254" s="35"/>
      <c r="D254" s="35"/>
      <c r="E254" s="35"/>
      <c r="F254" s="41"/>
      <c r="G254" s="41"/>
      <c r="H254" s="41"/>
      <c r="I254" s="41"/>
      <c r="J254" s="35"/>
      <c r="K254" s="37" t="str">
        <f aca="false">IF(F254="","",IF(I254&lt;&gt;"","נסגרה",IF(H254&lt;&gt;"","נענתה",IF(G254&lt;&gt;"","אושרה קבלה","נפתחה"))))</f>
        <v/>
      </c>
      <c r="L254" s="42" t="str">
        <f aca="false">IF(OR(F254="",G254=""),"",G254-F254)</f>
        <v/>
      </c>
      <c r="M254" s="42" t="str">
        <f aca="false">IF(OR(F254="",H254=""),"",H254-F254)</f>
        <v/>
      </c>
      <c r="N254" s="42" t="str">
        <f aca="false">IF(OR(F254="",I254=""),"",I254-F254)</f>
        <v/>
      </c>
    </row>
    <row r="255" customFormat="false" ht="15" hidden="false" customHeight="true" outlineLevel="0" collapsed="false">
      <c r="A255" s="37" t="s">
        <v>742</v>
      </c>
      <c r="B255" s="35"/>
      <c r="C255" s="35"/>
      <c r="D255" s="35"/>
      <c r="E255" s="35"/>
      <c r="F255" s="41"/>
      <c r="G255" s="41"/>
      <c r="H255" s="41"/>
      <c r="I255" s="41"/>
      <c r="J255" s="35"/>
      <c r="K255" s="37" t="str">
        <f aca="false">IF(F255="","",IF(I255&lt;&gt;"","נסגרה",IF(H255&lt;&gt;"","נענתה",IF(G255&lt;&gt;"","אושרה קבלה","נפתחה"))))</f>
        <v/>
      </c>
      <c r="L255" s="42" t="str">
        <f aca="false">IF(OR(F255="",G255=""),"",G255-F255)</f>
        <v/>
      </c>
      <c r="M255" s="42" t="str">
        <f aca="false">IF(OR(F255="",H255=""),"",H255-F255)</f>
        <v/>
      </c>
      <c r="N255" s="42" t="str">
        <f aca="false">IF(OR(F255="",I255=""),"",I255-F255)</f>
        <v/>
      </c>
    </row>
    <row r="256" customFormat="false" ht="15" hidden="false" customHeight="true" outlineLevel="0" collapsed="false">
      <c r="A256" s="37" t="s">
        <v>743</v>
      </c>
      <c r="B256" s="35"/>
      <c r="C256" s="35"/>
      <c r="D256" s="35"/>
      <c r="E256" s="35"/>
      <c r="F256" s="41"/>
      <c r="G256" s="41"/>
      <c r="H256" s="41"/>
      <c r="I256" s="41"/>
      <c r="J256" s="35"/>
      <c r="K256" s="37" t="str">
        <f aca="false">IF(F256="","",IF(I256&lt;&gt;"","נסגרה",IF(H256&lt;&gt;"","נענתה",IF(G256&lt;&gt;"","אושרה קבלה","נפתחה"))))</f>
        <v/>
      </c>
      <c r="L256" s="42" t="str">
        <f aca="false">IF(OR(F256="",G256=""),"",G256-F256)</f>
        <v/>
      </c>
      <c r="M256" s="42" t="str">
        <f aca="false">IF(OR(F256="",H256=""),"",H256-F256)</f>
        <v/>
      </c>
      <c r="N256" s="42" t="str">
        <f aca="false">IF(OR(F256="",I256=""),"",I256-F256)</f>
        <v/>
      </c>
    </row>
    <row r="257" customFormat="false" ht="15" hidden="false" customHeight="true" outlineLevel="0" collapsed="false">
      <c r="A257" s="37" t="s">
        <v>744</v>
      </c>
      <c r="B257" s="35"/>
      <c r="C257" s="35"/>
      <c r="D257" s="35"/>
      <c r="E257" s="35"/>
      <c r="F257" s="41"/>
      <c r="G257" s="41"/>
      <c r="H257" s="41"/>
      <c r="I257" s="41"/>
      <c r="J257" s="35"/>
      <c r="K257" s="37" t="str">
        <f aca="false">IF(F257="","",IF(I257&lt;&gt;"","נסגרה",IF(H257&lt;&gt;"","נענתה",IF(G257&lt;&gt;"","אושרה קבלה","נפתחה"))))</f>
        <v/>
      </c>
      <c r="L257" s="42" t="str">
        <f aca="false">IF(OR(F257="",G257=""),"",G257-F257)</f>
        <v/>
      </c>
      <c r="M257" s="42" t="str">
        <f aca="false">IF(OR(F257="",H257=""),"",H257-F257)</f>
        <v/>
      </c>
      <c r="N257" s="42" t="str">
        <f aca="false">IF(OR(F257="",I257=""),"",I257-F257)</f>
        <v/>
      </c>
    </row>
    <row r="258" customFormat="false" ht="15" hidden="false" customHeight="true" outlineLevel="0" collapsed="false">
      <c r="A258" s="37" t="s">
        <v>745</v>
      </c>
      <c r="B258" s="35"/>
      <c r="C258" s="35"/>
      <c r="D258" s="35"/>
      <c r="E258" s="35"/>
      <c r="F258" s="41"/>
      <c r="G258" s="41"/>
      <c r="H258" s="41"/>
      <c r="I258" s="41"/>
      <c r="J258" s="35"/>
      <c r="K258" s="37" t="str">
        <f aca="false">IF(F258="","",IF(I258&lt;&gt;"","נסגרה",IF(H258&lt;&gt;"","נענתה",IF(G258&lt;&gt;"","אושרה קבלה","נפתחה"))))</f>
        <v/>
      </c>
      <c r="L258" s="42" t="str">
        <f aca="false">IF(OR(F258="",G258=""),"",G258-F258)</f>
        <v/>
      </c>
      <c r="M258" s="42" t="str">
        <f aca="false">IF(OR(F258="",H258=""),"",H258-F258)</f>
        <v/>
      </c>
      <c r="N258" s="42" t="str">
        <f aca="false">IF(OR(F258="",I258=""),"",I258-F258)</f>
        <v/>
      </c>
    </row>
    <row r="259" customFormat="false" ht="15" hidden="false" customHeight="true" outlineLevel="0" collapsed="false">
      <c r="A259" s="37" t="s">
        <v>746</v>
      </c>
      <c r="B259" s="35"/>
      <c r="C259" s="35"/>
      <c r="D259" s="35"/>
      <c r="E259" s="35"/>
      <c r="F259" s="41"/>
      <c r="G259" s="41"/>
      <c r="H259" s="41"/>
      <c r="I259" s="41"/>
      <c r="J259" s="35"/>
      <c r="K259" s="37" t="str">
        <f aca="false">IF(F259="","",IF(I259&lt;&gt;"","נסגרה",IF(H259&lt;&gt;"","נענתה",IF(G259&lt;&gt;"","אושרה קבלה","נפתחה"))))</f>
        <v/>
      </c>
      <c r="L259" s="42" t="str">
        <f aca="false">IF(OR(F259="",G259=""),"",G259-F259)</f>
        <v/>
      </c>
      <c r="M259" s="42" t="str">
        <f aca="false">IF(OR(F259="",H259=""),"",H259-F259)</f>
        <v/>
      </c>
      <c r="N259" s="42" t="str">
        <f aca="false">IF(OR(F259="",I259=""),"",I259-F259)</f>
        <v/>
      </c>
    </row>
    <row r="260" customFormat="false" ht="15" hidden="false" customHeight="true" outlineLevel="0" collapsed="false">
      <c r="A260" s="37" t="s">
        <v>747</v>
      </c>
      <c r="B260" s="35"/>
      <c r="C260" s="35"/>
      <c r="D260" s="35"/>
      <c r="E260" s="35"/>
      <c r="F260" s="41"/>
      <c r="G260" s="41"/>
      <c r="H260" s="41"/>
      <c r="I260" s="41"/>
      <c r="J260" s="35"/>
      <c r="K260" s="37" t="str">
        <f aca="false">IF(F260="","",IF(I260&lt;&gt;"","נסגרה",IF(H260&lt;&gt;"","נענתה",IF(G260&lt;&gt;"","אושרה קבלה","נפתחה"))))</f>
        <v/>
      </c>
      <c r="L260" s="42" t="str">
        <f aca="false">IF(OR(F260="",G260=""),"",G260-F260)</f>
        <v/>
      </c>
      <c r="M260" s="42" t="str">
        <f aca="false">IF(OR(F260="",H260=""),"",H260-F260)</f>
        <v/>
      </c>
      <c r="N260" s="42" t="str">
        <f aca="false">IF(OR(F260="",I260=""),"",I260-F260)</f>
        <v/>
      </c>
    </row>
    <row r="261" customFormat="false" ht="15" hidden="false" customHeight="true" outlineLevel="0" collapsed="false">
      <c r="A261" s="37" t="s">
        <v>748</v>
      </c>
      <c r="B261" s="35"/>
      <c r="C261" s="35"/>
      <c r="D261" s="35"/>
      <c r="E261" s="35"/>
      <c r="F261" s="41"/>
      <c r="G261" s="41"/>
      <c r="H261" s="41"/>
      <c r="I261" s="41"/>
      <c r="J261" s="35"/>
      <c r="K261" s="37" t="str">
        <f aca="false">IF(F261="","",IF(I261&lt;&gt;"","נסגרה",IF(H261&lt;&gt;"","נענתה",IF(G261&lt;&gt;"","אושרה קבלה","נפתחה"))))</f>
        <v/>
      </c>
      <c r="L261" s="42" t="str">
        <f aca="false">IF(OR(F261="",G261=""),"",G261-F261)</f>
        <v/>
      </c>
      <c r="M261" s="42" t="str">
        <f aca="false">IF(OR(F261="",H261=""),"",H261-F261)</f>
        <v/>
      </c>
      <c r="N261" s="42" t="str">
        <f aca="false">IF(OR(F261="",I261=""),"",I261-F261)</f>
        <v/>
      </c>
    </row>
    <row r="262" customFormat="false" ht="15" hidden="false" customHeight="true" outlineLevel="0" collapsed="false">
      <c r="A262" s="37" t="s">
        <v>749</v>
      </c>
      <c r="B262" s="35"/>
      <c r="C262" s="35"/>
      <c r="D262" s="35"/>
      <c r="E262" s="35"/>
      <c r="F262" s="41"/>
      <c r="G262" s="41"/>
      <c r="H262" s="41"/>
      <c r="I262" s="41"/>
      <c r="J262" s="35"/>
      <c r="K262" s="37" t="str">
        <f aca="false">IF(F262="","",IF(I262&lt;&gt;"","נסגרה",IF(H262&lt;&gt;"","נענתה",IF(G262&lt;&gt;"","אושרה קבלה","נפתחה"))))</f>
        <v/>
      </c>
      <c r="L262" s="42" t="str">
        <f aca="false">IF(OR(F262="",G262=""),"",G262-F262)</f>
        <v/>
      </c>
      <c r="M262" s="42" t="str">
        <f aca="false">IF(OR(F262="",H262=""),"",H262-F262)</f>
        <v/>
      </c>
      <c r="N262" s="42" t="str">
        <f aca="false">IF(OR(F262="",I262=""),"",I262-F262)</f>
        <v/>
      </c>
    </row>
    <row r="263" customFormat="false" ht="15" hidden="false" customHeight="true" outlineLevel="0" collapsed="false">
      <c r="A263" s="37" t="s">
        <v>750</v>
      </c>
      <c r="B263" s="35"/>
      <c r="C263" s="35"/>
      <c r="D263" s="35"/>
      <c r="E263" s="35"/>
      <c r="F263" s="41"/>
      <c r="G263" s="41"/>
      <c r="H263" s="41"/>
      <c r="I263" s="41"/>
      <c r="J263" s="35"/>
      <c r="K263" s="37" t="str">
        <f aca="false">IF(F263="","",IF(I263&lt;&gt;"","נסגרה",IF(H263&lt;&gt;"","נענתה",IF(G263&lt;&gt;"","אושרה קבלה","נפתחה"))))</f>
        <v/>
      </c>
      <c r="L263" s="42" t="str">
        <f aca="false">IF(OR(F263="",G263=""),"",G263-F263)</f>
        <v/>
      </c>
      <c r="M263" s="42" t="str">
        <f aca="false">IF(OR(F263="",H263=""),"",H263-F263)</f>
        <v/>
      </c>
      <c r="N263" s="42" t="str">
        <f aca="false">IF(OR(F263="",I263=""),"",I263-F263)</f>
        <v/>
      </c>
    </row>
    <row r="264" customFormat="false" ht="15" hidden="false" customHeight="true" outlineLevel="0" collapsed="false">
      <c r="A264" s="37" t="s">
        <v>751</v>
      </c>
      <c r="B264" s="35"/>
      <c r="C264" s="35"/>
      <c r="D264" s="35"/>
      <c r="E264" s="35"/>
      <c r="F264" s="41"/>
      <c r="G264" s="41"/>
      <c r="H264" s="41"/>
      <c r="I264" s="41"/>
      <c r="J264" s="35"/>
      <c r="K264" s="37" t="str">
        <f aca="false">IF(F264="","",IF(I264&lt;&gt;"","נסגרה",IF(H264&lt;&gt;"","נענתה",IF(G264&lt;&gt;"","אושרה קבלה","נפתחה"))))</f>
        <v/>
      </c>
      <c r="L264" s="42" t="str">
        <f aca="false">IF(OR(F264="",G264=""),"",G264-F264)</f>
        <v/>
      </c>
      <c r="M264" s="42" t="str">
        <f aca="false">IF(OR(F264="",H264=""),"",H264-F264)</f>
        <v/>
      </c>
      <c r="N264" s="42" t="str">
        <f aca="false">IF(OR(F264="",I264=""),"",I264-F264)</f>
        <v/>
      </c>
    </row>
    <row r="265" customFormat="false" ht="15" hidden="false" customHeight="true" outlineLevel="0" collapsed="false">
      <c r="A265" s="37" t="s">
        <v>752</v>
      </c>
      <c r="B265" s="35"/>
      <c r="C265" s="35"/>
      <c r="D265" s="35"/>
      <c r="E265" s="35"/>
      <c r="F265" s="41"/>
      <c r="G265" s="41"/>
      <c r="H265" s="41"/>
      <c r="I265" s="41"/>
      <c r="J265" s="35"/>
      <c r="K265" s="37" t="str">
        <f aca="false">IF(F265="","",IF(I265&lt;&gt;"","נסגרה",IF(H265&lt;&gt;"","נענתה",IF(G265&lt;&gt;"","אושרה קבלה","נפתחה"))))</f>
        <v/>
      </c>
      <c r="L265" s="42" t="str">
        <f aca="false">IF(OR(F265="",G265=""),"",G265-F265)</f>
        <v/>
      </c>
      <c r="M265" s="42" t="str">
        <f aca="false">IF(OR(F265="",H265=""),"",H265-F265)</f>
        <v/>
      </c>
      <c r="N265" s="42" t="str">
        <f aca="false">IF(OR(F265="",I265=""),"",I265-F265)</f>
        <v/>
      </c>
    </row>
    <row r="266" customFormat="false" ht="15" hidden="false" customHeight="true" outlineLevel="0" collapsed="false">
      <c r="A266" s="37" t="s">
        <v>753</v>
      </c>
      <c r="B266" s="35"/>
      <c r="C266" s="35"/>
      <c r="D266" s="35"/>
      <c r="E266" s="35"/>
      <c r="F266" s="41"/>
      <c r="G266" s="41"/>
      <c r="H266" s="41"/>
      <c r="I266" s="41"/>
      <c r="J266" s="35"/>
      <c r="K266" s="37" t="str">
        <f aca="false">IF(F266="","",IF(I266&lt;&gt;"","נסגרה",IF(H266&lt;&gt;"","נענתה",IF(G266&lt;&gt;"","אושרה קבלה","נפתחה"))))</f>
        <v/>
      </c>
      <c r="L266" s="42" t="str">
        <f aca="false">IF(OR(F266="",G266=""),"",G266-F266)</f>
        <v/>
      </c>
      <c r="M266" s="42" t="str">
        <f aca="false">IF(OR(F266="",H266=""),"",H266-F266)</f>
        <v/>
      </c>
      <c r="N266" s="42" t="str">
        <f aca="false">IF(OR(F266="",I266=""),"",I266-F266)</f>
        <v/>
      </c>
    </row>
    <row r="267" customFormat="false" ht="15" hidden="false" customHeight="true" outlineLevel="0" collapsed="false">
      <c r="A267" s="37" t="s">
        <v>754</v>
      </c>
      <c r="B267" s="35"/>
      <c r="C267" s="35"/>
      <c r="D267" s="35"/>
      <c r="E267" s="35"/>
      <c r="F267" s="41"/>
      <c r="G267" s="41"/>
      <c r="H267" s="41"/>
      <c r="I267" s="41"/>
      <c r="J267" s="35"/>
      <c r="K267" s="37" t="str">
        <f aca="false">IF(F267="","",IF(I267&lt;&gt;"","נסגרה",IF(H267&lt;&gt;"","נענתה",IF(G267&lt;&gt;"","אושרה קבלה","נפתחה"))))</f>
        <v/>
      </c>
      <c r="L267" s="42" t="str">
        <f aca="false">IF(OR(F267="",G267=""),"",G267-F267)</f>
        <v/>
      </c>
      <c r="M267" s="42" t="str">
        <f aca="false">IF(OR(F267="",H267=""),"",H267-F267)</f>
        <v/>
      </c>
      <c r="N267" s="42" t="str">
        <f aca="false">IF(OR(F267="",I267=""),"",I267-F267)</f>
        <v/>
      </c>
    </row>
    <row r="268" customFormat="false" ht="15" hidden="false" customHeight="true" outlineLevel="0" collapsed="false">
      <c r="A268" s="37" t="s">
        <v>755</v>
      </c>
      <c r="B268" s="35"/>
      <c r="C268" s="35"/>
      <c r="D268" s="35"/>
      <c r="E268" s="35"/>
      <c r="F268" s="41"/>
      <c r="G268" s="41"/>
      <c r="H268" s="41"/>
      <c r="I268" s="41"/>
      <c r="J268" s="35"/>
      <c r="K268" s="37" t="str">
        <f aca="false">IF(F268="","",IF(I268&lt;&gt;"","נסגרה",IF(H268&lt;&gt;"","נענתה",IF(G268&lt;&gt;"","אושרה קבלה","נפתחה"))))</f>
        <v/>
      </c>
      <c r="L268" s="42" t="str">
        <f aca="false">IF(OR(F268="",G268=""),"",G268-F268)</f>
        <v/>
      </c>
      <c r="M268" s="42" t="str">
        <f aca="false">IF(OR(F268="",H268=""),"",H268-F268)</f>
        <v/>
      </c>
      <c r="N268" s="42" t="str">
        <f aca="false">IF(OR(F268="",I268=""),"",I268-F268)</f>
        <v/>
      </c>
    </row>
    <row r="269" customFormat="false" ht="15" hidden="false" customHeight="true" outlineLevel="0" collapsed="false">
      <c r="A269" s="37" t="s">
        <v>756</v>
      </c>
      <c r="B269" s="35"/>
      <c r="C269" s="35"/>
      <c r="D269" s="35"/>
      <c r="E269" s="35"/>
      <c r="F269" s="41"/>
      <c r="G269" s="41"/>
      <c r="H269" s="41"/>
      <c r="I269" s="41"/>
      <c r="J269" s="35"/>
      <c r="K269" s="37" t="str">
        <f aca="false">IF(F269="","",IF(I269&lt;&gt;"","נסגרה",IF(H269&lt;&gt;"","נענתה",IF(G269&lt;&gt;"","אושרה קבלה","נפתחה"))))</f>
        <v/>
      </c>
      <c r="L269" s="42" t="str">
        <f aca="false">IF(OR(F269="",G269=""),"",G269-F269)</f>
        <v/>
      </c>
      <c r="M269" s="42" t="str">
        <f aca="false">IF(OR(F269="",H269=""),"",H269-F269)</f>
        <v/>
      </c>
      <c r="N269" s="42" t="str">
        <f aca="false">IF(OR(F269="",I269=""),"",I269-F269)</f>
        <v/>
      </c>
    </row>
    <row r="270" customFormat="false" ht="15" hidden="false" customHeight="true" outlineLevel="0" collapsed="false">
      <c r="A270" s="37" t="s">
        <v>757</v>
      </c>
      <c r="B270" s="35"/>
      <c r="C270" s="35"/>
      <c r="D270" s="35"/>
      <c r="E270" s="35"/>
      <c r="F270" s="41"/>
      <c r="G270" s="41"/>
      <c r="H270" s="41"/>
      <c r="I270" s="41"/>
      <c r="J270" s="35"/>
      <c r="K270" s="37" t="str">
        <f aca="false">IF(F270="","",IF(I270&lt;&gt;"","נסגרה",IF(H270&lt;&gt;"","נענתה",IF(G270&lt;&gt;"","אושרה קבלה","נפתחה"))))</f>
        <v/>
      </c>
      <c r="L270" s="42" t="str">
        <f aca="false">IF(OR(F270="",G270=""),"",G270-F270)</f>
        <v/>
      </c>
      <c r="M270" s="42" t="str">
        <f aca="false">IF(OR(F270="",H270=""),"",H270-F270)</f>
        <v/>
      </c>
      <c r="N270" s="42" t="str">
        <f aca="false">IF(OR(F270="",I270=""),"",I270-F270)</f>
        <v/>
      </c>
    </row>
    <row r="271" customFormat="false" ht="15" hidden="false" customHeight="true" outlineLevel="0" collapsed="false">
      <c r="A271" s="37" t="s">
        <v>758</v>
      </c>
      <c r="B271" s="35"/>
      <c r="C271" s="35"/>
      <c r="D271" s="35"/>
      <c r="E271" s="35"/>
      <c r="F271" s="41"/>
      <c r="G271" s="41"/>
      <c r="H271" s="41"/>
      <c r="I271" s="41"/>
      <c r="J271" s="35"/>
      <c r="K271" s="37" t="str">
        <f aca="false">IF(F271="","",IF(I271&lt;&gt;"","נסגרה",IF(H271&lt;&gt;"","נענתה",IF(G271&lt;&gt;"","אושרה קבלה","נפתחה"))))</f>
        <v/>
      </c>
      <c r="L271" s="42" t="str">
        <f aca="false">IF(OR(F271="",G271=""),"",G271-F271)</f>
        <v/>
      </c>
      <c r="M271" s="42" t="str">
        <f aca="false">IF(OR(F271="",H271=""),"",H271-F271)</f>
        <v/>
      </c>
      <c r="N271" s="42" t="str">
        <f aca="false">IF(OR(F271="",I271=""),"",I271-F271)</f>
        <v/>
      </c>
    </row>
    <row r="272" customFormat="false" ht="15" hidden="false" customHeight="true" outlineLevel="0" collapsed="false">
      <c r="A272" s="37" t="s">
        <v>759</v>
      </c>
      <c r="B272" s="35"/>
      <c r="C272" s="35"/>
      <c r="D272" s="35"/>
      <c r="E272" s="35"/>
      <c r="F272" s="41"/>
      <c r="G272" s="41"/>
      <c r="H272" s="41"/>
      <c r="I272" s="41"/>
      <c r="J272" s="35"/>
      <c r="K272" s="37" t="str">
        <f aca="false">IF(F272="","",IF(I272&lt;&gt;"","נסגרה",IF(H272&lt;&gt;"","נענתה",IF(G272&lt;&gt;"","אושרה קבלה","נפתחה"))))</f>
        <v/>
      </c>
      <c r="L272" s="42" t="str">
        <f aca="false">IF(OR(F272="",G272=""),"",G272-F272)</f>
        <v/>
      </c>
      <c r="M272" s="42" t="str">
        <f aca="false">IF(OR(F272="",H272=""),"",H272-F272)</f>
        <v/>
      </c>
      <c r="N272" s="42" t="str">
        <f aca="false">IF(OR(F272="",I272=""),"",I272-F272)</f>
        <v/>
      </c>
    </row>
    <row r="273" customFormat="false" ht="15" hidden="false" customHeight="true" outlineLevel="0" collapsed="false">
      <c r="A273" s="37" t="s">
        <v>760</v>
      </c>
      <c r="B273" s="35"/>
      <c r="C273" s="35"/>
      <c r="D273" s="35"/>
      <c r="E273" s="35"/>
      <c r="F273" s="41"/>
      <c r="G273" s="41"/>
      <c r="H273" s="41"/>
      <c r="I273" s="41"/>
      <c r="J273" s="35"/>
      <c r="K273" s="37" t="str">
        <f aca="false">IF(F273="","",IF(I273&lt;&gt;"","נסגרה",IF(H273&lt;&gt;"","נענתה",IF(G273&lt;&gt;"","אושרה קבלה","נפתחה"))))</f>
        <v/>
      </c>
      <c r="L273" s="42" t="str">
        <f aca="false">IF(OR(F273="",G273=""),"",G273-F273)</f>
        <v/>
      </c>
      <c r="M273" s="42" t="str">
        <f aca="false">IF(OR(F273="",H273=""),"",H273-F273)</f>
        <v/>
      </c>
      <c r="N273" s="42" t="str">
        <f aca="false">IF(OR(F273="",I273=""),"",I273-F273)</f>
        <v/>
      </c>
    </row>
    <row r="274" customFormat="false" ht="15" hidden="false" customHeight="true" outlineLevel="0" collapsed="false">
      <c r="A274" s="37" t="s">
        <v>761</v>
      </c>
      <c r="B274" s="35"/>
      <c r="C274" s="35"/>
      <c r="D274" s="35"/>
      <c r="E274" s="35"/>
      <c r="F274" s="41"/>
      <c r="G274" s="41"/>
      <c r="H274" s="41"/>
      <c r="I274" s="41"/>
      <c r="J274" s="35"/>
      <c r="K274" s="37" t="str">
        <f aca="false">IF(F274="","",IF(I274&lt;&gt;"","נסגרה",IF(H274&lt;&gt;"","נענתה",IF(G274&lt;&gt;"","אושרה קבלה","נפתחה"))))</f>
        <v/>
      </c>
      <c r="L274" s="42" t="str">
        <f aca="false">IF(OR(F274="",G274=""),"",G274-F274)</f>
        <v/>
      </c>
      <c r="M274" s="42" t="str">
        <f aca="false">IF(OR(F274="",H274=""),"",H274-F274)</f>
        <v/>
      </c>
      <c r="N274" s="42" t="str">
        <f aca="false">IF(OR(F274="",I274=""),"",I274-F274)</f>
        <v/>
      </c>
    </row>
    <row r="275" customFormat="false" ht="15" hidden="false" customHeight="true" outlineLevel="0" collapsed="false">
      <c r="A275" s="37" t="s">
        <v>762</v>
      </c>
      <c r="B275" s="35"/>
      <c r="C275" s="35"/>
      <c r="D275" s="35"/>
      <c r="E275" s="35"/>
      <c r="F275" s="41"/>
      <c r="G275" s="41"/>
      <c r="H275" s="41"/>
      <c r="I275" s="41"/>
      <c r="J275" s="35"/>
      <c r="K275" s="37" t="str">
        <f aca="false">IF(F275="","",IF(I275&lt;&gt;"","נסגרה",IF(H275&lt;&gt;"","נענתה",IF(G275&lt;&gt;"","אושרה קבלה","נפתחה"))))</f>
        <v/>
      </c>
      <c r="L275" s="42" t="str">
        <f aca="false">IF(OR(F275="",G275=""),"",G275-F275)</f>
        <v/>
      </c>
      <c r="M275" s="42" t="str">
        <f aca="false">IF(OR(F275="",H275=""),"",H275-F275)</f>
        <v/>
      </c>
      <c r="N275" s="42" t="str">
        <f aca="false">IF(OR(F275="",I275=""),"",I275-F275)</f>
        <v/>
      </c>
    </row>
    <row r="276" customFormat="false" ht="15" hidden="false" customHeight="true" outlineLevel="0" collapsed="false">
      <c r="A276" s="37" t="s">
        <v>763</v>
      </c>
      <c r="B276" s="35"/>
      <c r="C276" s="35"/>
      <c r="D276" s="35"/>
      <c r="E276" s="35"/>
      <c r="F276" s="41"/>
      <c r="G276" s="41"/>
      <c r="H276" s="41"/>
      <c r="I276" s="41"/>
      <c r="J276" s="35"/>
      <c r="K276" s="37" t="str">
        <f aca="false">IF(F276="","",IF(I276&lt;&gt;"","נסגרה",IF(H276&lt;&gt;"","נענתה",IF(G276&lt;&gt;"","אושרה קבלה","נפתחה"))))</f>
        <v/>
      </c>
      <c r="L276" s="42" t="str">
        <f aca="false">IF(OR(F276="",G276=""),"",G276-F276)</f>
        <v/>
      </c>
      <c r="M276" s="42" t="str">
        <f aca="false">IF(OR(F276="",H276=""),"",H276-F276)</f>
        <v/>
      </c>
      <c r="N276" s="42" t="str">
        <f aca="false">IF(OR(F276="",I276=""),"",I276-F276)</f>
        <v/>
      </c>
    </row>
    <row r="277" customFormat="false" ht="15" hidden="false" customHeight="true" outlineLevel="0" collapsed="false">
      <c r="A277" s="37" t="s">
        <v>764</v>
      </c>
      <c r="B277" s="35"/>
      <c r="C277" s="35"/>
      <c r="D277" s="35"/>
      <c r="E277" s="35"/>
      <c r="F277" s="41"/>
      <c r="G277" s="41"/>
      <c r="H277" s="41"/>
      <c r="I277" s="41"/>
      <c r="J277" s="35"/>
      <c r="K277" s="37" t="str">
        <f aca="false">IF(F277="","",IF(I277&lt;&gt;"","נסגרה",IF(H277&lt;&gt;"","נענתה",IF(G277&lt;&gt;"","אושרה קבלה","נפתחה"))))</f>
        <v/>
      </c>
      <c r="L277" s="42" t="str">
        <f aca="false">IF(OR(F277="",G277=""),"",G277-F277)</f>
        <v/>
      </c>
      <c r="M277" s="42" t="str">
        <f aca="false">IF(OR(F277="",H277=""),"",H277-F277)</f>
        <v/>
      </c>
      <c r="N277" s="42" t="str">
        <f aca="false">IF(OR(F277="",I277=""),"",I277-F277)</f>
        <v/>
      </c>
    </row>
    <row r="278" customFormat="false" ht="15" hidden="false" customHeight="true" outlineLevel="0" collapsed="false">
      <c r="A278" s="37" t="s">
        <v>765</v>
      </c>
      <c r="B278" s="35"/>
      <c r="C278" s="35"/>
      <c r="D278" s="35"/>
      <c r="E278" s="35"/>
      <c r="F278" s="41"/>
      <c r="G278" s="41"/>
      <c r="H278" s="41"/>
      <c r="I278" s="41"/>
      <c r="J278" s="35"/>
      <c r="K278" s="37" t="str">
        <f aca="false">IF(F278="","",IF(I278&lt;&gt;"","נסגרה",IF(H278&lt;&gt;"","נענתה",IF(G278&lt;&gt;"","אושרה קבלה","נפתחה"))))</f>
        <v/>
      </c>
      <c r="L278" s="42" t="str">
        <f aca="false">IF(OR(F278="",G278=""),"",G278-F278)</f>
        <v/>
      </c>
      <c r="M278" s="42" t="str">
        <f aca="false">IF(OR(F278="",H278=""),"",H278-F278)</f>
        <v/>
      </c>
      <c r="N278" s="42" t="str">
        <f aca="false">IF(OR(F278="",I278=""),"",I278-F278)</f>
        <v/>
      </c>
    </row>
    <row r="279" customFormat="false" ht="15" hidden="false" customHeight="true" outlineLevel="0" collapsed="false">
      <c r="A279" s="37" t="s">
        <v>766</v>
      </c>
      <c r="B279" s="35"/>
      <c r="C279" s="35"/>
      <c r="D279" s="35"/>
      <c r="E279" s="35"/>
      <c r="F279" s="41"/>
      <c r="G279" s="41"/>
      <c r="H279" s="41"/>
      <c r="I279" s="41"/>
      <c r="J279" s="35"/>
      <c r="K279" s="37" t="str">
        <f aca="false">IF(F279="","",IF(I279&lt;&gt;"","נסגרה",IF(H279&lt;&gt;"","נענתה",IF(G279&lt;&gt;"","אושרה קבלה","נפתחה"))))</f>
        <v/>
      </c>
      <c r="L279" s="42" t="str">
        <f aca="false">IF(OR(F279="",G279=""),"",G279-F279)</f>
        <v/>
      </c>
      <c r="M279" s="42" t="str">
        <f aca="false">IF(OR(F279="",H279=""),"",H279-F279)</f>
        <v/>
      </c>
      <c r="N279" s="42" t="str">
        <f aca="false">IF(OR(F279="",I279=""),"",I279-F279)</f>
        <v/>
      </c>
    </row>
    <row r="280" customFormat="false" ht="15" hidden="false" customHeight="true" outlineLevel="0" collapsed="false">
      <c r="A280" s="37" t="s">
        <v>767</v>
      </c>
      <c r="B280" s="35"/>
      <c r="C280" s="35"/>
      <c r="D280" s="35"/>
      <c r="E280" s="35"/>
      <c r="F280" s="41"/>
      <c r="G280" s="41"/>
      <c r="H280" s="41"/>
      <c r="I280" s="41"/>
      <c r="J280" s="35"/>
      <c r="K280" s="37" t="str">
        <f aca="false">IF(F280="","",IF(I280&lt;&gt;"","נסגרה",IF(H280&lt;&gt;"","נענתה",IF(G280&lt;&gt;"","אושרה קבלה","נפתחה"))))</f>
        <v/>
      </c>
      <c r="L280" s="42" t="str">
        <f aca="false">IF(OR(F280="",G280=""),"",G280-F280)</f>
        <v/>
      </c>
      <c r="M280" s="42" t="str">
        <f aca="false">IF(OR(F280="",H280=""),"",H280-F280)</f>
        <v/>
      </c>
      <c r="N280" s="42" t="str">
        <f aca="false">IF(OR(F280="",I280=""),"",I280-F280)</f>
        <v/>
      </c>
    </row>
    <row r="281" customFormat="false" ht="15" hidden="false" customHeight="true" outlineLevel="0" collapsed="false">
      <c r="A281" s="37" t="s">
        <v>768</v>
      </c>
      <c r="B281" s="35"/>
      <c r="C281" s="35"/>
      <c r="D281" s="35"/>
      <c r="E281" s="35"/>
      <c r="F281" s="41"/>
      <c r="G281" s="41"/>
      <c r="H281" s="41"/>
      <c r="I281" s="41"/>
      <c r="J281" s="35"/>
      <c r="K281" s="37" t="str">
        <f aca="false">IF(F281="","",IF(I281&lt;&gt;"","נסגרה",IF(H281&lt;&gt;"","נענתה",IF(G281&lt;&gt;"","אושרה קבלה","נפתחה"))))</f>
        <v/>
      </c>
      <c r="L281" s="42" t="str">
        <f aca="false">IF(OR(F281="",G281=""),"",G281-F281)</f>
        <v/>
      </c>
      <c r="M281" s="42" t="str">
        <f aca="false">IF(OR(F281="",H281=""),"",H281-F281)</f>
        <v/>
      </c>
      <c r="N281" s="42" t="str">
        <f aca="false">IF(OR(F281="",I281=""),"",I281-F281)</f>
        <v/>
      </c>
    </row>
    <row r="282" customFormat="false" ht="15" hidden="false" customHeight="true" outlineLevel="0" collapsed="false">
      <c r="A282" s="37" t="s">
        <v>769</v>
      </c>
      <c r="B282" s="35"/>
      <c r="C282" s="35"/>
      <c r="D282" s="35"/>
      <c r="E282" s="35"/>
      <c r="F282" s="41"/>
      <c r="G282" s="41"/>
      <c r="H282" s="41"/>
      <c r="I282" s="41"/>
      <c r="J282" s="35"/>
      <c r="K282" s="37" t="str">
        <f aca="false">IF(F282="","",IF(I282&lt;&gt;"","נסגרה",IF(H282&lt;&gt;"","נענתה",IF(G282&lt;&gt;"","אושרה קבלה","נפתחה"))))</f>
        <v/>
      </c>
      <c r="L282" s="42" t="str">
        <f aca="false">IF(OR(F282="",G282=""),"",G282-F282)</f>
        <v/>
      </c>
      <c r="M282" s="42" t="str">
        <f aca="false">IF(OR(F282="",H282=""),"",H282-F282)</f>
        <v/>
      </c>
      <c r="N282" s="42" t="str">
        <f aca="false">IF(OR(F282="",I282=""),"",I282-F282)</f>
        <v/>
      </c>
    </row>
    <row r="283" customFormat="false" ht="15" hidden="false" customHeight="true" outlineLevel="0" collapsed="false">
      <c r="A283" s="37" t="s">
        <v>770</v>
      </c>
      <c r="B283" s="35"/>
      <c r="C283" s="35"/>
      <c r="D283" s="35"/>
      <c r="E283" s="35"/>
      <c r="F283" s="41"/>
      <c r="G283" s="41"/>
      <c r="H283" s="41"/>
      <c r="I283" s="41"/>
      <c r="J283" s="35"/>
      <c r="K283" s="37" t="str">
        <f aca="false">IF(F283="","",IF(I283&lt;&gt;"","נסגרה",IF(H283&lt;&gt;"","נענתה",IF(G283&lt;&gt;"","אושרה קבלה","נפתחה"))))</f>
        <v/>
      </c>
      <c r="L283" s="42" t="str">
        <f aca="false">IF(OR(F283="",G283=""),"",G283-F283)</f>
        <v/>
      </c>
      <c r="M283" s="42" t="str">
        <f aca="false">IF(OR(F283="",H283=""),"",H283-F283)</f>
        <v/>
      </c>
      <c r="N283" s="42" t="str">
        <f aca="false">IF(OR(F283="",I283=""),"",I283-F283)</f>
        <v/>
      </c>
    </row>
    <row r="284" customFormat="false" ht="15" hidden="false" customHeight="true" outlineLevel="0" collapsed="false">
      <c r="A284" s="37" t="s">
        <v>771</v>
      </c>
      <c r="B284" s="35"/>
      <c r="C284" s="35"/>
      <c r="D284" s="35"/>
      <c r="E284" s="35"/>
      <c r="F284" s="41"/>
      <c r="G284" s="41"/>
      <c r="H284" s="41"/>
      <c r="I284" s="41"/>
      <c r="J284" s="35"/>
      <c r="K284" s="37" t="str">
        <f aca="false">IF(F284="","",IF(I284&lt;&gt;"","נסגרה",IF(H284&lt;&gt;"","נענתה",IF(G284&lt;&gt;"","אושרה קבלה","נפתחה"))))</f>
        <v/>
      </c>
      <c r="L284" s="42" t="str">
        <f aca="false">IF(OR(F284="",G284=""),"",G284-F284)</f>
        <v/>
      </c>
      <c r="M284" s="42" t="str">
        <f aca="false">IF(OR(F284="",H284=""),"",H284-F284)</f>
        <v/>
      </c>
      <c r="N284" s="42" t="str">
        <f aca="false">IF(OR(F284="",I284=""),"",I284-F284)</f>
        <v/>
      </c>
    </row>
    <row r="285" customFormat="false" ht="15" hidden="false" customHeight="true" outlineLevel="0" collapsed="false">
      <c r="A285" s="37" t="s">
        <v>772</v>
      </c>
      <c r="B285" s="35"/>
      <c r="C285" s="35"/>
      <c r="D285" s="35"/>
      <c r="E285" s="35"/>
      <c r="F285" s="41"/>
      <c r="G285" s="41"/>
      <c r="H285" s="41"/>
      <c r="I285" s="41"/>
      <c r="J285" s="35"/>
      <c r="K285" s="37" t="str">
        <f aca="false">IF(F285="","",IF(I285&lt;&gt;"","נסגרה",IF(H285&lt;&gt;"","נענתה",IF(G285&lt;&gt;"","אושרה קבלה","נפתחה"))))</f>
        <v/>
      </c>
      <c r="L285" s="42" t="str">
        <f aca="false">IF(OR(F285="",G285=""),"",G285-F285)</f>
        <v/>
      </c>
      <c r="M285" s="42" t="str">
        <f aca="false">IF(OR(F285="",H285=""),"",H285-F285)</f>
        <v/>
      </c>
      <c r="N285" s="42" t="str">
        <f aca="false">IF(OR(F285="",I285=""),"",I285-F285)</f>
        <v/>
      </c>
    </row>
    <row r="286" customFormat="false" ht="15" hidden="false" customHeight="true" outlineLevel="0" collapsed="false">
      <c r="A286" s="37" t="s">
        <v>773</v>
      </c>
      <c r="B286" s="35"/>
      <c r="C286" s="35"/>
      <c r="D286" s="35"/>
      <c r="E286" s="35"/>
      <c r="F286" s="41"/>
      <c r="G286" s="41"/>
      <c r="H286" s="41"/>
      <c r="I286" s="41"/>
      <c r="J286" s="35"/>
      <c r="K286" s="37" t="str">
        <f aca="false">IF(F286="","",IF(I286&lt;&gt;"","נסגרה",IF(H286&lt;&gt;"","נענתה",IF(G286&lt;&gt;"","אושרה קבלה","נפתחה"))))</f>
        <v/>
      </c>
      <c r="L286" s="42" t="str">
        <f aca="false">IF(OR(F286="",G286=""),"",G286-F286)</f>
        <v/>
      </c>
      <c r="M286" s="42" t="str">
        <f aca="false">IF(OR(F286="",H286=""),"",H286-F286)</f>
        <v/>
      </c>
      <c r="N286" s="42" t="str">
        <f aca="false">IF(OR(F286="",I286=""),"",I286-F286)</f>
        <v/>
      </c>
    </row>
    <row r="287" customFormat="false" ht="15" hidden="false" customHeight="true" outlineLevel="0" collapsed="false">
      <c r="A287" s="37" t="s">
        <v>774</v>
      </c>
      <c r="B287" s="35"/>
      <c r="C287" s="35"/>
      <c r="D287" s="35"/>
      <c r="E287" s="35"/>
      <c r="F287" s="41"/>
      <c r="G287" s="41"/>
      <c r="H287" s="41"/>
      <c r="I287" s="41"/>
      <c r="J287" s="35"/>
      <c r="K287" s="37" t="str">
        <f aca="false">IF(F287="","",IF(I287&lt;&gt;"","נסגרה",IF(H287&lt;&gt;"","נענתה",IF(G287&lt;&gt;"","אושרה קבלה","נפתחה"))))</f>
        <v/>
      </c>
      <c r="L287" s="42" t="str">
        <f aca="false">IF(OR(F287="",G287=""),"",G287-F287)</f>
        <v/>
      </c>
      <c r="M287" s="42" t="str">
        <f aca="false">IF(OR(F287="",H287=""),"",H287-F287)</f>
        <v/>
      </c>
      <c r="N287" s="42" t="str">
        <f aca="false">IF(OR(F287="",I287=""),"",I287-F287)</f>
        <v/>
      </c>
    </row>
    <row r="288" customFormat="false" ht="15" hidden="false" customHeight="true" outlineLevel="0" collapsed="false">
      <c r="A288" s="37" t="s">
        <v>775</v>
      </c>
      <c r="B288" s="35"/>
      <c r="C288" s="35"/>
      <c r="D288" s="35"/>
      <c r="E288" s="35"/>
      <c r="F288" s="41"/>
      <c r="G288" s="41"/>
      <c r="H288" s="41"/>
      <c r="I288" s="41"/>
      <c r="J288" s="35"/>
      <c r="K288" s="37" t="str">
        <f aca="false">IF(F288="","",IF(I288&lt;&gt;"","נסגרה",IF(H288&lt;&gt;"","נענתה",IF(G288&lt;&gt;"","אושרה קבלה","נפתחה"))))</f>
        <v/>
      </c>
      <c r="L288" s="42" t="str">
        <f aca="false">IF(OR(F288="",G288=""),"",G288-F288)</f>
        <v/>
      </c>
      <c r="M288" s="42" t="str">
        <f aca="false">IF(OR(F288="",H288=""),"",H288-F288)</f>
        <v/>
      </c>
      <c r="N288" s="42" t="str">
        <f aca="false">IF(OR(F288="",I288=""),"",I288-F288)</f>
        <v/>
      </c>
    </row>
    <row r="289" customFormat="false" ht="15" hidden="false" customHeight="true" outlineLevel="0" collapsed="false">
      <c r="A289" s="37" t="s">
        <v>776</v>
      </c>
      <c r="B289" s="35"/>
      <c r="C289" s="35"/>
      <c r="D289" s="35"/>
      <c r="E289" s="35"/>
      <c r="F289" s="41"/>
      <c r="G289" s="41"/>
      <c r="H289" s="41"/>
      <c r="I289" s="41"/>
      <c r="J289" s="35"/>
      <c r="K289" s="37" t="str">
        <f aca="false">IF(F289="","",IF(I289&lt;&gt;"","נסגרה",IF(H289&lt;&gt;"","נענתה",IF(G289&lt;&gt;"","אושרה קבלה","נפתחה"))))</f>
        <v/>
      </c>
      <c r="L289" s="42" t="str">
        <f aca="false">IF(OR(F289="",G289=""),"",G289-F289)</f>
        <v/>
      </c>
      <c r="M289" s="42" t="str">
        <f aca="false">IF(OR(F289="",H289=""),"",H289-F289)</f>
        <v/>
      </c>
      <c r="N289" s="42" t="str">
        <f aca="false">IF(OR(F289="",I289=""),"",I289-F289)</f>
        <v/>
      </c>
    </row>
    <row r="290" customFormat="false" ht="15" hidden="false" customHeight="true" outlineLevel="0" collapsed="false">
      <c r="A290" s="37" t="s">
        <v>777</v>
      </c>
      <c r="B290" s="35"/>
      <c r="C290" s="35"/>
      <c r="D290" s="35"/>
      <c r="E290" s="35"/>
      <c r="F290" s="41"/>
      <c r="G290" s="41"/>
      <c r="H290" s="41"/>
      <c r="I290" s="41"/>
      <c r="J290" s="35"/>
      <c r="K290" s="37" t="str">
        <f aca="false">IF(F290="","",IF(I290&lt;&gt;"","נסגרה",IF(H290&lt;&gt;"","נענתה",IF(G290&lt;&gt;"","אושרה קבלה","נפתחה"))))</f>
        <v/>
      </c>
      <c r="L290" s="42" t="str">
        <f aca="false">IF(OR(F290="",G290=""),"",G290-F290)</f>
        <v/>
      </c>
      <c r="M290" s="42" t="str">
        <f aca="false">IF(OR(F290="",H290=""),"",H290-F290)</f>
        <v/>
      </c>
      <c r="N290" s="42" t="str">
        <f aca="false">IF(OR(F290="",I290=""),"",I290-F290)</f>
        <v/>
      </c>
    </row>
    <row r="291" customFormat="false" ht="15" hidden="false" customHeight="true" outlineLevel="0" collapsed="false">
      <c r="A291" s="37" t="s">
        <v>778</v>
      </c>
      <c r="B291" s="35"/>
      <c r="C291" s="35"/>
      <c r="D291" s="35"/>
      <c r="E291" s="35"/>
      <c r="F291" s="41"/>
      <c r="G291" s="41"/>
      <c r="H291" s="41"/>
      <c r="I291" s="41"/>
      <c r="J291" s="35"/>
      <c r="K291" s="37" t="str">
        <f aca="false">IF(F291="","",IF(I291&lt;&gt;"","נסגרה",IF(H291&lt;&gt;"","נענתה",IF(G291&lt;&gt;"","אושרה קבלה","נפתחה"))))</f>
        <v/>
      </c>
      <c r="L291" s="42" t="str">
        <f aca="false">IF(OR(F291="",G291=""),"",G291-F291)</f>
        <v/>
      </c>
      <c r="M291" s="42" t="str">
        <f aca="false">IF(OR(F291="",H291=""),"",H291-F291)</f>
        <v/>
      </c>
      <c r="N291" s="42" t="str">
        <f aca="false">IF(OR(F291="",I291=""),"",I291-F291)</f>
        <v/>
      </c>
    </row>
    <row r="292" customFormat="false" ht="15" hidden="false" customHeight="true" outlineLevel="0" collapsed="false">
      <c r="A292" s="37" t="s">
        <v>779</v>
      </c>
      <c r="B292" s="35"/>
      <c r="C292" s="35"/>
      <c r="D292" s="35"/>
      <c r="E292" s="35"/>
      <c r="F292" s="41"/>
      <c r="G292" s="41"/>
      <c r="H292" s="41"/>
      <c r="I292" s="41"/>
      <c r="J292" s="35"/>
      <c r="K292" s="37" t="str">
        <f aca="false">IF(F292="","",IF(I292&lt;&gt;"","נסגרה",IF(H292&lt;&gt;"","נענתה",IF(G292&lt;&gt;"","אושרה קבלה","נפתחה"))))</f>
        <v/>
      </c>
      <c r="L292" s="42" t="str">
        <f aca="false">IF(OR(F292="",G292=""),"",G292-F292)</f>
        <v/>
      </c>
      <c r="M292" s="42" t="str">
        <f aca="false">IF(OR(F292="",H292=""),"",H292-F292)</f>
        <v/>
      </c>
      <c r="N292" s="42" t="str">
        <f aca="false">IF(OR(F292="",I292=""),"",I292-F292)</f>
        <v/>
      </c>
    </row>
    <row r="293" customFormat="false" ht="15" hidden="false" customHeight="true" outlineLevel="0" collapsed="false">
      <c r="A293" s="37" t="s">
        <v>780</v>
      </c>
      <c r="B293" s="35"/>
      <c r="C293" s="35"/>
      <c r="D293" s="35"/>
      <c r="E293" s="35"/>
      <c r="F293" s="41"/>
      <c r="G293" s="41"/>
      <c r="H293" s="41"/>
      <c r="I293" s="41"/>
      <c r="J293" s="35"/>
      <c r="K293" s="37" t="str">
        <f aca="false">IF(F293="","",IF(I293&lt;&gt;"","נסגרה",IF(H293&lt;&gt;"","נענתה",IF(G293&lt;&gt;"","אושרה קבלה","נפתחה"))))</f>
        <v/>
      </c>
      <c r="L293" s="42" t="str">
        <f aca="false">IF(OR(F293="",G293=""),"",G293-F293)</f>
        <v/>
      </c>
      <c r="M293" s="42" t="str">
        <f aca="false">IF(OR(F293="",H293=""),"",H293-F293)</f>
        <v/>
      </c>
      <c r="N293" s="42" t="str">
        <f aca="false">IF(OR(F293="",I293=""),"",I293-F293)</f>
        <v/>
      </c>
    </row>
    <row r="294" customFormat="false" ht="15" hidden="false" customHeight="true" outlineLevel="0" collapsed="false">
      <c r="A294" s="37" t="s">
        <v>781</v>
      </c>
      <c r="B294" s="35"/>
      <c r="C294" s="35"/>
      <c r="D294" s="35"/>
      <c r="E294" s="35"/>
      <c r="F294" s="41"/>
      <c r="G294" s="41"/>
      <c r="H294" s="41"/>
      <c r="I294" s="41"/>
      <c r="J294" s="35"/>
      <c r="K294" s="37" t="str">
        <f aca="false">IF(F294="","",IF(I294&lt;&gt;"","נסגרה",IF(H294&lt;&gt;"","נענתה",IF(G294&lt;&gt;"","אושרה קבלה","נפתחה"))))</f>
        <v/>
      </c>
      <c r="L294" s="42" t="str">
        <f aca="false">IF(OR(F294="",G294=""),"",G294-F294)</f>
        <v/>
      </c>
      <c r="M294" s="42" t="str">
        <f aca="false">IF(OR(F294="",H294=""),"",H294-F294)</f>
        <v/>
      </c>
      <c r="N294" s="42" t="str">
        <f aca="false">IF(OR(F294="",I294=""),"",I294-F294)</f>
        <v/>
      </c>
    </row>
    <row r="295" customFormat="false" ht="15" hidden="false" customHeight="true" outlineLevel="0" collapsed="false">
      <c r="A295" s="37" t="s">
        <v>782</v>
      </c>
      <c r="B295" s="35"/>
      <c r="C295" s="35"/>
      <c r="D295" s="35"/>
      <c r="E295" s="35"/>
      <c r="F295" s="41"/>
      <c r="G295" s="41"/>
      <c r="H295" s="41"/>
      <c r="I295" s="41"/>
      <c r="J295" s="35"/>
      <c r="K295" s="37" t="str">
        <f aca="false">IF(F295="","",IF(I295&lt;&gt;"","נסגרה",IF(H295&lt;&gt;"","נענתה",IF(G295&lt;&gt;"","אושרה קבלה","נפתחה"))))</f>
        <v/>
      </c>
      <c r="L295" s="42" t="str">
        <f aca="false">IF(OR(F295="",G295=""),"",G295-F295)</f>
        <v/>
      </c>
      <c r="M295" s="42" t="str">
        <f aca="false">IF(OR(F295="",H295=""),"",H295-F295)</f>
        <v/>
      </c>
      <c r="N295" s="42" t="str">
        <f aca="false">IF(OR(F295="",I295=""),"",I295-F295)</f>
        <v/>
      </c>
    </row>
    <row r="296" customFormat="false" ht="15" hidden="false" customHeight="true" outlineLevel="0" collapsed="false">
      <c r="A296" s="37" t="s">
        <v>783</v>
      </c>
      <c r="B296" s="35"/>
      <c r="C296" s="35"/>
      <c r="D296" s="35"/>
      <c r="E296" s="35"/>
      <c r="F296" s="41"/>
      <c r="G296" s="41"/>
      <c r="H296" s="41"/>
      <c r="I296" s="41"/>
      <c r="J296" s="35"/>
      <c r="K296" s="37" t="str">
        <f aca="false">IF(F296="","",IF(I296&lt;&gt;"","נסגרה",IF(H296&lt;&gt;"","נענתה",IF(G296&lt;&gt;"","אושרה קבלה","נפתחה"))))</f>
        <v/>
      </c>
      <c r="L296" s="42" t="str">
        <f aca="false">IF(OR(F296="",G296=""),"",G296-F296)</f>
        <v/>
      </c>
      <c r="M296" s="42" t="str">
        <f aca="false">IF(OR(F296="",H296=""),"",H296-F296)</f>
        <v/>
      </c>
      <c r="N296" s="42" t="str">
        <f aca="false">IF(OR(F296="",I296=""),"",I296-F296)</f>
        <v/>
      </c>
    </row>
    <row r="297" customFormat="false" ht="15" hidden="false" customHeight="true" outlineLevel="0" collapsed="false">
      <c r="A297" s="37" t="s">
        <v>784</v>
      </c>
      <c r="B297" s="35"/>
      <c r="C297" s="35"/>
      <c r="D297" s="35"/>
      <c r="E297" s="35"/>
      <c r="F297" s="41"/>
      <c r="G297" s="41"/>
      <c r="H297" s="41"/>
      <c r="I297" s="41"/>
      <c r="J297" s="35"/>
      <c r="K297" s="37" t="str">
        <f aca="false">IF(F297="","",IF(I297&lt;&gt;"","נסגרה",IF(H297&lt;&gt;"","נענתה",IF(G297&lt;&gt;"","אושרה קבלה","נפתחה"))))</f>
        <v/>
      </c>
      <c r="L297" s="42" t="str">
        <f aca="false">IF(OR(F297="",G297=""),"",G297-F297)</f>
        <v/>
      </c>
      <c r="M297" s="42" t="str">
        <f aca="false">IF(OR(F297="",H297=""),"",H297-F297)</f>
        <v/>
      </c>
      <c r="N297" s="42" t="str">
        <f aca="false">IF(OR(F297="",I297=""),"",I297-F297)</f>
        <v/>
      </c>
    </row>
    <row r="298" customFormat="false" ht="15" hidden="false" customHeight="true" outlineLevel="0" collapsed="false">
      <c r="A298" s="37" t="s">
        <v>785</v>
      </c>
      <c r="B298" s="35"/>
      <c r="C298" s="35"/>
      <c r="D298" s="35"/>
      <c r="E298" s="35"/>
      <c r="F298" s="41"/>
      <c r="G298" s="41"/>
      <c r="H298" s="41"/>
      <c r="I298" s="41"/>
      <c r="J298" s="35"/>
      <c r="K298" s="37" t="str">
        <f aca="false">IF(F298="","",IF(I298&lt;&gt;"","נסגרה",IF(H298&lt;&gt;"","נענתה",IF(G298&lt;&gt;"","אושרה קבלה","נפתחה"))))</f>
        <v/>
      </c>
      <c r="L298" s="42" t="str">
        <f aca="false">IF(OR(F298="",G298=""),"",G298-F298)</f>
        <v/>
      </c>
      <c r="M298" s="42" t="str">
        <f aca="false">IF(OR(F298="",H298=""),"",H298-F298)</f>
        <v/>
      </c>
      <c r="N298" s="42" t="str">
        <f aca="false">IF(OR(F298="",I298=""),"",I298-F298)</f>
        <v/>
      </c>
    </row>
    <row r="299" customFormat="false" ht="15" hidden="false" customHeight="true" outlineLevel="0" collapsed="false">
      <c r="A299" s="37" t="s">
        <v>786</v>
      </c>
      <c r="B299" s="35"/>
      <c r="C299" s="35"/>
      <c r="D299" s="35"/>
      <c r="E299" s="35"/>
      <c r="F299" s="41"/>
      <c r="G299" s="41"/>
      <c r="H299" s="41"/>
      <c r="I299" s="41"/>
      <c r="J299" s="35"/>
      <c r="K299" s="37" t="str">
        <f aca="false">IF(F299="","",IF(I299&lt;&gt;"","נסגרה",IF(H299&lt;&gt;"","נענתה",IF(G299&lt;&gt;"","אושרה קבלה","נפתחה"))))</f>
        <v/>
      </c>
      <c r="L299" s="42" t="str">
        <f aca="false">IF(OR(F299="",G299=""),"",G299-F299)</f>
        <v/>
      </c>
      <c r="M299" s="42" t="str">
        <f aca="false">IF(OR(F299="",H299=""),"",H299-F299)</f>
        <v/>
      </c>
      <c r="N299" s="42" t="str">
        <f aca="false">IF(OR(F299="",I299=""),"",I299-F299)</f>
        <v/>
      </c>
    </row>
    <row r="300" customFormat="false" ht="15" hidden="false" customHeight="true" outlineLevel="0" collapsed="false">
      <c r="A300" s="37" t="s">
        <v>787</v>
      </c>
      <c r="B300" s="35"/>
      <c r="C300" s="35"/>
      <c r="D300" s="35"/>
      <c r="E300" s="35"/>
      <c r="F300" s="41"/>
      <c r="G300" s="41"/>
      <c r="H300" s="41"/>
      <c r="I300" s="41"/>
      <c r="J300" s="35"/>
      <c r="K300" s="37" t="str">
        <f aca="false">IF(F300="","",IF(I300&lt;&gt;"","נסגרה",IF(H300&lt;&gt;"","נענתה",IF(G300&lt;&gt;"","אושרה קבלה","נפתחה"))))</f>
        <v/>
      </c>
      <c r="L300" s="42" t="str">
        <f aca="false">IF(OR(F300="",G300=""),"",G300-F300)</f>
        <v/>
      </c>
      <c r="M300" s="42" t="str">
        <f aca="false">IF(OR(F300="",H300=""),"",H300-F300)</f>
        <v/>
      </c>
      <c r="N300" s="42" t="str">
        <f aca="false">IF(OR(F300="",I300=""),"",I300-F300)</f>
        <v/>
      </c>
    </row>
    <row r="301" customFormat="false" ht="15" hidden="false" customHeight="true" outlineLevel="0" collapsed="false">
      <c r="A301" s="37" t="s">
        <v>788</v>
      </c>
      <c r="B301" s="35"/>
      <c r="C301" s="35"/>
      <c r="D301" s="35"/>
      <c r="E301" s="35"/>
      <c r="F301" s="41"/>
      <c r="G301" s="41"/>
      <c r="H301" s="41"/>
      <c r="I301" s="41"/>
      <c r="J301" s="35"/>
      <c r="K301" s="37" t="str">
        <f aca="false">IF(F301="","",IF(I301&lt;&gt;"","נסגרה",IF(H301&lt;&gt;"","נענתה",IF(G301&lt;&gt;"","אושרה קבלה","נפתחה"))))</f>
        <v/>
      </c>
      <c r="L301" s="42" t="str">
        <f aca="false">IF(OR(F301="",G301=""),"",G301-F301)</f>
        <v/>
      </c>
      <c r="M301" s="42" t="str">
        <f aca="false">IF(OR(F301="",H301=""),"",H301-F301)</f>
        <v/>
      </c>
      <c r="N301" s="42" t="str">
        <f aca="false">IF(OR(F301="",I301=""),"",I301-F301)</f>
        <v/>
      </c>
    </row>
    <row r="302" customFormat="false" ht="15" hidden="false" customHeight="true" outlineLevel="0" collapsed="false">
      <c r="A302" s="37" t="s">
        <v>789</v>
      </c>
      <c r="B302" s="35"/>
      <c r="C302" s="35"/>
      <c r="D302" s="35"/>
      <c r="E302" s="35"/>
      <c r="F302" s="41"/>
      <c r="G302" s="41"/>
      <c r="H302" s="41"/>
      <c r="I302" s="41"/>
      <c r="J302" s="35"/>
      <c r="K302" s="37" t="str">
        <f aca="false">IF(F302="","",IF(I302&lt;&gt;"","נסגרה",IF(H302&lt;&gt;"","נענתה",IF(G302&lt;&gt;"","אושרה קבלה","נפתחה"))))</f>
        <v/>
      </c>
      <c r="L302" s="42" t="str">
        <f aca="false">IF(OR(F302="",G302=""),"",G302-F302)</f>
        <v/>
      </c>
      <c r="M302" s="42" t="str">
        <f aca="false">IF(OR(F302="",H302=""),"",H302-F302)</f>
        <v/>
      </c>
      <c r="N302" s="42" t="str">
        <f aca="false">IF(OR(F302="",I302=""),"",I302-F302)</f>
        <v/>
      </c>
    </row>
    <row r="303" customFormat="false" ht="15" hidden="false" customHeight="true" outlineLevel="0" collapsed="false">
      <c r="A303" s="37" t="s">
        <v>790</v>
      </c>
      <c r="B303" s="35"/>
      <c r="C303" s="35"/>
      <c r="D303" s="35"/>
      <c r="E303" s="35"/>
      <c r="F303" s="41"/>
      <c r="G303" s="41"/>
      <c r="H303" s="41"/>
      <c r="I303" s="41"/>
      <c r="J303" s="35"/>
      <c r="K303" s="37" t="str">
        <f aca="false">IF(F303="","",IF(I303&lt;&gt;"","נסגרה",IF(H303&lt;&gt;"","נענתה",IF(G303&lt;&gt;"","אושרה קבלה","נפתחה"))))</f>
        <v/>
      </c>
      <c r="L303" s="42" t="str">
        <f aca="false">IF(OR(F303="",G303=""),"",G303-F303)</f>
        <v/>
      </c>
      <c r="M303" s="42" t="str">
        <f aca="false">IF(OR(F303="",H303=""),"",H303-F303)</f>
        <v/>
      </c>
      <c r="N303" s="42" t="str">
        <f aca="false">IF(OR(F303="",I303=""),"",I303-F303)</f>
        <v/>
      </c>
    </row>
    <row r="304" customFormat="false" ht="15" hidden="false" customHeight="true" outlineLevel="0" collapsed="false">
      <c r="A304" s="37" t="s">
        <v>791</v>
      </c>
      <c r="B304" s="35"/>
      <c r="C304" s="35"/>
      <c r="D304" s="35"/>
      <c r="E304" s="35"/>
      <c r="F304" s="41"/>
      <c r="G304" s="41"/>
      <c r="H304" s="41"/>
      <c r="I304" s="41"/>
      <c r="J304" s="35"/>
      <c r="K304" s="37" t="str">
        <f aca="false">IF(F304="","",IF(I304&lt;&gt;"","נסגרה",IF(H304&lt;&gt;"","נענתה",IF(G304&lt;&gt;"","אושרה קבלה","נפתחה"))))</f>
        <v/>
      </c>
      <c r="L304" s="42" t="str">
        <f aca="false">IF(OR(F304="",G304=""),"",G304-F304)</f>
        <v/>
      </c>
      <c r="M304" s="42" t="str">
        <f aca="false">IF(OR(F304="",H304=""),"",H304-F304)</f>
        <v/>
      </c>
      <c r="N304" s="42" t="str">
        <f aca="false">IF(OR(F304="",I304=""),"",I304-F304)</f>
        <v/>
      </c>
    </row>
  </sheetData>
  <dataValidations count="9">
    <dataValidation allowBlank="true" errorStyle="stop" operator="between" showDropDown="false" showErrorMessage="false" showInputMessage="false" sqref="B5:B304" type="list">
      <formula1>Patients!$A$6:$A$25</formula1>
      <formula2>0</formula2>
    </dataValidation>
    <dataValidation allowBlank="true" error="בחר ערך מהרשימה" errorStyle="stop" errorTitle="ערך לא תקין" operator="between" showDropDown="false" showErrorMessage="true" showInputMessage="false" sqref="C5:C304" type="list">
      <formula1>L_phase</formula1>
      <formula2>0</formula2>
    </dataValidation>
    <dataValidation allowBlank="true" error="בחר ערך מהרשימה" errorStyle="stop" errorTitle="ערך לא תקין" operator="between" showDropDown="false" showErrorMessage="true" showInputMessage="false" sqref="D5:D304" type="list">
      <formula1>L_disc</formula1>
      <formula2>0</formula2>
    </dataValidation>
    <dataValidation allowBlank="true" error="בחר ערך מהרשימה" errorStyle="stop" errorTitle="ערך לא תקין" operator="between" showDropDown="false" showErrorMessage="true" showInputMessage="false" sqref="E5:E304" type="list">
      <formula1>L_ltype</formula1>
      <formula2>0</formula2>
    </dataValidation>
    <dataValidation allowBlank="true" error="תאריך בפורמט dd/mm/yyyy, בין 2020 ל-2030" errorStyle="stop" operator="between" showDropDown="false" showErrorMessage="true" showInputMessage="false" sqref="F5:F304" type="date">
      <formula1>DATE(2020,1,1)</formula1>
      <formula2>DATE(2030,12,31)</formula2>
    </dataValidation>
    <dataValidation allowBlank="true" error="תאריך בפורמט dd/mm/yyyy, בין 2020 ל-2030" errorStyle="stop" operator="between" showDropDown="false" showErrorMessage="true" showInputMessage="false" sqref="G5:G304" type="date">
      <formula1>DATE(2020,1,1)</formula1>
      <formula2>DATE(2030,12,31)</formula2>
    </dataValidation>
    <dataValidation allowBlank="true" error="תאריך בפורמט dd/mm/yyyy, בין 2020 ל-2030" errorStyle="stop" operator="between" showDropDown="false" showErrorMessage="true" showInputMessage="false" sqref="H5:H304" type="date">
      <formula1>DATE(2020,1,1)</formula1>
      <formula2>DATE(2030,12,31)</formula2>
    </dataValidation>
    <dataValidation allowBlank="true" error="תאריך בפורמט dd/mm/yyyy, בין 2020 ל-2030" errorStyle="stop" operator="between" showDropDown="false" showErrorMessage="true" showInputMessage="false" sqref="I5:I304" type="date">
      <formula1>DATE(2020,1,1)</formula1>
      <formula2>DATE(2030,12,31)</formula2>
    </dataValidation>
    <dataValidation allowBlank="true" error="בחר ערך מהרשימה" errorStyle="stop" errorTitle="ערך לא תקין" operator="between" showDropDown="false" showErrorMessage="true" showInputMessage="false" sqref="J5:J304" type="list">
      <formula1>L_yn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4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12"/>
    <col collapsed="false" customWidth="true" hidden="false" outlineLevel="0" max="3" min="3" style="1" width="9"/>
    <col collapsed="false" customWidth="true" hidden="false" outlineLevel="0" max="6" min="4" style="1" width="10"/>
    <col collapsed="false" customWidth="true" hidden="false" outlineLevel="0" max="7" min="7" style="1" width="20"/>
    <col collapsed="false" customWidth="true" hidden="false" outlineLevel="0" max="9" min="8" style="1" width="9"/>
    <col collapsed="false" customWidth="true" hidden="false" outlineLevel="0" max="10" min="10" style="1" width="25"/>
  </cols>
  <sheetData>
    <row r="1" customFormat="false" ht="15" hidden="false" customHeight="true" outlineLevel="0" collapsed="false">
      <c r="A1" s="24" t="s">
        <v>792</v>
      </c>
    </row>
    <row r="3" customFormat="false" ht="39.75" hidden="false" customHeight="true" outlineLevel="0" collapsed="false">
      <c r="A3" s="26" t="s">
        <v>793</v>
      </c>
      <c r="B3" s="26" t="s">
        <v>794</v>
      </c>
      <c r="C3" s="26" t="s">
        <v>155</v>
      </c>
      <c r="D3" s="26" t="s">
        <v>795</v>
      </c>
      <c r="E3" s="26" t="s">
        <v>796</v>
      </c>
      <c r="F3" s="26" t="s">
        <v>797</v>
      </c>
      <c r="G3" s="26" t="s">
        <v>798</v>
      </c>
      <c r="H3" s="26" t="s">
        <v>799</v>
      </c>
      <c r="I3" s="26" t="s">
        <v>800</v>
      </c>
      <c r="J3" s="26" t="s">
        <v>801</v>
      </c>
    </row>
    <row r="4" customFormat="false" ht="15" hidden="false" customHeight="true" outlineLevel="0" collapsed="false">
      <c r="A4" s="27" t="s">
        <v>802</v>
      </c>
      <c r="B4" s="27" t="s">
        <v>803</v>
      </c>
      <c r="C4" s="27" t="s">
        <v>210</v>
      </c>
      <c r="D4" s="27" t="s">
        <v>804</v>
      </c>
      <c r="E4" s="27" t="s">
        <v>805</v>
      </c>
      <c r="F4" s="27" t="s">
        <v>806</v>
      </c>
      <c r="G4" s="27" t="s">
        <v>807</v>
      </c>
      <c r="H4" s="27" t="s">
        <v>808</v>
      </c>
      <c r="I4" s="27" t="s">
        <v>809</v>
      </c>
      <c r="J4" s="27" t="s">
        <v>332</v>
      </c>
    </row>
    <row r="5" customFormat="false" ht="15" hidden="false" customHeight="true" outlineLevel="0" collapsed="false">
      <c r="A5" s="37" t="s">
        <v>810</v>
      </c>
      <c r="B5" s="36"/>
      <c r="C5" s="35"/>
      <c r="D5" s="35"/>
      <c r="E5" s="35"/>
      <c r="F5" s="35"/>
      <c r="G5" s="35"/>
      <c r="H5" s="35"/>
      <c r="I5" s="35"/>
      <c r="J5" s="35"/>
    </row>
    <row r="6" customFormat="false" ht="15" hidden="false" customHeight="true" outlineLevel="0" collapsed="false">
      <c r="A6" s="37" t="s">
        <v>811</v>
      </c>
      <c r="B6" s="36"/>
      <c r="C6" s="35"/>
      <c r="D6" s="35"/>
      <c r="E6" s="35"/>
      <c r="F6" s="35"/>
      <c r="G6" s="35"/>
      <c r="H6" s="35"/>
      <c r="I6" s="35"/>
      <c r="J6" s="35"/>
    </row>
    <row r="7" customFormat="false" ht="15" hidden="false" customHeight="true" outlineLevel="0" collapsed="false">
      <c r="A7" s="37" t="s">
        <v>812</v>
      </c>
      <c r="B7" s="36"/>
      <c r="C7" s="35"/>
      <c r="D7" s="35"/>
      <c r="E7" s="35"/>
      <c r="F7" s="35"/>
      <c r="G7" s="35"/>
      <c r="H7" s="35"/>
      <c r="I7" s="35"/>
      <c r="J7" s="35"/>
    </row>
    <row r="8" customFormat="false" ht="15" hidden="false" customHeight="true" outlineLevel="0" collapsed="false">
      <c r="A8" s="37" t="s">
        <v>813</v>
      </c>
      <c r="B8" s="36"/>
      <c r="C8" s="35"/>
      <c r="D8" s="35"/>
      <c r="E8" s="35"/>
      <c r="F8" s="35"/>
      <c r="G8" s="35"/>
      <c r="H8" s="35"/>
      <c r="I8" s="35"/>
      <c r="J8" s="35"/>
    </row>
    <row r="9" customFormat="false" ht="15" hidden="false" customHeight="true" outlineLevel="0" collapsed="false">
      <c r="A9" s="37" t="s">
        <v>814</v>
      </c>
      <c r="B9" s="36"/>
      <c r="C9" s="35"/>
      <c r="D9" s="35"/>
      <c r="E9" s="35"/>
      <c r="F9" s="35"/>
      <c r="G9" s="35"/>
      <c r="H9" s="35"/>
      <c r="I9" s="35"/>
      <c r="J9" s="35"/>
    </row>
    <row r="10" customFormat="false" ht="15" hidden="false" customHeight="true" outlineLevel="0" collapsed="false">
      <c r="A10" s="37" t="s">
        <v>815</v>
      </c>
      <c r="B10" s="36"/>
      <c r="C10" s="35"/>
      <c r="D10" s="35"/>
      <c r="E10" s="35"/>
      <c r="F10" s="35"/>
      <c r="G10" s="35"/>
      <c r="H10" s="35"/>
      <c r="I10" s="35"/>
      <c r="J10" s="35"/>
    </row>
    <row r="11" customFormat="false" ht="15" hidden="false" customHeight="true" outlineLevel="0" collapsed="false">
      <c r="A11" s="37" t="s">
        <v>816</v>
      </c>
      <c r="B11" s="36"/>
      <c r="C11" s="35"/>
      <c r="D11" s="35"/>
      <c r="E11" s="35"/>
      <c r="F11" s="35"/>
      <c r="G11" s="35"/>
      <c r="H11" s="35"/>
      <c r="I11" s="35"/>
      <c r="J11" s="35"/>
    </row>
    <row r="12" customFormat="false" ht="15" hidden="false" customHeight="true" outlineLevel="0" collapsed="false">
      <c r="A12" s="37" t="s">
        <v>817</v>
      </c>
      <c r="B12" s="36"/>
      <c r="C12" s="35"/>
      <c r="D12" s="35"/>
      <c r="E12" s="35"/>
      <c r="F12" s="35"/>
      <c r="G12" s="35"/>
      <c r="H12" s="35"/>
      <c r="I12" s="35"/>
      <c r="J12" s="35"/>
    </row>
    <row r="13" customFormat="false" ht="15" hidden="false" customHeight="true" outlineLevel="0" collapsed="false">
      <c r="A13" s="37" t="s">
        <v>818</v>
      </c>
      <c r="B13" s="36"/>
      <c r="C13" s="35"/>
      <c r="D13" s="35"/>
      <c r="E13" s="35"/>
      <c r="F13" s="35"/>
      <c r="G13" s="35"/>
      <c r="H13" s="35"/>
      <c r="I13" s="35"/>
      <c r="J13" s="35"/>
    </row>
    <row r="14" customFormat="false" ht="15" hidden="false" customHeight="true" outlineLevel="0" collapsed="false">
      <c r="A14" s="37" t="s">
        <v>819</v>
      </c>
      <c r="B14" s="36"/>
      <c r="C14" s="35"/>
      <c r="D14" s="35"/>
      <c r="E14" s="35"/>
      <c r="F14" s="35"/>
      <c r="G14" s="35"/>
      <c r="H14" s="35"/>
      <c r="I14" s="35"/>
      <c r="J14" s="35"/>
    </row>
    <row r="15" customFormat="false" ht="15" hidden="false" customHeight="true" outlineLevel="0" collapsed="false">
      <c r="A15" s="37" t="s">
        <v>820</v>
      </c>
      <c r="B15" s="36"/>
      <c r="C15" s="35"/>
      <c r="D15" s="35"/>
      <c r="E15" s="35"/>
      <c r="F15" s="35"/>
      <c r="G15" s="35"/>
      <c r="H15" s="35"/>
      <c r="I15" s="35"/>
      <c r="J15" s="35"/>
    </row>
    <row r="16" customFormat="false" ht="15" hidden="false" customHeight="true" outlineLevel="0" collapsed="false">
      <c r="A16" s="37" t="s">
        <v>821</v>
      </c>
      <c r="B16" s="36"/>
      <c r="C16" s="35"/>
      <c r="D16" s="35"/>
      <c r="E16" s="35"/>
      <c r="F16" s="35"/>
      <c r="G16" s="35"/>
      <c r="H16" s="35"/>
      <c r="I16" s="35"/>
      <c r="J16" s="35"/>
    </row>
    <row r="17" customFormat="false" ht="15" hidden="false" customHeight="true" outlineLevel="0" collapsed="false">
      <c r="A17" s="37" t="s">
        <v>822</v>
      </c>
      <c r="B17" s="36"/>
      <c r="C17" s="35"/>
      <c r="D17" s="35"/>
      <c r="E17" s="35"/>
      <c r="F17" s="35"/>
      <c r="G17" s="35"/>
      <c r="H17" s="35"/>
      <c r="I17" s="35"/>
      <c r="J17" s="35"/>
    </row>
    <row r="18" customFormat="false" ht="15" hidden="false" customHeight="true" outlineLevel="0" collapsed="false">
      <c r="A18" s="37" t="s">
        <v>823</v>
      </c>
      <c r="B18" s="36"/>
      <c r="C18" s="35"/>
      <c r="D18" s="35"/>
      <c r="E18" s="35"/>
      <c r="F18" s="35"/>
      <c r="G18" s="35"/>
      <c r="H18" s="35"/>
      <c r="I18" s="35"/>
      <c r="J18" s="35"/>
    </row>
    <row r="19" customFormat="false" ht="15" hidden="false" customHeight="true" outlineLevel="0" collapsed="false">
      <c r="A19" s="37" t="s">
        <v>824</v>
      </c>
      <c r="B19" s="36"/>
      <c r="C19" s="35"/>
      <c r="D19" s="35"/>
      <c r="E19" s="35"/>
      <c r="F19" s="35"/>
      <c r="G19" s="35"/>
      <c r="H19" s="35"/>
      <c r="I19" s="35"/>
      <c r="J19" s="35"/>
    </row>
    <row r="20" customFormat="false" ht="15" hidden="false" customHeight="true" outlineLevel="0" collapsed="false">
      <c r="A20" s="37" t="s">
        <v>825</v>
      </c>
      <c r="B20" s="36"/>
      <c r="C20" s="35"/>
      <c r="D20" s="35"/>
      <c r="E20" s="35"/>
      <c r="F20" s="35"/>
      <c r="G20" s="35"/>
      <c r="H20" s="35"/>
      <c r="I20" s="35"/>
      <c r="J20" s="35"/>
    </row>
    <row r="21" customFormat="false" ht="15" hidden="false" customHeight="true" outlineLevel="0" collapsed="false">
      <c r="A21" s="37" t="s">
        <v>826</v>
      </c>
      <c r="B21" s="36"/>
      <c r="C21" s="35"/>
      <c r="D21" s="35"/>
      <c r="E21" s="35"/>
      <c r="F21" s="35"/>
      <c r="G21" s="35"/>
      <c r="H21" s="35"/>
      <c r="I21" s="35"/>
      <c r="J21" s="35"/>
    </row>
    <row r="22" customFormat="false" ht="15" hidden="false" customHeight="true" outlineLevel="0" collapsed="false">
      <c r="A22" s="37" t="s">
        <v>827</v>
      </c>
      <c r="B22" s="36"/>
      <c r="C22" s="35"/>
      <c r="D22" s="35"/>
      <c r="E22" s="35"/>
      <c r="F22" s="35"/>
      <c r="G22" s="35"/>
      <c r="H22" s="35"/>
      <c r="I22" s="35"/>
      <c r="J22" s="35"/>
    </row>
    <row r="23" customFormat="false" ht="15" hidden="false" customHeight="true" outlineLevel="0" collapsed="false">
      <c r="A23" s="37" t="s">
        <v>828</v>
      </c>
      <c r="B23" s="36"/>
      <c r="C23" s="35"/>
      <c r="D23" s="35"/>
      <c r="E23" s="35"/>
      <c r="F23" s="35"/>
      <c r="G23" s="35"/>
      <c r="H23" s="35"/>
      <c r="I23" s="35"/>
      <c r="J23" s="35"/>
    </row>
    <row r="24" customFormat="false" ht="15" hidden="false" customHeight="true" outlineLevel="0" collapsed="false">
      <c r="A24" s="37" t="s">
        <v>829</v>
      </c>
      <c r="B24" s="36"/>
      <c r="C24" s="35"/>
      <c r="D24" s="35"/>
      <c r="E24" s="35"/>
      <c r="F24" s="35"/>
      <c r="G24" s="35"/>
      <c r="H24" s="35"/>
      <c r="I24" s="35"/>
      <c r="J24" s="35"/>
    </row>
    <row r="25" customFormat="false" ht="15" hidden="false" customHeight="true" outlineLevel="0" collapsed="false">
      <c r="A25" s="37" t="s">
        <v>830</v>
      </c>
      <c r="B25" s="36"/>
      <c r="C25" s="35"/>
      <c r="D25" s="35"/>
      <c r="E25" s="35"/>
      <c r="F25" s="35"/>
      <c r="G25" s="35"/>
      <c r="H25" s="35"/>
      <c r="I25" s="35"/>
      <c r="J25" s="35"/>
    </row>
    <row r="26" customFormat="false" ht="15" hidden="false" customHeight="true" outlineLevel="0" collapsed="false">
      <c r="A26" s="37" t="s">
        <v>831</v>
      </c>
      <c r="B26" s="36"/>
      <c r="C26" s="35"/>
      <c r="D26" s="35"/>
      <c r="E26" s="35"/>
      <c r="F26" s="35"/>
      <c r="G26" s="35"/>
      <c r="H26" s="35"/>
      <c r="I26" s="35"/>
      <c r="J26" s="35"/>
    </row>
    <row r="27" customFormat="false" ht="15" hidden="false" customHeight="true" outlineLevel="0" collapsed="false">
      <c r="A27" s="37" t="s">
        <v>832</v>
      </c>
      <c r="B27" s="36"/>
      <c r="C27" s="35"/>
      <c r="D27" s="35"/>
      <c r="E27" s="35"/>
      <c r="F27" s="35"/>
      <c r="G27" s="35"/>
      <c r="H27" s="35"/>
      <c r="I27" s="35"/>
      <c r="J27" s="35"/>
    </row>
    <row r="28" customFormat="false" ht="15" hidden="false" customHeight="true" outlineLevel="0" collapsed="false">
      <c r="A28" s="37" t="s">
        <v>833</v>
      </c>
      <c r="B28" s="36"/>
      <c r="C28" s="35"/>
      <c r="D28" s="35"/>
      <c r="E28" s="35"/>
      <c r="F28" s="35"/>
      <c r="G28" s="35"/>
      <c r="H28" s="35"/>
      <c r="I28" s="35"/>
      <c r="J28" s="35"/>
    </row>
    <row r="29" customFormat="false" ht="15" hidden="false" customHeight="true" outlineLevel="0" collapsed="false">
      <c r="A29" s="37" t="s">
        <v>834</v>
      </c>
      <c r="B29" s="36"/>
      <c r="C29" s="35"/>
      <c r="D29" s="35"/>
      <c r="E29" s="35"/>
      <c r="F29" s="35"/>
      <c r="G29" s="35"/>
      <c r="H29" s="35"/>
      <c r="I29" s="35"/>
      <c r="J29" s="35"/>
    </row>
    <row r="30" customFormat="false" ht="15" hidden="false" customHeight="true" outlineLevel="0" collapsed="false">
      <c r="A30" s="37" t="s">
        <v>835</v>
      </c>
      <c r="B30" s="36"/>
      <c r="C30" s="35"/>
      <c r="D30" s="35"/>
      <c r="E30" s="35"/>
      <c r="F30" s="35"/>
      <c r="G30" s="35"/>
      <c r="H30" s="35"/>
      <c r="I30" s="35"/>
      <c r="J30" s="35"/>
    </row>
    <row r="31" customFormat="false" ht="15" hidden="false" customHeight="true" outlineLevel="0" collapsed="false">
      <c r="A31" s="37" t="s">
        <v>836</v>
      </c>
      <c r="B31" s="36"/>
      <c r="C31" s="35"/>
      <c r="D31" s="35"/>
      <c r="E31" s="35"/>
      <c r="F31" s="35"/>
      <c r="G31" s="35"/>
      <c r="H31" s="35"/>
      <c r="I31" s="35"/>
      <c r="J31" s="35"/>
    </row>
    <row r="32" customFormat="false" ht="15" hidden="false" customHeight="true" outlineLevel="0" collapsed="false">
      <c r="A32" s="37" t="s">
        <v>837</v>
      </c>
      <c r="B32" s="36"/>
      <c r="C32" s="35"/>
      <c r="D32" s="35"/>
      <c r="E32" s="35"/>
      <c r="F32" s="35"/>
      <c r="G32" s="35"/>
      <c r="H32" s="35"/>
      <c r="I32" s="35"/>
      <c r="J32" s="35"/>
    </row>
    <row r="33" customFormat="false" ht="15" hidden="false" customHeight="true" outlineLevel="0" collapsed="false">
      <c r="A33" s="37" t="s">
        <v>838</v>
      </c>
      <c r="B33" s="36"/>
      <c r="C33" s="35"/>
      <c r="D33" s="35"/>
      <c r="E33" s="35"/>
      <c r="F33" s="35"/>
      <c r="G33" s="35"/>
      <c r="H33" s="35"/>
      <c r="I33" s="35"/>
      <c r="J33" s="35"/>
    </row>
    <row r="34" customFormat="false" ht="15" hidden="false" customHeight="true" outlineLevel="0" collapsed="false">
      <c r="A34" s="37" t="s">
        <v>839</v>
      </c>
      <c r="B34" s="36"/>
      <c r="C34" s="35"/>
      <c r="D34" s="35"/>
      <c r="E34" s="35"/>
      <c r="F34" s="35"/>
      <c r="G34" s="35"/>
      <c r="H34" s="35"/>
      <c r="I34" s="35"/>
      <c r="J34" s="35"/>
    </row>
    <row r="35" customFormat="false" ht="15" hidden="false" customHeight="true" outlineLevel="0" collapsed="false">
      <c r="A35" s="37" t="s">
        <v>840</v>
      </c>
      <c r="B35" s="36"/>
      <c r="C35" s="35"/>
      <c r="D35" s="35"/>
      <c r="E35" s="35"/>
      <c r="F35" s="35"/>
      <c r="G35" s="35"/>
      <c r="H35" s="35"/>
      <c r="I35" s="35"/>
      <c r="J35" s="35"/>
    </row>
    <row r="36" customFormat="false" ht="15" hidden="false" customHeight="true" outlineLevel="0" collapsed="false">
      <c r="A36" s="37" t="s">
        <v>841</v>
      </c>
      <c r="B36" s="36"/>
      <c r="C36" s="35"/>
      <c r="D36" s="35"/>
      <c r="E36" s="35"/>
      <c r="F36" s="35"/>
      <c r="G36" s="35"/>
      <c r="H36" s="35"/>
      <c r="I36" s="35"/>
      <c r="J36" s="35"/>
    </row>
    <row r="37" customFormat="false" ht="15" hidden="false" customHeight="true" outlineLevel="0" collapsed="false">
      <c r="A37" s="37" t="s">
        <v>842</v>
      </c>
      <c r="B37" s="36"/>
      <c r="C37" s="35"/>
      <c r="D37" s="35"/>
      <c r="E37" s="35"/>
      <c r="F37" s="35"/>
      <c r="G37" s="35"/>
      <c r="H37" s="35"/>
      <c r="I37" s="35"/>
      <c r="J37" s="35"/>
    </row>
    <row r="38" customFormat="false" ht="15" hidden="false" customHeight="true" outlineLevel="0" collapsed="false">
      <c r="A38" s="37" t="s">
        <v>843</v>
      </c>
      <c r="B38" s="36"/>
      <c r="C38" s="35"/>
      <c r="D38" s="35"/>
      <c r="E38" s="35"/>
      <c r="F38" s="35"/>
      <c r="G38" s="35"/>
      <c r="H38" s="35"/>
      <c r="I38" s="35"/>
      <c r="J38" s="35"/>
    </row>
    <row r="39" customFormat="false" ht="15" hidden="false" customHeight="true" outlineLevel="0" collapsed="false">
      <c r="A39" s="37" t="s">
        <v>844</v>
      </c>
      <c r="B39" s="36"/>
      <c r="C39" s="35"/>
      <c r="D39" s="35"/>
      <c r="E39" s="35"/>
      <c r="F39" s="35"/>
      <c r="G39" s="35"/>
      <c r="H39" s="35"/>
      <c r="I39" s="35"/>
      <c r="J39" s="35"/>
    </row>
    <row r="40" customFormat="false" ht="15" hidden="false" customHeight="true" outlineLevel="0" collapsed="false">
      <c r="A40" s="37" t="s">
        <v>845</v>
      </c>
      <c r="B40" s="36"/>
      <c r="C40" s="35"/>
      <c r="D40" s="35"/>
      <c r="E40" s="35"/>
      <c r="F40" s="35"/>
      <c r="G40" s="35"/>
      <c r="H40" s="35"/>
      <c r="I40" s="35"/>
      <c r="J40" s="35"/>
    </row>
    <row r="41" customFormat="false" ht="15" hidden="false" customHeight="true" outlineLevel="0" collapsed="false">
      <c r="A41" s="37" t="s">
        <v>846</v>
      </c>
      <c r="B41" s="36"/>
      <c r="C41" s="35"/>
      <c r="D41" s="35"/>
      <c r="E41" s="35"/>
      <c r="F41" s="35"/>
      <c r="G41" s="35"/>
      <c r="H41" s="35"/>
      <c r="I41" s="35"/>
      <c r="J41" s="35"/>
    </row>
    <row r="42" customFormat="false" ht="15" hidden="false" customHeight="true" outlineLevel="0" collapsed="false">
      <c r="A42" s="37" t="s">
        <v>847</v>
      </c>
      <c r="B42" s="36"/>
      <c r="C42" s="35"/>
      <c r="D42" s="35"/>
      <c r="E42" s="35"/>
      <c r="F42" s="35"/>
      <c r="G42" s="35"/>
      <c r="H42" s="35"/>
      <c r="I42" s="35"/>
      <c r="J42" s="35"/>
    </row>
    <row r="43" customFormat="false" ht="15" hidden="false" customHeight="true" outlineLevel="0" collapsed="false">
      <c r="A43" s="37" t="s">
        <v>848</v>
      </c>
      <c r="B43" s="36"/>
      <c r="C43" s="35"/>
      <c r="D43" s="35"/>
      <c r="E43" s="35"/>
      <c r="F43" s="35"/>
      <c r="G43" s="35"/>
      <c r="H43" s="35"/>
      <c r="I43" s="35"/>
      <c r="J43" s="35"/>
    </row>
    <row r="44" customFormat="false" ht="15" hidden="false" customHeight="true" outlineLevel="0" collapsed="false">
      <c r="A44" s="37" t="s">
        <v>849</v>
      </c>
      <c r="B44" s="36"/>
      <c r="C44" s="35"/>
      <c r="D44" s="35"/>
      <c r="E44" s="35"/>
      <c r="F44" s="35"/>
      <c r="G44" s="35"/>
      <c r="H44" s="35"/>
      <c r="I44" s="35"/>
      <c r="J44" s="35"/>
    </row>
    <row r="45" customFormat="false" ht="15" hidden="false" customHeight="true" outlineLevel="0" collapsed="false">
      <c r="A45" s="37" t="s">
        <v>850</v>
      </c>
      <c r="B45" s="36"/>
      <c r="C45" s="35"/>
      <c r="D45" s="35"/>
      <c r="E45" s="35"/>
      <c r="F45" s="35"/>
      <c r="G45" s="35"/>
      <c r="H45" s="35"/>
      <c r="I45" s="35"/>
      <c r="J45" s="35"/>
    </row>
    <row r="46" customFormat="false" ht="15" hidden="false" customHeight="true" outlineLevel="0" collapsed="false">
      <c r="A46" s="37" t="s">
        <v>851</v>
      </c>
      <c r="B46" s="36"/>
      <c r="C46" s="35"/>
      <c r="D46" s="35"/>
      <c r="E46" s="35"/>
      <c r="F46" s="35"/>
      <c r="G46" s="35"/>
      <c r="H46" s="35"/>
      <c r="I46" s="35"/>
      <c r="J46" s="35"/>
    </row>
    <row r="47" customFormat="false" ht="15" hidden="false" customHeight="true" outlineLevel="0" collapsed="false">
      <c r="A47" s="37" t="s">
        <v>852</v>
      </c>
      <c r="B47" s="36"/>
      <c r="C47" s="35"/>
      <c r="D47" s="35"/>
      <c r="E47" s="35"/>
      <c r="F47" s="35"/>
      <c r="G47" s="35"/>
      <c r="H47" s="35"/>
      <c r="I47" s="35"/>
      <c r="J47" s="35"/>
    </row>
    <row r="48" customFormat="false" ht="15" hidden="false" customHeight="true" outlineLevel="0" collapsed="false">
      <c r="A48" s="37" t="s">
        <v>853</v>
      </c>
      <c r="B48" s="36"/>
      <c r="C48" s="35"/>
      <c r="D48" s="35"/>
      <c r="E48" s="35"/>
      <c r="F48" s="35"/>
      <c r="G48" s="35"/>
      <c r="H48" s="35"/>
      <c r="I48" s="35"/>
      <c r="J48" s="35"/>
    </row>
    <row r="49" customFormat="false" ht="15" hidden="false" customHeight="true" outlineLevel="0" collapsed="false">
      <c r="A49" s="37" t="s">
        <v>854</v>
      </c>
      <c r="B49" s="36"/>
      <c r="C49" s="35"/>
      <c r="D49" s="35"/>
      <c r="E49" s="35"/>
      <c r="F49" s="35"/>
      <c r="G49" s="35"/>
      <c r="H49" s="35"/>
      <c r="I49" s="35"/>
      <c r="J49" s="35"/>
    </row>
    <row r="50" customFormat="false" ht="15" hidden="false" customHeight="true" outlineLevel="0" collapsed="false">
      <c r="A50" s="37" t="s">
        <v>855</v>
      </c>
      <c r="B50" s="36"/>
      <c r="C50" s="35"/>
      <c r="D50" s="35"/>
      <c r="E50" s="35"/>
      <c r="F50" s="35"/>
      <c r="G50" s="35"/>
      <c r="H50" s="35"/>
      <c r="I50" s="35"/>
      <c r="J50" s="35"/>
    </row>
    <row r="51" customFormat="false" ht="15" hidden="false" customHeight="true" outlineLevel="0" collapsed="false">
      <c r="A51" s="37" t="s">
        <v>856</v>
      </c>
      <c r="B51" s="36"/>
      <c r="C51" s="35"/>
      <c r="D51" s="35"/>
      <c r="E51" s="35"/>
      <c r="F51" s="35"/>
      <c r="G51" s="35"/>
      <c r="H51" s="35"/>
      <c r="I51" s="35"/>
      <c r="J51" s="35"/>
    </row>
    <row r="52" customFormat="false" ht="15" hidden="false" customHeight="true" outlineLevel="0" collapsed="false">
      <c r="A52" s="37" t="s">
        <v>857</v>
      </c>
      <c r="B52" s="36"/>
      <c r="C52" s="35"/>
      <c r="D52" s="35"/>
      <c r="E52" s="35"/>
      <c r="F52" s="35"/>
      <c r="G52" s="35"/>
      <c r="H52" s="35"/>
      <c r="I52" s="35"/>
      <c r="J52" s="35"/>
    </row>
    <row r="53" customFormat="false" ht="15" hidden="false" customHeight="true" outlineLevel="0" collapsed="false">
      <c r="A53" s="37" t="s">
        <v>858</v>
      </c>
      <c r="B53" s="36"/>
      <c r="C53" s="35"/>
      <c r="D53" s="35"/>
      <c r="E53" s="35"/>
      <c r="F53" s="35"/>
      <c r="G53" s="35"/>
      <c r="H53" s="35"/>
      <c r="I53" s="35"/>
      <c r="J53" s="35"/>
    </row>
    <row r="54" customFormat="false" ht="15" hidden="false" customHeight="true" outlineLevel="0" collapsed="false">
      <c r="A54" s="37" t="s">
        <v>859</v>
      </c>
      <c r="B54" s="36"/>
      <c r="C54" s="35"/>
      <c r="D54" s="35"/>
      <c r="E54" s="35"/>
      <c r="F54" s="35"/>
      <c r="G54" s="35"/>
      <c r="H54" s="35"/>
      <c r="I54" s="35"/>
      <c r="J54" s="35"/>
    </row>
    <row r="55" customFormat="false" ht="15" hidden="false" customHeight="true" outlineLevel="0" collapsed="false">
      <c r="A55" s="37" t="s">
        <v>860</v>
      </c>
      <c r="B55" s="36"/>
      <c r="C55" s="35"/>
      <c r="D55" s="35"/>
      <c r="E55" s="35"/>
      <c r="F55" s="35"/>
      <c r="G55" s="35"/>
      <c r="H55" s="35"/>
      <c r="I55" s="35"/>
      <c r="J55" s="35"/>
    </row>
    <row r="56" customFormat="false" ht="15" hidden="false" customHeight="true" outlineLevel="0" collapsed="false">
      <c r="A56" s="37" t="s">
        <v>861</v>
      </c>
      <c r="B56" s="36"/>
      <c r="C56" s="35"/>
      <c r="D56" s="35"/>
      <c r="E56" s="35"/>
      <c r="F56" s="35"/>
      <c r="G56" s="35"/>
      <c r="H56" s="35"/>
      <c r="I56" s="35"/>
      <c r="J56" s="35"/>
    </row>
    <row r="57" customFormat="false" ht="15" hidden="false" customHeight="true" outlineLevel="0" collapsed="false">
      <c r="A57" s="37" t="s">
        <v>862</v>
      </c>
      <c r="B57" s="36"/>
      <c r="C57" s="35"/>
      <c r="D57" s="35"/>
      <c r="E57" s="35"/>
      <c r="F57" s="35"/>
      <c r="G57" s="35"/>
      <c r="H57" s="35"/>
      <c r="I57" s="35"/>
      <c r="J57" s="35"/>
    </row>
    <row r="58" customFormat="false" ht="15" hidden="false" customHeight="true" outlineLevel="0" collapsed="false">
      <c r="A58" s="37" t="s">
        <v>863</v>
      </c>
      <c r="B58" s="36"/>
      <c r="C58" s="35"/>
      <c r="D58" s="35"/>
      <c r="E58" s="35"/>
      <c r="F58" s="35"/>
      <c r="G58" s="35"/>
      <c r="H58" s="35"/>
      <c r="I58" s="35"/>
      <c r="J58" s="35"/>
    </row>
    <row r="59" customFormat="false" ht="15" hidden="false" customHeight="true" outlineLevel="0" collapsed="false">
      <c r="A59" s="37" t="s">
        <v>864</v>
      </c>
      <c r="B59" s="36"/>
      <c r="C59" s="35"/>
      <c r="D59" s="35"/>
      <c r="E59" s="35"/>
      <c r="F59" s="35"/>
      <c r="G59" s="35"/>
      <c r="H59" s="35"/>
      <c r="I59" s="35"/>
      <c r="J59" s="35"/>
    </row>
    <row r="60" customFormat="false" ht="15" hidden="false" customHeight="true" outlineLevel="0" collapsed="false">
      <c r="A60" s="37" t="s">
        <v>865</v>
      </c>
      <c r="B60" s="36"/>
      <c r="C60" s="35"/>
      <c r="D60" s="35"/>
      <c r="E60" s="35"/>
      <c r="F60" s="35"/>
      <c r="G60" s="35"/>
      <c r="H60" s="35"/>
      <c r="I60" s="35"/>
      <c r="J60" s="35"/>
    </row>
    <row r="61" customFormat="false" ht="15" hidden="false" customHeight="true" outlineLevel="0" collapsed="false">
      <c r="A61" s="37" t="s">
        <v>866</v>
      </c>
      <c r="B61" s="36"/>
      <c r="C61" s="35"/>
      <c r="D61" s="35"/>
      <c r="E61" s="35"/>
      <c r="F61" s="35"/>
      <c r="G61" s="35"/>
      <c r="H61" s="35"/>
      <c r="I61" s="35"/>
      <c r="J61" s="35"/>
    </row>
    <row r="62" customFormat="false" ht="15" hidden="false" customHeight="true" outlineLevel="0" collapsed="false">
      <c r="A62" s="37" t="s">
        <v>867</v>
      </c>
      <c r="B62" s="36"/>
      <c r="C62" s="35"/>
      <c r="D62" s="35"/>
      <c r="E62" s="35"/>
      <c r="F62" s="35"/>
      <c r="G62" s="35"/>
      <c r="H62" s="35"/>
      <c r="I62" s="35"/>
      <c r="J62" s="35"/>
    </row>
    <row r="63" customFormat="false" ht="15" hidden="false" customHeight="true" outlineLevel="0" collapsed="false">
      <c r="A63" s="37" t="s">
        <v>868</v>
      </c>
      <c r="B63" s="36"/>
      <c r="C63" s="35"/>
      <c r="D63" s="35"/>
      <c r="E63" s="35"/>
      <c r="F63" s="35"/>
      <c r="G63" s="35"/>
      <c r="H63" s="35"/>
      <c r="I63" s="35"/>
      <c r="J63" s="35"/>
    </row>
    <row r="64" customFormat="false" ht="15" hidden="false" customHeight="true" outlineLevel="0" collapsed="false">
      <c r="A64" s="37" t="s">
        <v>869</v>
      </c>
      <c r="B64" s="36"/>
      <c r="C64" s="35"/>
      <c r="D64" s="35"/>
      <c r="E64" s="35"/>
      <c r="F64" s="35"/>
      <c r="G64" s="35"/>
      <c r="H64" s="35"/>
      <c r="I64" s="35"/>
      <c r="J64" s="35"/>
    </row>
    <row r="65" customFormat="false" ht="15" hidden="false" customHeight="true" outlineLevel="0" collapsed="false">
      <c r="A65" s="37" t="s">
        <v>870</v>
      </c>
      <c r="B65" s="36"/>
      <c r="C65" s="35"/>
      <c r="D65" s="35"/>
      <c r="E65" s="35"/>
      <c r="F65" s="35"/>
      <c r="G65" s="35"/>
      <c r="H65" s="35"/>
      <c r="I65" s="35"/>
      <c r="J65" s="35"/>
    </row>
    <row r="66" customFormat="false" ht="15" hidden="false" customHeight="true" outlineLevel="0" collapsed="false">
      <c r="A66" s="37" t="s">
        <v>871</v>
      </c>
      <c r="B66" s="36"/>
      <c r="C66" s="35"/>
      <c r="D66" s="35"/>
      <c r="E66" s="35"/>
      <c r="F66" s="35"/>
      <c r="G66" s="35"/>
      <c r="H66" s="35"/>
      <c r="I66" s="35"/>
      <c r="J66" s="35"/>
    </row>
    <row r="67" customFormat="false" ht="15" hidden="false" customHeight="true" outlineLevel="0" collapsed="false">
      <c r="A67" s="37" t="s">
        <v>872</v>
      </c>
      <c r="B67" s="36"/>
      <c r="C67" s="35"/>
      <c r="D67" s="35"/>
      <c r="E67" s="35"/>
      <c r="F67" s="35"/>
      <c r="G67" s="35"/>
      <c r="H67" s="35"/>
      <c r="I67" s="35"/>
      <c r="J67" s="35"/>
    </row>
    <row r="68" customFormat="false" ht="15" hidden="false" customHeight="true" outlineLevel="0" collapsed="false">
      <c r="A68" s="37" t="s">
        <v>873</v>
      </c>
      <c r="B68" s="36"/>
      <c r="C68" s="35"/>
      <c r="D68" s="35"/>
      <c r="E68" s="35"/>
      <c r="F68" s="35"/>
      <c r="G68" s="35"/>
      <c r="H68" s="35"/>
      <c r="I68" s="35"/>
      <c r="J68" s="35"/>
    </row>
    <row r="69" customFormat="false" ht="15" hidden="false" customHeight="true" outlineLevel="0" collapsed="false">
      <c r="A69" s="37" t="s">
        <v>874</v>
      </c>
      <c r="B69" s="36"/>
      <c r="C69" s="35"/>
      <c r="D69" s="35"/>
      <c r="E69" s="35"/>
      <c r="F69" s="35"/>
      <c r="G69" s="35"/>
      <c r="H69" s="35"/>
      <c r="I69" s="35"/>
      <c r="J69" s="35"/>
    </row>
    <row r="70" customFormat="false" ht="15" hidden="false" customHeight="true" outlineLevel="0" collapsed="false">
      <c r="A70" s="37" t="s">
        <v>875</v>
      </c>
      <c r="B70" s="36"/>
      <c r="C70" s="35"/>
      <c r="D70" s="35"/>
      <c r="E70" s="35"/>
      <c r="F70" s="35"/>
      <c r="G70" s="35"/>
      <c r="H70" s="35"/>
      <c r="I70" s="35"/>
      <c r="J70" s="35"/>
    </row>
    <row r="71" customFormat="false" ht="15" hidden="false" customHeight="true" outlineLevel="0" collapsed="false">
      <c r="A71" s="37" t="s">
        <v>876</v>
      </c>
      <c r="B71" s="36"/>
      <c r="C71" s="35"/>
      <c r="D71" s="35"/>
      <c r="E71" s="35"/>
      <c r="F71" s="35"/>
      <c r="G71" s="35"/>
      <c r="H71" s="35"/>
      <c r="I71" s="35"/>
      <c r="J71" s="35"/>
    </row>
    <row r="72" customFormat="false" ht="15" hidden="false" customHeight="true" outlineLevel="0" collapsed="false">
      <c r="A72" s="37" t="s">
        <v>877</v>
      </c>
      <c r="B72" s="36"/>
      <c r="C72" s="35"/>
      <c r="D72" s="35"/>
      <c r="E72" s="35"/>
      <c r="F72" s="35"/>
      <c r="G72" s="35"/>
      <c r="H72" s="35"/>
      <c r="I72" s="35"/>
      <c r="J72" s="35"/>
    </row>
    <row r="73" customFormat="false" ht="15" hidden="false" customHeight="true" outlineLevel="0" collapsed="false">
      <c r="A73" s="37" t="s">
        <v>878</v>
      </c>
      <c r="B73" s="36"/>
      <c r="C73" s="35"/>
      <c r="D73" s="35"/>
      <c r="E73" s="35"/>
      <c r="F73" s="35"/>
      <c r="G73" s="35"/>
      <c r="H73" s="35"/>
      <c r="I73" s="35"/>
      <c r="J73" s="35"/>
    </row>
    <row r="74" customFormat="false" ht="15" hidden="false" customHeight="true" outlineLevel="0" collapsed="false">
      <c r="A74" s="37" t="s">
        <v>879</v>
      </c>
      <c r="B74" s="36"/>
      <c r="C74" s="35"/>
      <c r="D74" s="35"/>
      <c r="E74" s="35"/>
      <c r="F74" s="35"/>
      <c r="G74" s="35"/>
      <c r="H74" s="35"/>
      <c r="I74" s="35"/>
      <c r="J74" s="35"/>
    </row>
    <row r="75" customFormat="false" ht="15" hidden="false" customHeight="true" outlineLevel="0" collapsed="false">
      <c r="A75" s="37" t="s">
        <v>880</v>
      </c>
      <c r="B75" s="36"/>
      <c r="C75" s="35"/>
      <c r="D75" s="35"/>
      <c r="E75" s="35"/>
      <c r="F75" s="35"/>
      <c r="G75" s="35"/>
      <c r="H75" s="35"/>
      <c r="I75" s="35"/>
      <c r="J75" s="35"/>
    </row>
    <row r="76" customFormat="false" ht="15" hidden="false" customHeight="true" outlineLevel="0" collapsed="false">
      <c r="A76" s="37" t="s">
        <v>881</v>
      </c>
      <c r="B76" s="36"/>
      <c r="C76" s="35"/>
      <c r="D76" s="35"/>
      <c r="E76" s="35"/>
      <c r="F76" s="35"/>
      <c r="G76" s="35"/>
      <c r="H76" s="35"/>
      <c r="I76" s="35"/>
      <c r="J76" s="35"/>
    </row>
    <row r="77" customFormat="false" ht="15" hidden="false" customHeight="true" outlineLevel="0" collapsed="false">
      <c r="A77" s="37" t="s">
        <v>882</v>
      </c>
      <c r="B77" s="36"/>
      <c r="C77" s="35"/>
      <c r="D77" s="35"/>
      <c r="E77" s="35"/>
      <c r="F77" s="35"/>
      <c r="G77" s="35"/>
      <c r="H77" s="35"/>
      <c r="I77" s="35"/>
      <c r="J77" s="35"/>
    </row>
    <row r="78" customFormat="false" ht="15" hidden="false" customHeight="true" outlineLevel="0" collapsed="false">
      <c r="A78" s="37" t="s">
        <v>883</v>
      </c>
      <c r="B78" s="36"/>
      <c r="C78" s="35"/>
      <c r="D78" s="35"/>
      <c r="E78" s="35"/>
      <c r="F78" s="35"/>
      <c r="G78" s="35"/>
      <c r="H78" s="35"/>
      <c r="I78" s="35"/>
      <c r="J78" s="35"/>
    </row>
    <row r="79" customFormat="false" ht="15" hidden="false" customHeight="true" outlineLevel="0" collapsed="false">
      <c r="A79" s="37" t="s">
        <v>884</v>
      </c>
      <c r="B79" s="36"/>
      <c r="C79" s="35"/>
      <c r="D79" s="35"/>
      <c r="E79" s="35"/>
      <c r="F79" s="35"/>
      <c r="G79" s="35"/>
      <c r="H79" s="35"/>
      <c r="I79" s="35"/>
      <c r="J79" s="35"/>
    </row>
    <row r="80" customFormat="false" ht="15" hidden="false" customHeight="true" outlineLevel="0" collapsed="false">
      <c r="A80" s="37" t="s">
        <v>885</v>
      </c>
      <c r="B80" s="36"/>
      <c r="C80" s="35"/>
      <c r="D80" s="35"/>
      <c r="E80" s="35"/>
      <c r="F80" s="35"/>
      <c r="G80" s="35"/>
      <c r="H80" s="35"/>
      <c r="I80" s="35"/>
      <c r="J80" s="35"/>
    </row>
    <row r="81" customFormat="false" ht="15" hidden="false" customHeight="true" outlineLevel="0" collapsed="false">
      <c r="A81" s="37" t="s">
        <v>886</v>
      </c>
      <c r="B81" s="36"/>
      <c r="C81" s="35"/>
      <c r="D81" s="35"/>
      <c r="E81" s="35"/>
      <c r="F81" s="35"/>
      <c r="G81" s="35"/>
      <c r="H81" s="35"/>
      <c r="I81" s="35"/>
      <c r="J81" s="35"/>
    </row>
    <row r="82" customFormat="false" ht="15" hidden="false" customHeight="true" outlineLevel="0" collapsed="false">
      <c r="A82" s="37" t="s">
        <v>887</v>
      </c>
      <c r="B82" s="36"/>
      <c r="C82" s="35"/>
      <c r="D82" s="35"/>
      <c r="E82" s="35"/>
      <c r="F82" s="35"/>
      <c r="G82" s="35"/>
      <c r="H82" s="35"/>
      <c r="I82" s="35"/>
      <c r="J82" s="35"/>
    </row>
    <row r="83" customFormat="false" ht="15" hidden="false" customHeight="true" outlineLevel="0" collapsed="false">
      <c r="A83" s="37" t="s">
        <v>888</v>
      </c>
      <c r="B83" s="36"/>
      <c r="C83" s="35"/>
      <c r="D83" s="35"/>
      <c r="E83" s="35"/>
      <c r="F83" s="35"/>
      <c r="G83" s="35"/>
      <c r="H83" s="35"/>
      <c r="I83" s="35"/>
      <c r="J83" s="35"/>
    </row>
    <row r="84" customFormat="false" ht="15" hidden="false" customHeight="true" outlineLevel="0" collapsed="false">
      <c r="A84" s="37" t="s">
        <v>889</v>
      </c>
      <c r="B84" s="36"/>
      <c r="C84" s="35"/>
      <c r="D84" s="35"/>
      <c r="E84" s="35"/>
      <c r="F84" s="35"/>
      <c r="G84" s="35"/>
      <c r="H84" s="35"/>
      <c r="I84" s="35"/>
      <c r="J84" s="35"/>
    </row>
  </sheetData>
  <dataValidations count="9">
    <dataValidation allowBlank="true" error="תאריך בפורמט dd/mm/yyyy, בין 2020 ל-2030" errorStyle="stop" operator="between" showDropDown="false" showErrorMessage="true" showInputMessage="false" sqref="B5:B84" type="date">
      <formula1>DATE(2020,1,1)</formula1>
      <formula2>DATE(2030,12,31)</formula2>
    </dataValidation>
    <dataValidation allowBlank="true" error="בחר ערך מהרשימה" errorStyle="stop" errorTitle="ערך לא תקין" operator="between" showDropDown="false" showErrorMessage="true" showInputMessage="false" sqref="C5:C84" type="list">
      <formula1>L_site</formula1>
      <formula2>0</formula2>
    </dataValidation>
    <dataValidation allowBlank="true" error="בחר ערך מהרשימה" errorStyle="stop" errorTitle="ערך לא תקין" operator="between" showDropDown="false" showErrorMessage="true" showInputMessage="false" sqref="D5:D84" type="list">
      <formula1>L_yn</formula1>
      <formula2>0</formula2>
    </dataValidation>
    <dataValidation allowBlank="true" error="בחר ערך מהרשימה" errorStyle="stop" errorTitle="ערך לא תקין" operator="between" showDropDown="false" showErrorMessage="true" showInputMessage="false" sqref="E5:E84" type="list">
      <formula1>L_yn</formula1>
      <formula2>0</formula2>
    </dataValidation>
    <dataValidation allowBlank="true" error="בחר ערך מהרשימה" errorStyle="stop" errorTitle="ערך לא תקין" operator="between" showDropDown="false" showErrorMessage="true" showInputMessage="false" sqref="F5:F84" type="list">
      <formula1>L_yn</formula1>
      <formula2>0</formula2>
    </dataValidation>
    <dataValidation allowBlank="true" error="בחר ערך מהרשימה" errorStyle="stop" errorTitle="ערך לא תקין" operator="between" showDropDown="false" showErrorMessage="true" showInputMessage="false" sqref="G5:G84" type="list">
      <formula1>L_excl</formula1>
      <formula2>0</formula2>
    </dataValidation>
    <dataValidation allowBlank="true" error="בחר ערך מהרשימה" errorStyle="stop" errorTitle="ערך לא תקין" operator="between" showDropDown="false" showErrorMessage="true" showInputMessage="false" sqref="H5:H84" type="list">
      <formula1>L_yn</formula1>
      <formula2>0</formula2>
    </dataValidation>
    <dataValidation allowBlank="true" error="בחר ערך מהרשימה" errorStyle="stop" errorTitle="ערך לא תקין" operator="between" showDropDown="false" showErrorMessage="true" showInputMessage="false" sqref="I5:I84" type="list">
      <formula1>L_yn</formula1>
      <formula2>0</formula2>
    </dataValidation>
    <dataValidation allowBlank="true" errorStyle="stop" operator="between" showDropDown="false" showErrorMessage="false" showInputMessage="false" sqref="J5:J84" type="list">
      <formula1>Patients!$A$6:$A$25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6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20"/>
    <col collapsed="false" customWidth="true" hidden="false" outlineLevel="0" max="4" min="3" style="1" width="11"/>
    <col collapsed="false" customWidth="true" hidden="false" outlineLevel="0" max="5" min="5" style="1" width="10"/>
  </cols>
  <sheetData>
    <row r="1" customFormat="false" ht="15" hidden="false" customHeight="true" outlineLevel="0" collapsed="false">
      <c r="A1" s="24" t="s">
        <v>890</v>
      </c>
    </row>
    <row r="3" customFormat="false" ht="39.75" hidden="false" customHeight="true" outlineLevel="0" collapsed="false">
      <c r="A3" s="26" t="s">
        <v>891</v>
      </c>
      <c r="B3" s="26" t="s">
        <v>892</v>
      </c>
      <c r="C3" s="26" t="s">
        <v>893</v>
      </c>
      <c r="D3" s="26" t="s">
        <v>894</v>
      </c>
      <c r="E3" s="26" t="s">
        <v>895</v>
      </c>
    </row>
    <row r="4" customFormat="false" ht="15" hidden="false" customHeight="true" outlineLevel="0" collapsed="false">
      <c r="A4" s="27" t="s">
        <v>803</v>
      </c>
      <c r="B4" s="27" t="s">
        <v>481</v>
      </c>
      <c r="C4" s="27" t="s">
        <v>896</v>
      </c>
      <c r="D4" s="27" t="s">
        <v>897</v>
      </c>
      <c r="E4" s="27" t="s">
        <v>898</v>
      </c>
    </row>
    <row r="5" customFormat="false" ht="15" hidden="false" customHeight="true" outlineLevel="0" collapsed="false">
      <c r="A5" s="36"/>
      <c r="B5" s="35"/>
      <c r="C5" s="35"/>
      <c r="D5" s="35"/>
      <c r="E5" s="40" t="str">
        <f aca="false">IF(OR(C5="",C5=0),"",D5/C5)</f>
        <v/>
      </c>
    </row>
    <row r="6" customFormat="false" ht="15" hidden="false" customHeight="true" outlineLevel="0" collapsed="false">
      <c r="A6" s="36"/>
      <c r="B6" s="35"/>
      <c r="C6" s="35"/>
      <c r="D6" s="35"/>
      <c r="E6" s="40" t="str">
        <f aca="false">IF(OR(C6="",C6=0),"",D6/C6)</f>
        <v/>
      </c>
    </row>
    <row r="7" customFormat="false" ht="15" hidden="false" customHeight="true" outlineLevel="0" collapsed="false">
      <c r="A7" s="36"/>
      <c r="B7" s="35"/>
      <c r="C7" s="35"/>
      <c r="D7" s="35"/>
      <c r="E7" s="40" t="str">
        <f aca="false">IF(OR(C7="",C7=0),"",D7/C7)</f>
        <v/>
      </c>
    </row>
    <row r="8" customFormat="false" ht="15" hidden="false" customHeight="true" outlineLevel="0" collapsed="false">
      <c r="A8" s="36"/>
      <c r="B8" s="35"/>
      <c r="C8" s="35"/>
      <c r="D8" s="35"/>
      <c r="E8" s="40" t="str">
        <f aca="false">IF(OR(C8="",C8=0),"",D8/C8)</f>
        <v/>
      </c>
    </row>
    <row r="9" customFormat="false" ht="15" hidden="false" customHeight="true" outlineLevel="0" collapsed="false">
      <c r="A9" s="36"/>
      <c r="B9" s="35"/>
      <c r="C9" s="35"/>
      <c r="D9" s="35"/>
      <c r="E9" s="40" t="str">
        <f aca="false">IF(OR(C9="",C9=0),"",D9/C9)</f>
        <v/>
      </c>
    </row>
    <row r="10" customFormat="false" ht="15" hidden="false" customHeight="true" outlineLevel="0" collapsed="false">
      <c r="A10" s="36"/>
      <c r="B10" s="35"/>
      <c r="C10" s="35"/>
      <c r="D10" s="35"/>
      <c r="E10" s="40" t="str">
        <f aca="false">IF(OR(C10="",C10=0),"",D10/C10)</f>
        <v/>
      </c>
    </row>
    <row r="11" customFormat="false" ht="15" hidden="false" customHeight="true" outlineLevel="0" collapsed="false">
      <c r="A11" s="36"/>
      <c r="B11" s="35"/>
      <c r="C11" s="35"/>
      <c r="D11" s="35"/>
      <c r="E11" s="40" t="str">
        <f aca="false">IF(OR(C11="",C11=0),"",D11/C11)</f>
        <v/>
      </c>
    </row>
    <row r="12" customFormat="false" ht="15" hidden="false" customHeight="true" outlineLevel="0" collapsed="false">
      <c r="A12" s="36"/>
      <c r="B12" s="35"/>
      <c r="C12" s="35"/>
      <c r="D12" s="35"/>
      <c r="E12" s="40" t="str">
        <f aca="false">IF(OR(C12="",C12=0),"",D12/C12)</f>
        <v/>
      </c>
    </row>
    <row r="13" customFormat="false" ht="15" hidden="false" customHeight="true" outlineLevel="0" collapsed="false">
      <c r="A13" s="36"/>
      <c r="B13" s="35"/>
      <c r="C13" s="35"/>
      <c r="D13" s="35"/>
      <c r="E13" s="40" t="str">
        <f aca="false">IF(OR(C13="",C13=0),"",D13/C13)</f>
        <v/>
      </c>
    </row>
    <row r="14" customFormat="false" ht="15" hidden="false" customHeight="true" outlineLevel="0" collapsed="false">
      <c r="A14" s="36"/>
      <c r="B14" s="35"/>
      <c r="C14" s="35"/>
      <c r="D14" s="35"/>
      <c r="E14" s="40" t="str">
        <f aca="false">IF(OR(C14="",C14=0),"",D14/C14)</f>
        <v/>
      </c>
    </row>
    <row r="15" customFormat="false" ht="15" hidden="false" customHeight="true" outlineLevel="0" collapsed="false">
      <c r="A15" s="36"/>
      <c r="B15" s="35"/>
      <c r="C15" s="35"/>
      <c r="D15" s="35"/>
      <c r="E15" s="40" t="str">
        <f aca="false">IF(OR(C15="",C15=0),"",D15/C15)</f>
        <v/>
      </c>
    </row>
    <row r="16" customFormat="false" ht="15" hidden="false" customHeight="true" outlineLevel="0" collapsed="false">
      <c r="A16" s="36"/>
      <c r="B16" s="35"/>
      <c r="C16" s="35"/>
      <c r="D16" s="35"/>
      <c r="E16" s="40" t="str">
        <f aca="false">IF(OR(C16="",C16=0),"",D16/C16)</f>
        <v/>
      </c>
    </row>
    <row r="17" customFormat="false" ht="15" hidden="false" customHeight="true" outlineLevel="0" collapsed="false">
      <c r="A17" s="36"/>
      <c r="B17" s="35"/>
      <c r="C17" s="35"/>
      <c r="D17" s="35"/>
      <c r="E17" s="40" t="str">
        <f aca="false">IF(OR(C17="",C17=0),"",D17/C17)</f>
        <v/>
      </c>
    </row>
    <row r="18" customFormat="false" ht="15" hidden="false" customHeight="true" outlineLevel="0" collapsed="false">
      <c r="A18" s="36"/>
      <c r="B18" s="35"/>
      <c r="C18" s="35"/>
      <c r="D18" s="35"/>
      <c r="E18" s="40" t="str">
        <f aca="false">IF(OR(C18="",C18=0),"",D18/C18)</f>
        <v/>
      </c>
    </row>
    <row r="19" customFormat="false" ht="15" hidden="false" customHeight="true" outlineLevel="0" collapsed="false">
      <c r="A19" s="36"/>
      <c r="B19" s="35"/>
      <c r="C19" s="35"/>
      <c r="D19" s="35"/>
      <c r="E19" s="40" t="str">
        <f aca="false">IF(OR(C19="",C19=0),"",D19/C19)</f>
        <v/>
      </c>
    </row>
    <row r="20" customFormat="false" ht="15" hidden="false" customHeight="true" outlineLevel="0" collapsed="false">
      <c r="A20" s="36"/>
      <c r="B20" s="35"/>
      <c r="C20" s="35"/>
      <c r="D20" s="35"/>
      <c r="E20" s="40" t="str">
        <f aca="false">IF(OR(C20="",C20=0),"",D20/C20)</f>
        <v/>
      </c>
    </row>
    <row r="21" customFormat="false" ht="15" hidden="false" customHeight="true" outlineLevel="0" collapsed="false">
      <c r="A21" s="36"/>
      <c r="B21" s="35"/>
      <c r="C21" s="35"/>
      <c r="D21" s="35"/>
      <c r="E21" s="40" t="str">
        <f aca="false">IF(OR(C21="",C21=0),"",D21/C21)</f>
        <v/>
      </c>
    </row>
    <row r="22" customFormat="false" ht="15" hidden="false" customHeight="true" outlineLevel="0" collapsed="false">
      <c r="A22" s="36"/>
      <c r="B22" s="35"/>
      <c r="C22" s="35"/>
      <c r="D22" s="35"/>
      <c r="E22" s="40" t="str">
        <f aca="false">IF(OR(C22="",C22=0),"",D22/C22)</f>
        <v/>
      </c>
    </row>
    <row r="23" customFormat="false" ht="15" hidden="false" customHeight="true" outlineLevel="0" collapsed="false">
      <c r="A23" s="36"/>
      <c r="B23" s="35"/>
      <c r="C23" s="35"/>
      <c r="D23" s="35"/>
      <c r="E23" s="40" t="str">
        <f aca="false">IF(OR(C23="",C23=0),"",D23/C23)</f>
        <v/>
      </c>
    </row>
    <row r="24" customFormat="false" ht="15" hidden="false" customHeight="true" outlineLevel="0" collapsed="false">
      <c r="A24" s="36"/>
      <c r="B24" s="35"/>
      <c r="C24" s="35"/>
      <c r="D24" s="35"/>
      <c r="E24" s="40" t="str">
        <f aca="false">IF(OR(C24="",C24=0),"",D24/C24)</f>
        <v/>
      </c>
    </row>
    <row r="25" customFormat="false" ht="15" hidden="false" customHeight="true" outlineLevel="0" collapsed="false">
      <c r="A25" s="36"/>
      <c r="B25" s="35"/>
      <c r="C25" s="35"/>
      <c r="D25" s="35"/>
      <c r="E25" s="40" t="str">
        <f aca="false">IF(OR(C25="",C25=0),"",D25/C25)</f>
        <v/>
      </c>
    </row>
    <row r="26" customFormat="false" ht="15" hidden="false" customHeight="true" outlineLevel="0" collapsed="false">
      <c r="A26" s="36"/>
      <c r="B26" s="35"/>
      <c r="C26" s="35"/>
      <c r="D26" s="35"/>
      <c r="E26" s="40" t="str">
        <f aca="false">IF(OR(C26="",C26=0),"",D26/C26)</f>
        <v/>
      </c>
    </row>
    <row r="27" customFormat="false" ht="15" hidden="false" customHeight="true" outlineLevel="0" collapsed="false">
      <c r="A27" s="36"/>
      <c r="B27" s="35"/>
      <c r="C27" s="35"/>
      <c r="D27" s="35"/>
      <c r="E27" s="40" t="str">
        <f aca="false">IF(OR(C27="",C27=0),"",D27/C27)</f>
        <v/>
      </c>
    </row>
    <row r="28" customFormat="false" ht="15" hidden="false" customHeight="true" outlineLevel="0" collapsed="false">
      <c r="A28" s="36"/>
      <c r="B28" s="35"/>
      <c r="C28" s="35"/>
      <c r="D28" s="35"/>
      <c r="E28" s="40" t="str">
        <f aca="false">IF(OR(C28="",C28=0),"",D28/C28)</f>
        <v/>
      </c>
    </row>
    <row r="29" customFormat="false" ht="15" hidden="false" customHeight="true" outlineLevel="0" collapsed="false">
      <c r="A29" s="36"/>
      <c r="B29" s="35"/>
      <c r="C29" s="35"/>
      <c r="D29" s="35"/>
      <c r="E29" s="40" t="str">
        <f aca="false">IF(OR(C29="",C29=0),"",D29/C29)</f>
        <v/>
      </c>
    </row>
    <row r="30" customFormat="false" ht="15" hidden="false" customHeight="true" outlineLevel="0" collapsed="false">
      <c r="A30" s="36"/>
      <c r="B30" s="35"/>
      <c r="C30" s="35"/>
      <c r="D30" s="35"/>
      <c r="E30" s="40" t="str">
        <f aca="false">IF(OR(C30="",C30=0),"",D30/C30)</f>
        <v/>
      </c>
    </row>
    <row r="31" customFormat="false" ht="15" hidden="false" customHeight="true" outlineLevel="0" collapsed="false">
      <c r="A31" s="36"/>
      <c r="B31" s="35"/>
      <c r="C31" s="35"/>
      <c r="D31" s="35"/>
      <c r="E31" s="40" t="str">
        <f aca="false">IF(OR(C31="",C31=0),"",D31/C31)</f>
        <v/>
      </c>
    </row>
    <row r="32" customFormat="false" ht="15" hidden="false" customHeight="true" outlineLevel="0" collapsed="false">
      <c r="A32" s="36"/>
      <c r="B32" s="35"/>
      <c r="C32" s="35"/>
      <c r="D32" s="35"/>
      <c r="E32" s="40" t="str">
        <f aca="false">IF(OR(C32="",C32=0),"",D32/C32)</f>
        <v/>
      </c>
    </row>
    <row r="33" customFormat="false" ht="15" hidden="false" customHeight="true" outlineLevel="0" collapsed="false">
      <c r="A33" s="36"/>
      <c r="B33" s="35"/>
      <c r="C33" s="35"/>
      <c r="D33" s="35"/>
      <c r="E33" s="40" t="str">
        <f aca="false">IF(OR(C33="",C33=0),"",D33/C33)</f>
        <v/>
      </c>
    </row>
    <row r="34" customFormat="false" ht="15" hidden="false" customHeight="true" outlineLevel="0" collapsed="false">
      <c r="A34" s="36"/>
      <c r="B34" s="35"/>
      <c r="C34" s="35"/>
      <c r="D34" s="35"/>
      <c r="E34" s="40" t="str">
        <f aca="false">IF(OR(C34="",C34=0),"",D34/C34)</f>
        <v/>
      </c>
    </row>
    <row r="35" customFormat="false" ht="15" hidden="false" customHeight="true" outlineLevel="0" collapsed="false">
      <c r="A35" s="36"/>
      <c r="B35" s="35"/>
      <c r="C35" s="35"/>
      <c r="D35" s="35"/>
      <c r="E35" s="40" t="str">
        <f aca="false">IF(OR(C35="",C35=0),"",D35/C35)</f>
        <v/>
      </c>
    </row>
    <row r="36" customFormat="false" ht="15" hidden="false" customHeight="true" outlineLevel="0" collapsed="false">
      <c r="A36" s="36"/>
      <c r="B36" s="35"/>
      <c r="C36" s="35"/>
      <c r="D36" s="35"/>
      <c r="E36" s="40" t="str">
        <f aca="false">IF(OR(C36="",C36=0),"",D36/C36)</f>
        <v/>
      </c>
    </row>
    <row r="37" customFormat="false" ht="15" hidden="false" customHeight="true" outlineLevel="0" collapsed="false">
      <c r="A37" s="36"/>
      <c r="B37" s="35"/>
      <c r="C37" s="35"/>
      <c r="D37" s="35"/>
      <c r="E37" s="40" t="str">
        <f aca="false">IF(OR(C37="",C37=0),"",D37/C37)</f>
        <v/>
      </c>
    </row>
    <row r="38" customFormat="false" ht="15" hidden="false" customHeight="true" outlineLevel="0" collapsed="false">
      <c r="A38" s="36"/>
      <c r="B38" s="35"/>
      <c r="C38" s="35"/>
      <c r="D38" s="35"/>
      <c r="E38" s="40" t="str">
        <f aca="false">IF(OR(C38="",C38=0),"",D38/C38)</f>
        <v/>
      </c>
    </row>
    <row r="39" customFormat="false" ht="15" hidden="false" customHeight="true" outlineLevel="0" collapsed="false">
      <c r="A39" s="36"/>
      <c r="B39" s="35"/>
      <c r="C39" s="35"/>
      <c r="D39" s="35"/>
      <c r="E39" s="40" t="str">
        <f aca="false">IF(OR(C39="",C39=0),"",D39/C39)</f>
        <v/>
      </c>
    </row>
    <row r="40" customFormat="false" ht="15" hidden="false" customHeight="true" outlineLevel="0" collapsed="false">
      <c r="A40" s="36"/>
      <c r="B40" s="35"/>
      <c r="C40" s="35"/>
      <c r="D40" s="35"/>
      <c r="E40" s="40" t="str">
        <f aca="false">IF(OR(C40="",C40=0),"",D40/C40)</f>
        <v/>
      </c>
    </row>
    <row r="41" customFormat="false" ht="15" hidden="false" customHeight="true" outlineLevel="0" collapsed="false">
      <c r="A41" s="36"/>
      <c r="B41" s="35"/>
      <c r="C41" s="35"/>
      <c r="D41" s="35"/>
      <c r="E41" s="40" t="str">
        <f aca="false">IF(OR(C41="",C41=0),"",D41/C41)</f>
        <v/>
      </c>
    </row>
    <row r="42" customFormat="false" ht="15" hidden="false" customHeight="true" outlineLevel="0" collapsed="false">
      <c r="A42" s="36"/>
      <c r="B42" s="35"/>
      <c r="C42" s="35"/>
      <c r="D42" s="35"/>
      <c r="E42" s="40" t="str">
        <f aca="false">IF(OR(C42="",C42=0),"",D42/C42)</f>
        <v/>
      </c>
    </row>
    <row r="43" customFormat="false" ht="15" hidden="false" customHeight="true" outlineLevel="0" collapsed="false">
      <c r="A43" s="36"/>
      <c r="B43" s="35"/>
      <c r="C43" s="35"/>
      <c r="D43" s="35"/>
      <c r="E43" s="40" t="str">
        <f aca="false">IF(OR(C43="",C43=0),"",D43/C43)</f>
        <v/>
      </c>
    </row>
    <row r="44" customFormat="false" ht="15" hidden="false" customHeight="true" outlineLevel="0" collapsed="false">
      <c r="A44" s="36"/>
      <c r="B44" s="35"/>
      <c r="C44" s="35"/>
      <c r="D44" s="35"/>
      <c r="E44" s="40" t="str">
        <f aca="false">IF(OR(C44="",C44=0),"",D44/C44)</f>
        <v/>
      </c>
    </row>
    <row r="45" customFormat="false" ht="15" hidden="false" customHeight="true" outlineLevel="0" collapsed="false">
      <c r="A45" s="36"/>
      <c r="B45" s="35"/>
      <c r="C45" s="35"/>
      <c r="D45" s="35"/>
      <c r="E45" s="40" t="str">
        <f aca="false">IF(OR(C45="",C45=0),"",D45/C45)</f>
        <v/>
      </c>
    </row>
    <row r="46" customFormat="false" ht="15" hidden="false" customHeight="true" outlineLevel="0" collapsed="false">
      <c r="A46" s="36"/>
      <c r="B46" s="35"/>
      <c r="C46" s="35"/>
      <c r="D46" s="35"/>
      <c r="E46" s="40" t="str">
        <f aca="false">IF(OR(C46="",C46=0),"",D46/C46)</f>
        <v/>
      </c>
    </row>
    <row r="47" customFormat="false" ht="15" hidden="false" customHeight="true" outlineLevel="0" collapsed="false">
      <c r="A47" s="36"/>
      <c r="B47" s="35"/>
      <c r="C47" s="35"/>
      <c r="D47" s="35"/>
      <c r="E47" s="40" t="str">
        <f aca="false">IF(OR(C47="",C47=0),"",D47/C47)</f>
        <v/>
      </c>
    </row>
    <row r="48" customFormat="false" ht="15" hidden="false" customHeight="true" outlineLevel="0" collapsed="false">
      <c r="A48" s="36"/>
      <c r="B48" s="35"/>
      <c r="C48" s="35"/>
      <c r="D48" s="35"/>
      <c r="E48" s="40" t="str">
        <f aca="false">IF(OR(C48="",C48=0),"",D48/C48)</f>
        <v/>
      </c>
    </row>
    <row r="49" customFormat="false" ht="15" hidden="false" customHeight="true" outlineLevel="0" collapsed="false">
      <c r="A49" s="36"/>
      <c r="B49" s="35"/>
      <c r="C49" s="35"/>
      <c r="D49" s="35"/>
      <c r="E49" s="40" t="str">
        <f aca="false">IF(OR(C49="",C49=0),"",D49/C49)</f>
        <v/>
      </c>
    </row>
    <row r="50" customFormat="false" ht="15" hidden="false" customHeight="true" outlineLevel="0" collapsed="false">
      <c r="A50" s="36"/>
      <c r="B50" s="35"/>
      <c r="C50" s="35"/>
      <c r="D50" s="35"/>
      <c r="E50" s="40" t="str">
        <f aca="false">IF(OR(C50="",C50=0),"",D50/C50)</f>
        <v/>
      </c>
    </row>
    <row r="51" customFormat="false" ht="15" hidden="false" customHeight="true" outlineLevel="0" collapsed="false">
      <c r="A51" s="36"/>
      <c r="B51" s="35"/>
      <c r="C51" s="35"/>
      <c r="D51" s="35"/>
      <c r="E51" s="40" t="str">
        <f aca="false">IF(OR(C51="",C51=0),"",D51/C51)</f>
        <v/>
      </c>
    </row>
    <row r="52" customFormat="false" ht="15" hidden="false" customHeight="true" outlineLevel="0" collapsed="false">
      <c r="A52" s="36"/>
      <c r="B52" s="35"/>
      <c r="C52" s="35"/>
      <c r="D52" s="35"/>
      <c r="E52" s="40" t="str">
        <f aca="false">IF(OR(C52="",C52=0),"",D52/C52)</f>
        <v/>
      </c>
    </row>
    <row r="53" customFormat="false" ht="15" hidden="false" customHeight="true" outlineLevel="0" collapsed="false">
      <c r="A53" s="36"/>
      <c r="B53" s="35"/>
      <c r="C53" s="35"/>
      <c r="D53" s="35"/>
      <c r="E53" s="40" t="str">
        <f aca="false">IF(OR(C53="",C53=0),"",D53/C53)</f>
        <v/>
      </c>
    </row>
    <row r="54" customFormat="false" ht="15" hidden="false" customHeight="true" outlineLevel="0" collapsed="false">
      <c r="A54" s="36"/>
      <c r="B54" s="35"/>
      <c r="C54" s="35"/>
      <c r="D54" s="35"/>
      <c r="E54" s="40" t="str">
        <f aca="false">IF(OR(C54="",C54=0),"",D54/C54)</f>
        <v/>
      </c>
    </row>
    <row r="55" customFormat="false" ht="15" hidden="false" customHeight="true" outlineLevel="0" collapsed="false">
      <c r="A55" s="36"/>
      <c r="B55" s="35"/>
      <c r="C55" s="35"/>
      <c r="D55" s="35"/>
      <c r="E55" s="40" t="str">
        <f aca="false">IF(OR(C55="",C55=0),"",D55/C55)</f>
        <v/>
      </c>
    </row>
    <row r="56" customFormat="false" ht="15" hidden="false" customHeight="true" outlineLevel="0" collapsed="false">
      <c r="A56" s="36"/>
      <c r="B56" s="35"/>
      <c r="C56" s="35"/>
      <c r="D56" s="35"/>
      <c r="E56" s="40" t="str">
        <f aca="false">IF(OR(C56="",C56=0),"",D56/C56)</f>
        <v/>
      </c>
    </row>
    <row r="57" customFormat="false" ht="15" hidden="false" customHeight="true" outlineLevel="0" collapsed="false">
      <c r="A57" s="36"/>
      <c r="B57" s="35"/>
      <c r="C57" s="35"/>
      <c r="D57" s="35"/>
      <c r="E57" s="40" t="str">
        <f aca="false">IF(OR(C57="",C57=0),"",D57/C57)</f>
        <v/>
      </c>
    </row>
    <row r="58" customFormat="false" ht="15" hidden="false" customHeight="true" outlineLevel="0" collapsed="false">
      <c r="A58" s="36"/>
      <c r="B58" s="35"/>
      <c r="C58" s="35"/>
      <c r="D58" s="35"/>
      <c r="E58" s="40" t="str">
        <f aca="false">IF(OR(C58="",C58=0),"",D58/C58)</f>
        <v/>
      </c>
    </row>
    <row r="59" customFormat="false" ht="15" hidden="false" customHeight="true" outlineLevel="0" collapsed="false">
      <c r="A59" s="36"/>
      <c r="B59" s="35"/>
      <c r="C59" s="35"/>
      <c r="D59" s="35"/>
      <c r="E59" s="40" t="str">
        <f aca="false">IF(OR(C59="",C59=0),"",D59/C59)</f>
        <v/>
      </c>
    </row>
    <row r="60" customFormat="false" ht="15" hidden="false" customHeight="true" outlineLevel="0" collapsed="false">
      <c r="A60" s="36"/>
      <c r="B60" s="35"/>
      <c r="C60" s="35"/>
      <c r="D60" s="35"/>
      <c r="E60" s="40" t="str">
        <f aca="false">IF(OR(C60="",C60=0),"",D60/C60)</f>
        <v/>
      </c>
    </row>
    <row r="61" customFormat="false" ht="15" hidden="false" customHeight="true" outlineLevel="0" collapsed="false">
      <c r="A61" s="36"/>
      <c r="B61" s="35"/>
      <c r="C61" s="35"/>
      <c r="D61" s="35"/>
      <c r="E61" s="40" t="str">
        <f aca="false">IF(OR(C61="",C61=0),"",D61/C61)</f>
        <v/>
      </c>
    </row>
    <row r="62" customFormat="false" ht="15" hidden="false" customHeight="true" outlineLevel="0" collapsed="false">
      <c r="A62" s="36"/>
      <c r="B62" s="35"/>
      <c r="C62" s="35"/>
      <c r="D62" s="35"/>
      <c r="E62" s="40" t="str">
        <f aca="false">IF(OR(C62="",C62=0),"",D62/C62)</f>
        <v/>
      </c>
    </row>
    <row r="63" customFormat="false" ht="15" hidden="false" customHeight="true" outlineLevel="0" collapsed="false">
      <c r="A63" s="36"/>
      <c r="B63" s="35"/>
      <c r="C63" s="35"/>
      <c r="D63" s="35"/>
      <c r="E63" s="40" t="str">
        <f aca="false">IF(OR(C63="",C63=0),"",D63/C63)</f>
        <v/>
      </c>
    </row>
    <row r="64" customFormat="false" ht="15" hidden="false" customHeight="true" outlineLevel="0" collapsed="false">
      <c r="A64" s="36"/>
      <c r="B64" s="35"/>
      <c r="C64" s="35"/>
      <c r="D64" s="35"/>
      <c r="E64" s="40" t="str">
        <f aca="false">IF(OR(C64="",C64=0),"",D64/C64)</f>
        <v/>
      </c>
    </row>
    <row r="65" customFormat="false" ht="15" hidden="false" customHeight="true" outlineLevel="0" collapsed="false">
      <c r="A65" s="36"/>
      <c r="B65" s="35"/>
      <c r="C65" s="35"/>
      <c r="D65" s="35"/>
      <c r="E65" s="40" t="str">
        <f aca="false">IF(OR(C65="",C65=0),"",D65/C65)</f>
        <v/>
      </c>
    </row>
    <row r="66" customFormat="false" ht="15" hidden="false" customHeight="true" outlineLevel="0" collapsed="false">
      <c r="A66" s="36"/>
      <c r="B66" s="35"/>
      <c r="C66" s="35"/>
      <c r="D66" s="35"/>
      <c r="E66" s="40" t="str">
        <f aca="false">IF(OR(C66="",C66=0),"",D66/C66)</f>
        <v/>
      </c>
    </row>
    <row r="67" customFormat="false" ht="15" hidden="false" customHeight="true" outlineLevel="0" collapsed="false">
      <c r="A67" s="36"/>
      <c r="B67" s="35"/>
      <c r="C67" s="35"/>
      <c r="D67" s="35"/>
      <c r="E67" s="40" t="str">
        <f aca="false">IF(OR(C67="",C67=0),"",D67/C67)</f>
        <v/>
      </c>
    </row>
    <row r="68" customFormat="false" ht="15" hidden="false" customHeight="true" outlineLevel="0" collapsed="false">
      <c r="A68" s="36"/>
      <c r="B68" s="35"/>
      <c r="C68" s="35"/>
      <c r="D68" s="35"/>
      <c r="E68" s="40" t="str">
        <f aca="false">IF(OR(C68="",C68=0),"",D68/C68)</f>
        <v/>
      </c>
    </row>
    <row r="69" customFormat="false" ht="15" hidden="false" customHeight="true" outlineLevel="0" collapsed="false">
      <c r="A69" s="36"/>
      <c r="B69" s="35"/>
      <c r="C69" s="35"/>
      <c r="D69" s="35"/>
      <c r="E69" s="40" t="str">
        <f aca="false">IF(OR(C69="",C69=0),"",D69/C69)</f>
        <v/>
      </c>
    </row>
    <row r="70" customFormat="false" ht="15" hidden="false" customHeight="true" outlineLevel="0" collapsed="false">
      <c r="A70" s="36"/>
      <c r="B70" s="35"/>
      <c r="C70" s="35"/>
      <c r="D70" s="35"/>
      <c r="E70" s="40" t="str">
        <f aca="false">IF(OR(C70="",C70=0),"",D70/C70)</f>
        <v/>
      </c>
    </row>
    <row r="71" customFormat="false" ht="15" hidden="false" customHeight="true" outlineLevel="0" collapsed="false">
      <c r="A71" s="36"/>
      <c r="B71" s="35"/>
      <c r="C71" s="35"/>
      <c r="D71" s="35"/>
      <c r="E71" s="40" t="str">
        <f aca="false">IF(OR(C71="",C71=0),"",D71/C71)</f>
        <v/>
      </c>
    </row>
    <row r="72" customFormat="false" ht="15" hidden="false" customHeight="true" outlineLevel="0" collapsed="false">
      <c r="A72" s="36"/>
      <c r="B72" s="35"/>
      <c r="C72" s="35"/>
      <c r="D72" s="35"/>
      <c r="E72" s="40" t="str">
        <f aca="false">IF(OR(C72="",C72=0),"",D72/C72)</f>
        <v/>
      </c>
    </row>
    <row r="73" customFormat="false" ht="15" hidden="false" customHeight="true" outlineLevel="0" collapsed="false">
      <c r="A73" s="36"/>
      <c r="B73" s="35"/>
      <c r="C73" s="35"/>
      <c r="D73" s="35"/>
      <c r="E73" s="40" t="str">
        <f aca="false">IF(OR(C73="",C73=0),"",D73/C73)</f>
        <v/>
      </c>
    </row>
    <row r="74" customFormat="false" ht="15" hidden="false" customHeight="true" outlineLevel="0" collapsed="false">
      <c r="A74" s="36"/>
      <c r="B74" s="35"/>
      <c r="C74" s="35"/>
      <c r="D74" s="35"/>
      <c r="E74" s="40" t="str">
        <f aca="false">IF(OR(C74="",C74=0),"",D74/C74)</f>
        <v/>
      </c>
    </row>
    <row r="75" customFormat="false" ht="15" hidden="false" customHeight="true" outlineLevel="0" collapsed="false">
      <c r="A75" s="36"/>
      <c r="B75" s="35"/>
      <c r="C75" s="35"/>
      <c r="D75" s="35"/>
      <c r="E75" s="40" t="str">
        <f aca="false">IF(OR(C75="",C75=0),"",D75/C75)</f>
        <v/>
      </c>
    </row>
    <row r="76" customFormat="false" ht="15" hidden="false" customHeight="true" outlineLevel="0" collapsed="false">
      <c r="A76" s="36"/>
      <c r="B76" s="35"/>
      <c r="C76" s="35"/>
      <c r="D76" s="35"/>
      <c r="E76" s="40" t="str">
        <f aca="false">IF(OR(C76="",C76=0),"",D76/C76)</f>
        <v/>
      </c>
    </row>
  </sheetData>
  <dataValidations count="3">
    <dataValidation allowBlank="true" error="תאריך בפורמט dd/mm/yyyy, בין 2020 ל-2030" errorStyle="stop" operator="between" showDropDown="false" showErrorMessage="true" showInputMessage="false" sqref="A5:A76" type="date">
      <formula1>DATE(2020,1,1)</formula1>
      <formula2>DATE(2030,12,31)</formula2>
    </dataValidation>
    <dataValidation allowBlank="true" error="בחר ערך מהרשימה" errorStyle="stop" errorTitle="ערך לא תקין" operator="between" showDropDown="false" showErrorMessage="true" showInputMessage="false" sqref="B5:B76" type="list">
      <formula1>L_disc</formula1>
      <formula2>0</formula2>
    </dataValidation>
    <dataValidation allowBlank="true" error="מספר שלם בין 0 ל-50" errorStyle="stop" operator="between" showDropDown="false" showErrorMessage="true" showInputMessage="false" sqref="C5:D76" type="whole">
      <formula1>0</formula1>
      <formula2>50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3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9"/>
    <col collapsed="false" customWidth="true" hidden="false" outlineLevel="0" max="3" min="3" style="1" width="30"/>
    <col collapsed="false" customWidth="true" hidden="false" outlineLevel="0" max="4" min="4" style="1" width="10"/>
    <col collapsed="false" customWidth="true" hidden="false" outlineLevel="0" max="5" min="5" style="1" width="70"/>
  </cols>
  <sheetData>
    <row r="1" customFormat="false" ht="15" hidden="false" customHeight="true" outlineLevel="0" collapsed="false">
      <c r="A1" s="14" t="s">
        <v>899</v>
      </c>
      <c r="B1" s="14" t="s">
        <v>900</v>
      </c>
      <c r="C1" s="14" t="s">
        <v>901</v>
      </c>
      <c r="D1" s="14" t="s">
        <v>902</v>
      </c>
      <c r="E1" s="14" t="s">
        <v>903</v>
      </c>
    </row>
    <row r="2" customFormat="false" ht="23.25" hidden="false" customHeight="true" outlineLevel="0" collapsed="false">
      <c r="A2" s="43" t="s">
        <v>42</v>
      </c>
      <c r="B2" s="43" t="s">
        <v>208</v>
      </c>
      <c r="C2" s="43" t="s">
        <v>3</v>
      </c>
      <c r="D2" s="43" t="s">
        <v>904</v>
      </c>
      <c r="E2" s="43" t="s">
        <v>905</v>
      </c>
    </row>
    <row r="3" customFormat="false" ht="15" hidden="false" customHeight="true" outlineLevel="0" collapsed="false">
      <c r="A3" s="43" t="s">
        <v>42</v>
      </c>
      <c r="B3" s="43" t="s">
        <v>209</v>
      </c>
      <c r="C3" s="43" t="s">
        <v>154</v>
      </c>
      <c r="D3" s="43" t="s">
        <v>99</v>
      </c>
      <c r="E3" s="43" t="s">
        <v>906</v>
      </c>
    </row>
    <row r="4" customFormat="false" ht="15" hidden="false" customHeight="true" outlineLevel="0" collapsed="false">
      <c r="A4" s="43" t="s">
        <v>42</v>
      </c>
      <c r="B4" s="43" t="s">
        <v>210</v>
      </c>
      <c r="C4" s="43" t="s">
        <v>155</v>
      </c>
      <c r="D4" s="43" t="s">
        <v>907</v>
      </c>
      <c r="E4" s="43" t="s">
        <v>908</v>
      </c>
    </row>
    <row r="5" customFormat="false" ht="15" hidden="false" customHeight="true" outlineLevel="0" collapsed="false">
      <c r="A5" s="43" t="s">
        <v>42</v>
      </c>
      <c r="B5" s="43" t="s">
        <v>211</v>
      </c>
      <c r="C5" s="43" t="s">
        <v>156</v>
      </c>
      <c r="D5" s="43" t="s">
        <v>907</v>
      </c>
      <c r="E5" s="43" t="s">
        <v>909</v>
      </c>
    </row>
    <row r="6" customFormat="false" ht="15" hidden="false" customHeight="true" outlineLevel="0" collapsed="false">
      <c r="A6" s="43" t="s">
        <v>42</v>
      </c>
      <c r="B6" s="43" t="s">
        <v>212</v>
      </c>
      <c r="C6" s="43" t="s">
        <v>157</v>
      </c>
      <c r="D6" s="43" t="s">
        <v>910</v>
      </c>
      <c r="E6" s="43" t="s">
        <v>911</v>
      </c>
    </row>
    <row r="7" customFormat="false" ht="15" hidden="false" customHeight="true" outlineLevel="0" collapsed="false">
      <c r="A7" s="43" t="s">
        <v>42</v>
      </c>
      <c r="B7" s="43" t="s">
        <v>213</v>
      </c>
      <c r="C7" s="43" t="s">
        <v>158</v>
      </c>
      <c r="D7" s="43" t="s">
        <v>907</v>
      </c>
      <c r="E7" s="43" t="s">
        <v>144</v>
      </c>
    </row>
    <row r="8" customFormat="false" ht="15" hidden="false" customHeight="true" outlineLevel="0" collapsed="false">
      <c r="A8" s="43" t="s">
        <v>42</v>
      </c>
      <c r="B8" s="43" t="s">
        <v>214</v>
      </c>
      <c r="C8" s="43" t="s">
        <v>159</v>
      </c>
      <c r="D8" s="43" t="s">
        <v>99</v>
      </c>
      <c r="E8" s="43" t="s">
        <v>912</v>
      </c>
    </row>
    <row r="9" customFormat="false" ht="15" hidden="false" customHeight="true" outlineLevel="0" collapsed="false">
      <c r="A9" s="43" t="s">
        <v>42</v>
      </c>
      <c r="B9" s="43" t="s">
        <v>215</v>
      </c>
      <c r="C9" s="43" t="s">
        <v>160</v>
      </c>
      <c r="D9" s="43" t="s">
        <v>907</v>
      </c>
      <c r="E9" s="43" t="s">
        <v>145</v>
      </c>
    </row>
    <row r="10" customFormat="false" ht="15" hidden="false" customHeight="true" outlineLevel="0" collapsed="false">
      <c r="A10" s="43" t="s">
        <v>42</v>
      </c>
      <c r="B10" s="43" t="s">
        <v>216</v>
      </c>
      <c r="C10" s="43" t="s">
        <v>161</v>
      </c>
      <c r="D10" s="43" t="s">
        <v>907</v>
      </c>
      <c r="E10" s="43" t="s">
        <v>145</v>
      </c>
    </row>
    <row r="11" customFormat="false" ht="15" hidden="false" customHeight="true" outlineLevel="0" collapsed="false">
      <c r="A11" s="43" t="s">
        <v>42</v>
      </c>
      <c r="B11" s="43" t="s">
        <v>217</v>
      </c>
      <c r="C11" s="43" t="s">
        <v>162</v>
      </c>
      <c r="D11" s="43" t="s">
        <v>907</v>
      </c>
      <c r="E11" s="43" t="s">
        <v>145</v>
      </c>
    </row>
    <row r="12" customFormat="false" ht="15" hidden="false" customHeight="true" outlineLevel="0" collapsed="false">
      <c r="A12" s="43" t="s">
        <v>42</v>
      </c>
      <c r="B12" s="43" t="s">
        <v>218</v>
      </c>
      <c r="C12" s="43" t="s">
        <v>163</v>
      </c>
      <c r="D12" s="43" t="s">
        <v>99</v>
      </c>
      <c r="E12" s="43" t="s">
        <v>145</v>
      </c>
    </row>
    <row r="13" customFormat="false" ht="15" hidden="false" customHeight="true" outlineLevel="0" collapsed="false">
      <c r="A13" s="43" t="s">
        <v>42</v>
      </c>
      <c r="B13" s="43" t="s">
        <v>219</v>
      </c>
      <c r="C13" s="43" t="s">
        <v>164</v>
      </c>
      <c r="D13" s="43" t="s">
        <v>907</v>
      </c>
      <c r="E13" s="43" t="s">
        <v>145</v>
      </c>
    </row>
    <row r="14" customFormat="false" ht="15" hidden="false" customHeight="true" outlineLevel="0" collapsed="false">
      <c r="A14" s="43" t="s">
        <v>42</v>
      </c>
      <c r="B14" s="43" t="s">
        <v>220</v>
      </c>
      <c r="C14" s="43" t="s">
        <v>165</v>
      </c>
      <c r="D14" s="43" t="s">
        <v>907</v>
      </c>
      <c r="E14" s="43" t="s">
        <v>145</v>
      </c>
    </row>
    <row r="15" customFormat="false" ht="15" hidden="false" customHeight="true" outlineLevel="0" collapsed="false">
      <c r="A15" s="43" t="s">
        <v>42</v>
      </c>
      <c r="B15" s="43" t="s">
        <v>221</v>
      </c>
      <c r="C15" s="43" t="s">
        <v>166</v>
      </c>
      <c r="D15" s="43" t="s">
        <v>907</v>
      </c>
      <c r="E15" s="43" t="s">
        <v>913</v>
      </c>
    </row>
    <row r="16" customFormat="false" ht="15" hidden="false" customHeight="true" outlineLevel="0" collapsed="false">
      <c r="A16" s="43" t="s">
        <v>42</v>
      </c>
      <c r="B16" s="43" t="s">
        <v>222</v>
      </c>
      <c r="C16" s="43" t="s">
        <v>167</v>
      </c>
      <c r="D16" s="43" t="s">
        <v>907</v>
      </c>
      <c r="E16" s="43" t="s">
        <v>146</v>
      </c>
    </row>
    <row r="17" customFormat="false" ht="15" hidden="false" customHeight="true" outlineLevel="0" collapsed="false">
      <c r="A17" s="43" t="s">
        <v>42</v>
      </c>
      <c r="B17" s="43" t="s">
        <v>168</v>
      </c>
      <c r="C17" s="43" t="s">
        <v>168</v>
      </c>
      <c r="D17" s="43" t="s">
        <v>907</v>
      </c>
      <c r="E17" s="43" t="s">
        <v>914</v>
      </c>
    </row>
    <row r="18" customFormat="false" ht="15" hidden="false" customHeight="true" outlineLevel="0" collapsed="false">
      <c r="A18" s="43" t="s">
        <v>42</v>
      </c>
      <c r="B18" s="43" t="s">
        <v>169</v>
      </c>
      <c r="C18" s="43" t="s">
        <v>169</v>
      </c>
      <c r="D18" s="43" t="s">
        <v>907</v>
      </c>
      <c r="E18" s="43" t="s">
        <v>914</v>
      </c>
    </row>
    <row r="19" customFormat="false" ht="15" hidden="false" customHeight="true" outlineLevel="0" collapsed="false">
      <c r="A19" s="43" t="s">
        <v>42</v>
      </c>
      <c r="B19" s="43" t="s">
        <v>170</v>
      </c>
      <c r="C19" s="43" t="s">
        <v>170</v>
      </c>
      <c r="D19" s="43" t="s">
        <v>907</v>
      </c>
      <c r="E19" s="43" t="s">
        <v>146</v>
      </c>
    </row>
    <row r="20" customFormat="false" ht="15" hidden="false" customHeight="true" outlineLevel="0" collapsed="false">
      <c r="A20" s="43" t="s">
        <v>42</v>
      </c>
      <c r="B20" s="43" t="s">
        <v>223</v>
      </c>
      <c r="C20" s="43" t="s">
        <v>171</v>
      </c>
      <c r="D20" s="43" t="s">
        <v>907</v>
      </c>
      <c r="E20" s="43" t="s">
        <v>914</v>
      </c>
    </row>
    <row r="21" customFormat="false" ht="15" hidden="false" customHeight="true" outlineLevel="0" collapsed="false">
      <c r="A21" s="43" t="s">
        <v>42</v>
      </c>
      <c r="B21" s="43" t="s">
        <v>224</v>
      </c>
      <c r="C21" s="43" t="s">
        <v>172</v>
      </c>
      <c r="D21" s="43" t="s">
        <v>907</v>
      </c>
      <c r="E21" s="43" t="s">
        <v>915</v>
      </c>
    </row>
    <row r="22" customFormat="false" ht="15" hidden="false" customHeight="true" outlineLevel="0" collapsed="false">
      <c r="A22" s="43" t="s">
        <v>42</v>
      </c>
      <c r="B22" s="43" t="s">
        <v>225</v>
      </c>
      <c r="C22" s="43" t="s">
        <v>173</v>
      </c>
      <c r="D22" s="43" t="s">
        <v>907</v>
      </c>
      <c r="E22" s="43" t="s">
        <v>916</v>
      </c>
    </row>
    <row r="23" customFormat="false" ht="15" hidden="false" customHeight="true" outlineLevel="0" collapsed="false">
      <c r="A23" s="43" t="s">
        <v>42</v>
      </c>
      <c r="B23" s="43" t="s">
        <v>174</v>
      </c>
      <c r="C23" s="43" t="s">
        <v>174</v>
      </c>
      <c r="D23" s="43" t="s">
        <v>907</v>
      </c>
      <c r="E23" s="43" t="s">
        <v>917</v>
      </c>
    </row>
    <row r="24" customFormat="false" ht="15" hidden="false" customHeight="true" outlineLevel="0" collapsed="false">
      <c r="A24" s="43" t="s">
        <v>42</v>
      </c>
      <c r="B24" s="43" t="s">
        <v>175</v>
      </c>
      <c r="C24" s="43" t="s">
        <v>175</v>
      </c>
      <c r="D24" s="43" t="s">
        <v>907</v>
      </c>
      <c r="E24" s="43" t="s">
        <v>917</v>
      </c>
    </row>
    <row r="25" customFormat="false" ht="15" hidden="false" customHeight="true" outlineLevel="0" collapsed="false">
      <c r="A25" s="43" t="s">
        <v>42</v>
      </c>
      <c r="B25" s="43" t="s">
        <v>226</v>
      </c>
      <c r="C25" s="43" t="s">
        <v>176</v>
      </c>
      <c r="D25" s="43" t="s">
        <v>910</v>
      </c>
      <c r="E25" s="43" t="s">
        <v>147</v>
      </c>
    </row>
    <row r="26" customFormat="false" ht="15" hidden="false" customHeight="true" outlineLevel="0" collapsed="false">
      <c r="A26" s="43" t="s">
        <v>42</v>
      </c>
      <c r="B26" s="43" t="s">
        <v>227</v>
      </c>
      <c r="C26" s="43" t="s">
        <v>177</v>
      </c>
      <c r="D26" s="43" t="s">
        <v>910</v>
      </c>
      <c r="E26" s="43" t="s">
        <v>147</v>
      </c>
    </row>
    <row r="27" customFormat="false" ht="15" hidden="false" customHeight="true" outlineLevel="0" collapsed="false">
      <c r="A27" s="43" t="s">
        <v>42</v>
      </c>
      <c r="B27" s="43" t="s">
        <v>228</v>
      </c>
      <c r="C27" s="43" t="s">
        <v>178</v>
      </c>
      <c r="D27" s="43" t="s">
        <v>910</v>
      </c>
      <c r="E27" s="43" t="s">
        <v>918</v>
      </c>
    </row>
    <row r="28" customFormat="false" ht="15" hidden="false" customHeight="true" outlineLevel="0" collapsed="false">
      <c r="A28" s="43" t="s">
        <v>42</v>
      </c>
      <c r="B28" s="43" t="s">
        <v>229</v>
      </c>
      <c r="C28" s="43" t="s">
        <v>179</v>
      </c>
      <c r="D28" s="43" t="s">
        <v>910</v>
      </c>
      <c r="E28" s="43" t="s">
        <v>147</v>
      </c>
    </row>
    <row r="29" customFormat="false" ht="15" hidden="false" customHeight="true" outlineLevel="0" collapsed="false">
      <c r="A29" s="43" t="s">
        <v>42</v>
      </c>
      <c r="B29" s="43" t="s">
        <v>230</v>
      </c>
      <c r="C29" s="43" t="s">
        <v>180</v>
      </c>
      <c r="D29" s="43" t="s">
        <v>910</v>
      </c>
      <c r="E29" s="43" t="s">
        <v>919</v>
      </c>
    </row>
    <row r="30" customFormat="false" ht="15" hidden="false" customHeight="true" outlineLevel="0" collapsed="false">
      <c r="A30" s="43" t="s">
        <v>42</v>
      </c>
      <c r="B30" s="43" t="s">
        <v>231</v>
      </c>
      <c r="C30" s="43" t="s">
        <v>181</v>
      </c>
      <c r="D30" s="43" t="s">
        <v>910</v>
      </c>
      <c r="E30" s="43" t="s">
        <v>147</v>
      </c>
    </row>
    <row r="31" customFormat="false" ht="15" hidden="false" customHeight="true" outlineLevel="0" collapsed="false">
      <c r="A31" s="43" t="s">
        <v>42</v>
      </c>
      <c r="B31" s="43" t="s">
        <v>232</v>
      </c>
      <c r="C31" s="43" t="s">
        <v>182</v>
      </c>
      <c r="D31" s="43" t="s">
        <v>910</v>
      </c>
      <c r="E31" s="43" t="s">
        <v>920</v>
      </c>
    </row>
    <row r="32" customFormat="false" ht="15" hidden="false" customHeight="true" outlineLevel="0" collapsed="false">
      <c r="A32" s="43" t="s">
        <v>42</v>
      </c>
      <c r="B32" s="43" t="s">
        <v>233</v>
      </c>
      <c r="C32" s="43" t="s">
        <v>183</v>
      </c>
      <c r="D32" s="43" t="s">
        <v>907</v>
      </c>
      <c r="E32" s="43" t="s">
        <v>147</v>
      </c>
    </row>
    <row r="33" customFormat="false" ht="15" hidden="false" customHeight="true" outlineLevel="0" collapsed="false">
      <c r="A33" s="43" t="s">
        <v>42</v>
      </c>
      <c r="B33" s="43" t="s">
        <v>234</v>
      </c>
      <c r="C33" s="43" t="s">
        <v>184</v>
      </c>
      <c r="D33" s="43" t="s">
        <v>907</v>
      </c>
      <c r="E33" s="43" t="s">
        <v>147</v>
      </c>
    </row>
    <row r="34" customFormat="false" ht="15" hidden="false" customHeight="true" outlineLevel="0" collapsed="false">
      <c r="A34" s="43" t="s">
        <v>42</v>
      </c>
      <c r="B34" s="43" t="s">
        <v>235</v>
      </c>
      <c r="C34" s="43" t="s">
        <v>185</v>
      </c>
      <c r="D34" s="43" t="s">
        <v>910</v>
      </c>
      <c r="E34" s="43" t="s">
        <v>921</v>
      </c>
    </row>
    <row r="35" customFormat="false" ht="15" hidden="false" customHeight="true" outlineLevel="0" collapsed="false">
      <c r="A35" s="43" t="s">
        <v>42</v>
      </c>
      <c r="B35" s="43" t="s">
        <v>236</v>
      </c>
      <c r="C35" s="43" t="s">
        <v>186</v>
      </c>
      <c r="D35" s="43" t="s">
        <v>910</v>
      </c>
      <c r="E35" s="43" t="s">
        <v>921</v>
      </c>
    </row>
    <row r="36" customFormat="false" ht="15" hidden="false" customHeight="true" outlineLevel="0" collapsed="false">
      <c r="A36" s="43" t="s">
        <v>42</v>
      </c>
      <c r="B36" s="43" t="s">
        <v>237</v>
      </c>
      <c r="C36" s="43" t="s">
        <v>187</v>
      </c>
      <c r="D36" s="43" t="s">
        <v>910</v>
      </c>
      <c r="E36" s="43" t="s">
        <v>922</v>
      </c>
    </row>
    <row r="37" customFormat="false" ht="15" hidden="false" customHeight="true" outlineLevel="0" collapsed="false">
      <c r="A37" s="43" t="s">
        <v>42</v>
      </c>
      <c r="B37" s="43" t="s">
        <v>238</v>
      </c>
      <c r="C37" s="43" t="s">
        <v>188</v>
      </c>
      <c r="D37" s="43" t="s">
        <v>907</v>
      </c>
      <c r="E37" s="43" t="s">
        <v>147</v>
      </c>
    </row>
    <row r="38" customFormat="false" ht="15" hidden="false" customHeight="true" outlineLevel="0" collapsed="false">
      <c r="A38" s="43" t="s">
        <v>42</v>
      </c>
      <c r="B38" s="43" t="s">
        <v>239</v>
      </c>
      <c r="C38" s="43" t="s">
        <v>189</v>
      </c>
      <c r="D38" s="43" t="s">
        <v>907</v>
      </c>
      <c r="E38" s="43" t="s">
        <v>147</v>
      </c>
    </row>
    <row r="39" customFormat="false" ht="15" hidden="false" customHeight="true" outlineLevel="0" collapsed="false">
      <c r="A39" s="43" t="s">
        <v>42</v>
      </c>
      <c r="B39" s="43" t="s">
        <v>240</v>
      </c>
      <c r="C39" s="43" t="s">
        <v>190</v>
      </c>
      <c r="D39" s="43" t="s">
        <v>907</v>
      </c>
      <c r="E39" s="43" t="s">
        <v>147</v>
      </c>
    </row>
    <row r="40" customFormat="false" ht="15" hidden="false" customHeight="true" outlineLevel="0" collapsed="false">
      <c r="A40" s="43" t="s">
        <v>42</v>
      </c>
      <c r="B40" s="43" t="s">
        <v>241</v>
      </c>
      <c r="C40" s="43" t="s">
        <v>191</v>
      </c>
      <c r="D40" s="43" t="s">
        <v>910</v>
      </c>
      <c r="E40" s="43" t="s">
        <v>923</v>
      </c>
    </row>
    <row r="41" customFormat="false" ht="15" hidden="false" customHeight="true" outlineLevel="0" collapsed="false">
      <c r="A41" s="43" t="s">
        <v>42</v>
      </c>
      <c r="B41" s="43" t="s">
        <v>242</v>
      </c>
      <c r="C41" s="43" t="s">
        <v>192</v>
      </c>
      <c r="D41" s="43" t="s">
        <v>910</v>
      </c>
      <c r="E41" s="43" t="s">
        <v>149</v>
      </c>
    </row>
    <row r="42" customFormat="false" ht="15" hidden="false" customHeight="true" outlineLevel="0" collapsed="false">
      <c r="A42" s="43" t="s">
        <v>42</v>
      </c>
      <c r="B42" s="43" t="s">
        <v>243</v>
      </c>
      <c r="C42" s="43" t="s">
        <v>193</v>
      </c>
      <c r="D42" s="43" t="s">
        <v>910</v>
      </c>
      <c r="E42" s="43" t="s">
        <v>149</v>
      </c>
    </row>
    <row r="43" customFormat="false" ht="15" hidden="false" customHeight="true" outlineLevel="0" collapsed="false">
      <c r="A43" s="43" t="s">
        <v>42</v>
      </c>
      <c r="B43" s="43" t="s">
        <v>244</v>
      </c>
      <c r="C43" s="43" t="s">
        <v>194</v>
      </c>
      <c r="D43" s="43" t="s">
        <v>907</v>
      </c>
      <c r="E43" s="43" t="s">
        <v>924</v>
      </c>
    </row>
    <row r="44" customFormat="false" ht="15" hidden="false" customHeight="true" outlineLevel="0" collapsed="false">
      <c r="A44" s="43" t="s">
        <v>42</v>
      </c>
      <c r="B44" s="43" t="s">
        <v>245</v>
      </c>
      <c r="C44" s="43" t="s">
        <v>195</v>
      </c>
      <c r="D44" s="43" t="s">
        <v>907</v>
      </c>
      <c r="E44" s="43" t="s">
        <v>924</v>
      </c>
    </row>
    <row r="45" customFormat="false" ht="15" hidden="false" customHeight="true" outlineLevel="0" collapsed="false">
      <c r="A45" s="43" t="s">
        <v>42</v>
      </c>
      <c r="B45" s="43" t="s">
        <v>246</v>
      </c>
      <c r="C45" s="43" t="s">
        <v>196</v>
      </c>
      <c r="D45" s="43" t="s">
        <v>904</v>
      </c>
      <c r="E45" s="43" t="s">
        <v>925</v>
      </c>
    </row>
    <row r="46" customFormat="false" ht="15" hidden="false" customHeight="true" outlineLevel="0" collapsed="false">
      <c r="A46" s="43" t="s">
        <v>42</v>
      </c>
      <c r="B46" s="43" t="s">
        <v>247</v>
      </c>
      <c r="C46" s="43" t="s">
        <v>197</v>
      </c>
      <c r="D46" s="43" t="s">
        <v>904</v>
      </c>
      <c r="E46" s="43" t="s">
        <v>925</v>
      </c>
    </row>
    <row r="47" customFormat="false" ht="15" hidden="false" customHeight="true" outlineLevel="0" collapsed="false">
      <c r="A47" s="43" t="s">
        <v>42</v>
      </c>
      <c r="B47" s="43" t="s">
        <v>248</v>
      </c>
      <c r="C47" s="43" t="s">
        <v>198</v>
      </c>
      <c r="D47" s="43" t="s">
        <v>910</v>
      </c>
      <c r="E47" s="43" t="s">
        <v>151</v>
      </c>
    </row>
    <row r="48" customFormat="false" ht="15" hidden="false" customHeight="true" outlineLevel="0" collapsed="false">
      <c r="A48" s="43" t="s">
        <v>42</v>
      </c>
      <c r="B48" s="43" t="s">
        <v>249</v>
      </c>
      <c r="C48" s="43" t="s">
        <v>199</v>
      </c>
      <c r="D48" s="43" t="s">
        <v>907</v>
      </c>
      <c r="E48" s="43" t="s">
        <v>151</v>
      </c>
    </row>
    <row r="49" customFormat="false" ht="15" hidden="false" customHeight="true" outlineLevel="0" collapsed="false">
      <c r="A49" s="43" t="s">
        <v>42</v>
      </c>
      <c r="B49" s="43" t="s">
        <v>250</v>
      </c>
      <c r="C49" s="43" t="s">
        <v>78</v>
      </c>
      <c r="D49" s="43" t="s">
        <v>904</v>
      </c>
      <c r="E49" s="43" t="s">
        <v>926</v>
      </c>
    </row>
    <row r="50" customFormat="false" ht="15" hidden="false" customHeight="true" outlineLevel="0" collapsed="false">
      <c r="A50" s="43" t="s">
        <v>42</v>
      </c>
      <c r="B50" s="43" t="s">
        <v>251</v>
      </c>
      <c r="C50" s="43" t="s">
        <v>79</v>
      </c>
      <c r="D50" s="43" t="s">
        <v>904</v>
      </c>
      <c r="E50" s="43" t="s">
        <v>927</v>
      </c>
    </row>
    <row r="51" customFormat="false" ht="15" hidden="false" customHeight="true" outlineLevel="0" collapsed="false">
      <c r="A51" s="43" t="s">
        <v>42</v>
      </c>
      <c r="B51" s="43" t="s">
        <v>252</v>
      </c>
      <c r="C51" s="43" t="s">
        <v>80</v>
      </c>
      <c r="D51" s="43" t="s">
        <v>904</v>
      </c>
      <c r="E51" s="43" t="s">
        <v>927</v>
      </c>
    </row>
    <row r="52" customFormat="false" ht="15" hidden="false" customHeight="true" outlineLevel="0" collapsed="false">
      <c r="A52" s="43" t="s">
        <v>42</v>
      </c>
      <c r="B52" s="43" t="s">
        <v>253</v>
      </c>
      <c r="C52" s="43" t="s">
        <v>200</v>
      </c>
      <c r="D52" s="43" t="s">
        <v>904</v>
      </c>
      <c r="E52" s="43" t="s">
        <v>928</v>
      </c>
    </row>
    <row r="53" customFormat="false" ht="15" hidden="false" customHeight="true" outlineLevel="0" collapsed="false">
      <c r="A53" s="43" t="s">
        <v>42</v>
      </c>
      <c r="B53" s="43" t="s">
        <v>254</v>
      </c>
      <c r="C53" s="43" t="s">
        <v>201</v>
      </c>
      <c r="D53" s="43" t="s">
        <v>904</v>
      </c>
      <c r="E53" s="43" t="s">
        <v>152</v>
      </c>
    </row>
    <row r="54" customFormat="false" ht="15" hidden="false" customHeight="true" outlineLevel="0" collapsed="false">
      <c r="A54" s="43" t="s">
        <v>42</v>
      </c>
      <c r="B54" s="43" t="s">
        <v>255</v>
      </c>
      <c r="C54" s="43" t="s">
        <v>202</v>
      </c>
      <c r="D54" s="43" t="s">
        <v>904</v>
      </c>
      <c r="E54" s="43" t="s">
        <v>929</v>
      </c>
    </row>
    <row r="55" customFormat="false" ht="15" hidden="false" customHeight="true" outlineLevel="0" collapsed="false">
      <c r="A55" s="43" t="s">
        <v>42</v>
      </c>
      <c r="B55" s="43" t="s">
        <v>256</v>
      </c>
      <c r="C55" s="43" t="s">
        <v>203</v>
      </c>
      <c r="D55" s="43" t="s">
        <v>904</v>
      </c>
      <c r="E55" s="43" t="s">
        <v>930</v>
      </c>
    </row>
    <row r="56" customFormat="false" ht="23.25" hidden="false" customHeight="true" outlineLevel="0" collapsed="false">
      <c r="A56" s="43" t="s">
        <v>42</v>
      </c>
      <c r="B56" s="43" t="s">
        <v>257</v>
      </c>
      <c r="C56" s="43" t="s">
        <v>83</v>
      </c>
      <c r="D56" s="43" t="s">
        <v>904</v>
      </c>
      <c r="E56" s="43" t="s">
        <v>931</v>
      </c>
    </row>
    <row r="57" customFormat="false" ht="15" hidden="false" customHeight="true" outlineLevel="0" collapsed="false">
      <c r="A57" s="43" t="s">
        <v>42</v>
      </c>
      <c r="B57" s="43" t="s">
        <v>258</v>
      </c>
      <c r="C57" s="43" t="s">
        <v>204</v>
      </c>
      <c r="D57" s="43" t="s">
        <v>904</v>
      </c>
      <c r="E57" s="43" t="s">
        <v>932</v>
      </c>
    </row>
    <row r="58" customFormat="false" ht="15" hidden="false" customHeight="true" outlineLevel="0" collapsed="false">
      <c r="A58" s="43" t="s">
        <v>42</v>
      </c>
      <c r="B58" s="43" t="s">
        <v>259</v>
      </c>
      <c r="C58" s="43" t="s">
        <v>205</v>
      </c>
      <c r="D58" s="43" t="s">
        <v>904</v>
      </c>
      <c r="E58" s="43" t="s">
        <v>933</v>
      </c>
    </row>
    <row r="59" customFormat="false" ht="15" hidden="false" customHeight="true" outlineLevel="0" collapsed="false">
      <c r="A59" s="43" t="s">
        <v>42</v>
      </c>
      <c r="B59" s="43" t="s">
        <v>260</v>
      </c>
      <c r="C59" s="43" t="s">
        <v>81</v>
      </c>
      <c r="D59" s="43" t="s">
        <v>904</v>
      </c>
      <c r="E59" s="43" t="s">
        <v>934</v>
      </c>
    </row>
    <row r="60" customFormat="false" ht="15" hidden="false" customHeight="true" outlineLevel="0" collapsed="false">
      <c r="A60" s="43" t="s">
        <v>42</v>
      </c>
      <c r="B60" s="43" t="s">
        <v>261</v>
      </c>
      <c r="C60" s="43" t="s">
        <v>82</v>
      </c>
      <c r="D60" s="43" t="s">
        <v>904</v>
      </c>
      <c r="E60" s="43" t="s">
        <v>152</v>
      </c>
    </row>
    <row r="61" customFormat="false" ht="15" hidden="false" customHeight="true" outlineLevel="0" collapsed="false">
      <c r="A61" s="43" t="s">
        <v>42</v>
      </c>
      <c r="B61" s="43" t="s">
        <v>262</v>
      </c>
      <c r="C61" s="43" t="s">
        <v>206</v>
      </c>
      <c r="D61" s="43" t="s">
        <v>904</v>
      </c>
      <c r="E61" s="43" t="s">
        <v>935</v>
      </c>
    </row>
    <row r="62" customFormat="false" ht="15" hidden="false" customHeight="true" outlineLevel="0" collapsed="false">
      <c r="A62" s="43" t="s">
        <v>42</v>
      </c>
      <c r="B62" s="43" t="s">
        <v>263</v>
      </c>
      <c r="C62" s="43" t="s">
        <v>207</v>
      </c>
      <c r="D62" s="43" t="s">
        <v>936</v>
      </c>
      <c r="E62" s="43" t="s">
        <v>937</v>
      </c>
    </row>
    <row r="63" customFormat="false" ht="15" hidden="false" customHeight="true" outlineLevel="0" collapsed="false">
      <c r="A63" s="44" t="s">
        <v>46</v>
      </c>
      <c r="B63" s="44" t="s">
        <v>331</v>
      </c>
      <c r="C63" s="44" t="s">
        <v>319</v>
      </c>
      <c r="D63" s="44" t="s">
        <v>904</v>
      </c>
      <c r="E63" s="44"/>
    </row>
    <row r="64" customFormat="false" ht="15" hidden="false" customHeight="true" outlineLevel="0" collapsed="false">
      <c r="A64" s="44" t="s">
        <v>46</v>
      </c>
      <c r="B64" s="44" t="s">
        <v>332</v>
      </c>
      <c r="C64" s="44" t="s">
        <v>320</v>
      </c>
      <c r="D64" s="44" t="s">
        <v>938</v>
      </c>
      <c r="E64" s="44"/>
    </row>
    <row r="65" customFormat="false" ht="15" hidden="false" customHeight="true" outlineLevel="0" collapsed="false">
      <c r="A65" s="44" t="s">
        <v>46</v>
      </c>
      <c r="B65" s="44" t="s">
        <v>333</v>
      </c>
      <c r="C65" s="44" t="s">
        <v>321</v>
      </c>
      <c r="D65" s="44" t="s">
        <v>904</v>
      </c>
      <c r="E65" s="44"/>
    </row>
    <row r="66" customFormat="false" ht="15" hidden="false" customHeight="true" outlineLevel="0" collapsed="false">
      <c r="A66" s="44" t="s">
        <v>46</v>
      </c>
      <c r="B66" s="44" t="s">
        <v>334</v>
      </c>
      <c r="C66" s="44" t="s">
        <v>322</v>
      </c>
      <c r="D66" s="44" t="s">
        <v>938</v>
      </c>
      <c r="E66" s="44"/>
    </row>
    <row r="67" customFormat="false" ht="15" hidden="false" customHeight="true" outlineLevel="0" collapsed="false">
      <c r="A67" s="44" t="s">
        <v>46</v>
      </c>
      <c r="B67" s="44" t="s">
        <v>335</v>
      </c>
      <c r="C67" s="44" t="s">
        <v>323</v>
      </c>
      <c r="D67" s="44" t="s">
        <v>938</v>
      </c>
      <c r="E67" s="44"/>
    </row>
    <row r="68" customFormat="false" ht="15" hidden="false" customHeight="true" outlineLevel="0" collapsed="false">
      <c r="A68" s="44" t="s">
        <v>46</v>
      </c>
      <c r="B68" s="44" t="s">
        <v>336</v>
      </c>
      <c r="C68" s="44" t="s">
        <v>324</v>
      </c>
      <c r="D68" s="44" t="s">
        <v>938</v>
      </c>
      <c r="E68" s="44"/>
    </row>
    <row r="69" customFormat="false" ht="15" hidden="false" customHeight="true" outlineLevel="0" collapsed="false">
      <c r="A69" s="44" t="s">
        <v>46</v>
      </c>
      <c r="B69" s="44" t="s">
        <v>337</v>
      </c>
      <c r="C69" s="44" t="s">
        <v>325</v>
      </c>
      <c r="D69" s="44" t="s">
        <v>938</v>
      </c>
      <c r="E69" s="44"/>
    </row>
    <row r="70" customFormat="false" ht="15" hidden="false" customHeight="true" outlineLevel="0" collapsed="false">
      <c r="A70" s="44" t="s">
        <v>46</v>
      </c>
      <c r="B70" s="44" t="s">
        <v>338</v>
      </c>
      <c r="C70" s="44" t="s">
        <v>326</v>
      </c>
      <c r="D70" s="44" t="s">
        <v>938</v>
      </c>
      <c r="E70" s="44"/>
    </row>
    <row r="71" customFormat="false" ht="15" hidden="false" customHeight="true" outlineLevel="0" collapsed="false">
      <c r="A71" s="44" t="s">
        <v>46</v>
      </c>
      <c r="B71" s="44" t="s">
        <v>339</v>
      </c>
      <c r="C71" s="44" t="s">
        <v>327</v>
      </c>
      <c r="D71" s="44" t="s">
        <v>938</v>
      </c>
      <c r="E71" s="44"/>
    </row>
    <row r="72" customFormat="false" ht="15" hidden="false" customHeight="true" outlineLevel="0" collapsed="false">
      <c r="A72" s="44" t="s">
        <v>46</v>
      </c>
      <c r="B72" s="44" t="s">
        <v>340</v>
      </c>
      <c r="C72" s="44" t="s">
        <v>328</v>
      </c>
      <c r="D72" s="44" t="s">
        <v>938</v>
      </c>
      <c r="E72" s="44"/>
    </row>
    <row r="73" customFormat="false" ht="15" hidden="false" customHeight="true" outlineLevel="0" collapsed="false">
      <c r="A73" s="44" t="s">
        <v>46</v>
      </c>
      <c r="B73" s="44" t="s">
        <v>341</v>
      </c>
      <c r="C73" s="44" t="s">
        <v>329</v>
      </c>
      <c r="D73" s="44" t="s">
        <v>938</v>
      </c>
      <c r="E73" s="44"/>
    </row>
    <row r="74" customFormat="false" ht="15" hidden="false" customHeight="true" outlineLevel="0" collapsed="false">
      <c r="A74" s="44" t="s">
        <v>46</v>
      </c>
      <c r="B74" s="44" t="s">
        <v>342</v>
      </c>
      <c r="C74" s="44" t="s">
        <v>330</v>
      </c>
      <c r="D74" s="44" t="s">
        <v>904</v>
      </c>
      <c r="E74" s="44"/>
    </row>
    <row r="75" customFormat="false" ht="15" hidden="false" customHeight="true" outlineLevel="0" collapsed="false">
      <c r="A75" s="44" t="s">
        <v>48</v>
      </c>
      <c r="B75" s="44" t="s">
        <v>479</v>
      </c>
      <c r="C75" s="44" t="s">
        <v>466</v>
      </c>
      <c r="D75" s="44" t="s">
        <v>904</v>
      </c>
      <c r="E75" s="44"/>
    </row>
    <row r="76" customFormat="false" ht="15" hidden="false" customHeight="true" outlineLevel="0" collapsed="false">
      <c r="A76" s="44" t="s">
        <v>48</v>
      </c>
      <c r="B76" s="44" t="s">
        <v>332</v>
      </c>
      <c r="C76" s="44" t="s">
        <v>320</v>
      </c>
      <c r="D76" s="44" t="s">
        <v>938</v>
      </c>
      <c r="E76" s="44"/>
    </row>
    <row r="77" customFormat="false" ht="15" hidden="false" customHeight="true" outlineLevel="0" collapsed="false">
      <c r="A77" s="44" t="s">
        <v>48</v>
      </c>
      <c r="B77" s="44" t="s">
        <v>480</v>
      </c>
      <c r="C77" s="44" t="s">
        <v>467</v>
      </c>
      <c r="D77" s="44" t="s">
        <v>938</v>
      </c>
      <c r="E77" s="44"/>
    </row>
    <row r="78" customFormat="false" ht="15" hidden="false" customHeight="true" outlineLevel="0" collapsed="false">
      <c r="A78" s="44" t="s">
        <v>48</v>
      </c>
      <c r="B78" s="44" t="s">
        <v>481</v>
      </c>
      <c r="C78" s="44" t="s">
        <v>468</v>
      </c>
      <c r="D78" s="44" t="s">
        <v>938</v>
      </c>
      <c r="E78" s="44"/>
    </row>
    <row r="79" customFormat="false" ht="15" hidden="false" customHeight="true" outlineLevel="0" collapsed="false">
      <c r="A79" s="44" t="s">
        <v>48</v>
      </c>
      <c r="B79" s="44" t="s">
        <v>482</v>
      </c>
      <c r="C79" s="44" t="s">
        <v>469</v>
      </c>
      <c r="D79" s="44" t="s">
        <v>938</v>
      </c>
      <c r="E79" s="44"/>
    </row>
    <row r="80" customFormat="false" ht="15" hidden="false" customHeight="true" outlineLevel="0" collapsed="false">
      <c r="A80" s="44" t="s">
        <v>48</v>
      </c>
      <c r="B80" s="44" t="s">
        <v>483</v>
      </c>
      <c r="C80" s="44" t="s">
        <v>470</v>
      </c>
      <c r="D80" s="44" t="s">
        <v>938</v>
      </c>
      <c r="E80" s="44"/>
    </row>
    <row r="81" customFormat="false" ht="15" hidden="false" customHeight="true" outlineLevel="0" collapsed="false">
      <c r="A81" s="44" t="s">
        <v>48</v>
      </c>
      <c r="B81" s="44" t="s">
        <v>484</v>
      </c>
      <c r="C81" s="44" t="s">
        <v>471</v>
      </c>
      <c r="D81" s="44" t="s">
        <v>938</v>
      </c>
      <c r="E81" s="44"/>
    </row>
    <row r="82" customFormat="false" ht="15" hidden="false" customHeight="true" outlineLevel="0" collapsed="false">
      <c r="A82" s="44" t="s">
        <v>48</v>
      </c>
      <c r="B82" s="44" t="s">
        <v>485</v>
      </c>
      <c r="C82" s="44" t="s">
        <v>472</v>
      </c>
      <c r="D82" s="44" t="s">
        <v>938</v>
      </c>
      <c r="E82" s="44"/>
    </row>
    <row r="83" customFormat="false" ht="15" hidden="false" customHeight="true" outlineLevel="0" collapsed="false">
      <c r="A83" s="44" t="s">
        <v>48</v>
      </c>
      <c r="B83" s="44" t="s">
        <v>486</v>
      </c>
      <c r="C83" s="44" t="s">
        <v>473</v>
      </c>
      <c r="D83" s="44" t="s">
        <v>938</v>
      </c>
      <c r="E83" s="44"/>
    </row>
    <row r="84" customFormat="false" ht="15" hidden="false" customHeight="true" outlineLevel="0" collapsed="false">
      <c r="A84" s="44" t="s">
        <v>48</v>
      </c>
      <c r="B84" s="44" t="s">
        <v>487</v>
      </c>
      <c r="C84" s="44" t="s">
        <v>474</v>
      </c>
      <c r="D84" s="44" t="s">
        <v>938</v>
      </c>
      <c r="E84" s="44"/>
    </row>
    <row r="85" customFormat="false" ht="15" hidden="false" customHeight="true" outlineLevel="0" collapsed="false">
      <c r="A85" s="44" t="s">
        <v>48</v>
      </c>
      <c r="B85" s="44" t="s">
        <v>488</v>
      </c>
      <c r="C85" s="44" t="s">
        <v>475</v>
      </c>
      <c r="D85" s="44" t="s">
        <v>904</v>
      </c>
      <c r="E85" s="44"/>
    </row>
    <row r="86" customFormat="false" ht="15" hidden="false" customHeight="true" outlineLevel="0" collapsed="false">
      <c r="A86" s="44" t="s">
        <v>48</v>
      </c>
      <c r="B86" s="44" t="s">
        <v>489</v>
      </c>
      <c r="C86" s="44" t="s">
        <v>476</v>
      </c>
      <c r="D86" s="44" t="s">
        <v>904</v>
      </c>
      <c r="E86" s="44"/>
    </row>
    <row r="87" customFormat="false" ht="15" hidden="false" customHeight="true" outlineLevel="0" collapsed="false">
      <c r="A87" s="44" t="s">
        <v>48</v>
      </c>
      <c r="B87" s="44" t="s">
        <v>490</v>
      </c>
      <c r="C87" s="44" t="s">
        <v>477</v>
      </c>
      <c r="D87" s="44" t="s">
        <v>904</v>
      </c>
      <c r="E87" s="44"/>
    </row>
    <row r="88" customFormat="false" ht="15" hidden="false" customHeight="true" outlineLevel="0" collapsed="false">
      <c r="A88" s="44" t="s">
        <v>48</v>
      </c>
      <c r="B88" s="44" t="s">
        <v>491</v>
      </c>
      <c r="C88" s="44" t="s">
        <v>478</v>
      </c>
      <c r="D88" s="44" t="s">
        <v>904</v>
      </c>
      <c r="E88" s="44"/>
    </row>
    <row r="89" customFormat="false" ht="15" hidden="false" customHeight="true" outlineLevel="0" collapsed="false">
      <c r="A89" s="44" t="s">
        <v>50</v>
      </c>
      <c r="B89" s="44" t="s">
        <v>802</v>
      </c>
      <c r="C89" s="44" t="s">
        <v>793</v>
      </c>
      <c r="D89" s="44" t="s">
        <v>904</v>
      </c>
      <c r="E89" s="44"/>
    </row>
    <row r="90" customFormat="false" ht="15" hidden="false" customHeight="true" outlineLevel="0" collapsed="false">
      <c r="A90" s="44" t="s">
        <v>50</v>
      </c>
      <c r="B90" s="44" t="s">
        <v>803</v>
      </c>
      <c r="C90" s="44" t="s">
        <v>794</v>
      </c>
      <c r="D90" s="44" t="s">
        <v>938</v>
      </c>
      <c r="E90" s="44"/>
    </row>
    <row r="91" customFormat="false" ht="15" hidden="false" customHeight="true" outlineLevel="0" collapsed="false">
      <c r="A91" s="44" t="s">
        <v>50</v>
      </c>
      <c r="B91" s="44" t="s">
        <v>210</v>
      </c>
      <c r="C91" s="44" t="s">
        <v>155</v>
      </c>
      <c r="D91" s="44" t="s">
        <v>938</v>
      </c>
      <c r="E91" s="44"/>
    </row>
    <row r="92" customFormat="false" ht="15" hidden="false" customHeight="true" outlineLevel="0" collapsed="false">
      <c r="A92" s="44" t="s">
        <v>50</v>
      </c>
      <c r="B92" s="44" t="s">
        <v>804</v>
      </c>
      <c r="C92" s="44" t="s">
        <v>795</v>
      </c>
      <c r="D92" s="44" t="s">
        <v>938</v>
      </c>
      <c r="E92" s="44"/>
    </row>
    <row r="93" customFormat="false" ht="15" hidden="false" customHeight="true" outlineLevel="0" collapsed="false">
      <c r="A93" s="44" t="s">
        <v>50</v>
      </c>
      <c r="B93" s="44" t="s">
        <v>805</v>
      </c>
      <c r="C93" s="44" t="s">
        <v>796</v>
      </c>
      <c r="D93" s="44" t="s">
        <v>938</v>
      </c>
      <c r="E93" s="44"/>
    </row>
    <row r="94" customFormat="false" ht="15" hidden="false" customHeight="true" outlineLevel="0" collapsed="false">
      <c r="A94" s="44" t="s">
        <v>50</v>
      </c>
      <c r="B94" s="44" t="s">
        <v>806</v>
      </c>
      <c r="C94" s="44" t="s">
        <v>797</v>
      </c>
      <c r="D94" s="44" t="s">
        <v>938</v>
      </c>
      <c r="E94" s="44"/>
    </row>
    <row r="95" customFormat="false" ht="15" hidden="false" customHeight="true" outlineLevel="0" collapsed="false">
      <c r="A95" s="44" t="s">
        <v>50</v>
      </c>
      <c r="B95" s="44" t="s">
        <v>807</v>
      </c>
      <c r="C95" s="44" t="s">
        <v>798</v>
      </c>
      <c r="D95" s="44" t="s">
        <v>938</v>
      </c>
      <c r="E95" s="44"/>
    </row>
    <row r="96" customFormat="false" ht="15" hidden="false" customHeight="true" outlineLevel="0" collapsed="false">
      <c r="A96" s="44" t="s">
        <v>50</v>
      </c>
      <c r="B96" s="44" t="s">
        <v>808</v>
      </c>
      <c r="C96" s="44" t="s">
        <v>799</v>
      </c>
      <c r="D96" s="44" t="s">
        <v>938</v>
      </c>
      <c r="E96" s="44"/>
    </row>
    <row r="97" customFormat="false" ht="15" hidden="false" customHeight="true" outlineLevel="0" collapsed="false">
      <c r="A97" s="44" t="s">
        <v>50</v>
      </c>
      <c r="B97" s="44" t="s">
        <v>809</v>
      </c>
      <c r="C97" s="44" t="s">
        <v>800</v>
      </c>
      <c r="D97" s="44" t="s">
        <v>938</v>
      </c>
      <c r="E97" s="44"/>
    </row>
    <row r="98" customFormat="false" ht="15" hidden="false" customHeight="true" outlineLevel="0" collapsed="false">
      <c r="A98" s="44" t="s">
        <v>50</v>
      </c>
      <c r="B98" s="44" t="s">
        <v>332</v>
      </c>
      <c r="C98" s="44" t="s">
        <v>801</v>
      </c>
      <c r="D98" s="44" t="s">
        <v>938</v>
      </c>
      <c r="E98" s="44"/>
    </row>
    <row r="99" customFormat="false" ht="15" hidden="false" customHeight="true" outlineLevel="0" collapsed="false">
      <c r="A99" s="44" t="s">
        <v>52</v>
      </c>
      <c r="B99" s="44" t="s">
        <v>803</v>
      </c>
      <c r="C99" s="44" t="s">
        <v>891</v>
      </c>
      <c r="D99" s="44" t="s">
        <v>938</v>
      </c>
      <c r="E99" s="44"/>
    </row>
    <row r="100" customFormat="false" ht="15" hidden="false" customHeight="true" outlineLevel="0" collapsed="false">
      <c r="A100" s="44" t="s">
        <v>52</v>
      </c>
      <c r="B100" s="44" t="s">
        <v>481</v>
      </c>
      <c r="C100" s="44" t="s">
        <v>892</v>
      </c>
      <c r="D100" s="44" t="s">
        <v>938</v>
      </c>
      <c r="E100" s="44"/>
    </row>
    <row r="101" customFormat="false" ht="15" hidden="false" customHeight="true" outlineLevel="0" collapsed="false">
      <c r="A101" s="44" t="s">
        <v>52</v>
      </c>
      <c r="B101" s="44" t="s">
        <v>896</v>
      </c>
      <c r="C101" s="44" t="s">
        <v>893</v>
      </c>
      <c r="D101" s="44" t="s">
        <v>938</v>
      </c>
      <c r="E101" s="44"/>
    </row>
    <row r="102" customFormat="false" ht="15" hidden="false" customHeight="true" outlineLevel="0" collapsed="false">
      <c r="A102" s="44" t="s">
        <v>52</v>
      </c>
      <c r="B102" s="44" t="s">
        <v>897</v>
      </c>
      <c r="C102" s="44" t="s">
        <v>894</v>
      </c>
      <c r="D102" s="44" t="s">
        <v>938</v>
      </c>
      <c r="E102" s="44"/>
    </row>
    <row r="103" customFormat="false" ht="15" hidden="false" customHeight="true" outlineLevel="0" collapsed="false">
      <c r="A103" s="44" t="s">
        <v>52</v>
      </c>
      <c r="B103" s="44" t="s">
        <v>898</v>
      </c>
      <c r="C103" s="44" t="s">
        <v>895</v>
      </c>
      <c r="D103" s="44" t="s">
        <v>904</v>
      </c>
      <c r="E103" s="4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A24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4" min="4" style="1" width="30"/>
    <col collapsed="false" customWidth="true" hidden="false" outlineLevel="0" max="7" min="7" style="1" width="30"/>
    <col collapsed="false" customWidth="true" hidden="false" outlineLevel="0" max="9" min="9" style="1" width="30"/>
    <col collapsed="false" customWidth="true" hidden="false" outlineLevel="0" max="11" min="11" style="1" width="30"/>
    <col collapsed="false" customWidth="true" hidden="false" outlineLevel="0" max="13" min="13" style="1" width="30"/>
    <col collapsed="false" customWidth="true" hidden="false" outlineLevel="0" max="15" min="15" style="1" width="30"/>
    <col collapsed="false" customWidth="true" hidden="false" outlineLevel="0" max="17" min="17" style="1" width="30"/>
    <col collapsed="false" customWidth="true" hidden="false" outlineLevel="0" max="19" min="19" style="1" width="30"/>
    <col collapsed="false" customWidth="true" hidden="false" outlineLevel="0" max="21" min="21" style="1" width="30"/>
    <col collapsed="false" customWidth="true" hidden="false" outlineLevel="0" max="23" min="23" style="1" width="30"/>
    <col collapsed="false" customWidth="true" hidden="false" outlineLevel="0" max="25" min="25" style="1" width="30"/>
    <col collapsed="false" customWidth="true" hidden="false" outlineLevel="0" max="27" min="27" style="1" width="30"/>
    <col collapsed="false" customWidth="true" hidden="false" outlineLevel="0" max="29" min="29" style="1" width="30"/>
    <col collapsed="false" customWidth="true" hidden="false" outlineLevel="0" max="31" min="31" style="1" width="30"/>
    <col collapsed="false" customWidth="true" hidden="false" outlineLevel="0" max="33" min="33" style="1" width="30"/>
    <col collapsed="false" customWidth="true" hidden="false" outlineLevel="0" max="35" min="35" style="1" width="30"/>
    <col collapsed="false" customWidth="true" hidden="false" outlineLevel="0" max="37" min="37" style="1" width="30"/>
    <col collapsed="false" customWidth="true" hidden="false" outlineLevel="0" max="39" min="39" style="1" width="30"/>
    <col collapsed="false" customWidth="true" hidden="false" outlineLevel="0" max="41" min="41" style="1" width="30"/>
    <col collapsed="false" customWidth="true" hidden="false" outlineLevel="0" max="43" min="43" style="1" width="30"/>
    <col collapsed="false" customWidth="true" hidden="false" outlineLevel="0" max="45" min="45" style="1" width="30"/>
    <col collapsed="false" customWidth="true" hidden="false" outlineLevel="0" max="47" min="47" style="1" width="30"/>
    <col collapsed="false" customWidth="true" hidden="false" outlineLevel="0" max="49" min="49" style="1" width="30"/>
    <col collapsed="false" customWidth="true" hidden="false" outlineLevel="0" max="51" min="51" style="1" width="30"/>
    <col collapsed="false" customWidth="true" hidden="false" outlineLevel="0" max="53" min="53" style="1" width="30"/>
  </cols>
  <sheetData>
    <row r="1" customFormat="false" ht="15" hidden="false" customHeight="true" outlineLevel="0" collapsed="false">
      <c r="A1" s="45" t="s">
        <v>210</v>
      </c>
      <c r="D1" s="45" t="s">
        <v>211</v>
      </c>
      <c r="G1" s="45" t="s">
        <v>222</v>
      </c>
      <c r="I1" s="45" t="s">
        <v>939</v>
      </c>
      <c r="K1" s="45" t="s">
        <v>940</v>
      </c>
      <c r="M1" s="45" t="s">
        <v>13</v>
      </c>
      <c r="O1" s="45" t="s">
        <v>223</v>
      </c>
      <c r="Q1" s="45" t="s">
        <v>941</v>
      </c>
      <c r="S1" s="45" t="s">
        <v>942</v>
      </c>
      <c r="U1" s="45" t="s">
        <v>215</v>
      </c>
      <c r="W1" s="45" t="s">
        <v>216</v>
      </c>
      <c r="Y1" s="45" t="s">
        <v>217</v>
      </c>
      <c r="AA1" s="45" t="s">
        <v>219</v>
      </c>
      <c r="AC1" s="45" t="s">
        <v>220</v>
      </c>
      <c r="AE1" s="45" t="s">
        <v>221</v>
      </c>
      <c r="AG1" s="45" t="s">
        <v>943</v>
      </c>
      <c r="AI1" s="45" t="s">
        <v>234</v>
      </c>
      <c r="AK1" s="45" t="s">
        <v>944</v>
      </c>
      <c r="AM1" s="45" t="s">
        <v>213</v>
      </c>
      <c r="AO1" s="45" t="s">
        <v>249</v>
      </c>
      <c r="AQ1" s="45" t="s">
        <v>945</v>
      </c>
      <c r="AS1" s="45" t="s">
        <v>946</v>
      </c>
      <c r="AU1" s="45" t="s">
        <v>481</v>
      </c>
      <c r="AW1" s="45" t="s">
        <v>947</v>
      </c>
      <c r="AY1" s="45" t="s">
        <v>480</v>
      </c>
      <c r="BA1" s="45" t="s">
        <v>807</v>
      </c>
    </row>
    <row r="2" customFormat="false" ht="15" hidden="false" customHeight="true" outlineLevel="0" collapsed="false">
      <c r="A2" s="46" t="s">
        <v>283</v>
      </c>
      <c r="B2" s="47" t="s">
        <v>948</v>
      </c>
      <c r="D2" s="46" t="s">
        <v>295</v>
      </c>
      <c r="E2" s="47" t="s">
        <v>949</v>
      </c>
      <c r="G2" s="46" t="s">
        <v>950</v>
      </c>
      <c r="I2" s="46" t="s">
        <v>951</v>
      </c>
      <c r="K2" s="46" t="s">
        <v>952</v>
      </c>
      <c r="M2" s="46" t="s">
        <v>273</v>
      </c>
      <c r="O2" s="46" t="s">
        <v>285</v>
      </c>
      <c r="Q2" s="46" t="s">
        <v>276</v>
      </c>
      <c r="S2" s="46" t="s">
        <v>279</v>
      </c>
      <c r="U2" s="46" t="s">
        <v>265</v>
      </c>
      <c r="W2" s="46" t="s">
        <v>285</v>
      </c>
      <c r="Y2" s="46" t="s">
        <v>953</v>
      </c>
      <c r="AA2" s="46" t="s">
        <v>954</v>
      </c>
      <c r="AC2" s="46" t="s">
        <v>955</v>
      </c>
      <c r="AE2" s="46" t="s">
        <v>956</v>
      </c>
      <c r="AG2" s="46" t="s">
        <v>287</v>
      </c>
      <c r="AI2" s="46" t="s">
        <v>957</v>
      </c>
      <c r="AK2" s="46" t="s">
        <v>958</v>
      </c>
      <c r="AM2" s="46" t="s">
        <v>264</v>
      </c>
      <c r="AO2" s="46" t="s">
        <v>281</v>
      </c>
      <c r="AQ2" s="46" t="s">
        <v>345</v>
      </c>
      <c r="AS2" s="46" t="s">
        <v>100</v>
      </c>
      <c r="AU2" s="46" t="s">
        <v>119</v>
      </c>
      <c r="AW2" s="46" t="s">
        <v>959</v>
      </c>
      <c r="AY2" s="46" t="s">
        <v>960</v>
      </c>
      <c r="BA2" s="46" t="s">
        <v>961</v>
      </c>
    </row>
    <row r="3" customFormat="false" ht="15" hidden="false" customHeight="true" outlineLevel="0" collapsed="false">
      <c r="A3" s="46" t="s">
        <v>288</v>
      </c>
      <c r="B3" s="47" t="s">
        <v>962</v>
      </c>
      <c r="D3" s="46" t="s">
        <v>284</v>
      </c>
      <c r="E3" s="47" t="s">
        <v>963</v>
      </c>
      <c r="G3" s="46" t="s">
        <v>964</v>
      </c>
      <c r="I3" s="46" t="s">
        <v>309</v>
      </c>
      <c r="K3" s="46" t="s">
        <v>290</v>
      </c>
      <c r="M3" s="46" t="s">
        <v>965</v>
      </c>
      <c r="O3" s="46" t="s">
        <v>297</v>
      </c>
      <c r="Q3" s="46" t="s">
        <v>314</v>
      </c>
      <c r="S3" s="46" t="s">
        <v>280</v>
      </c>
      <c r="U3" s="46" t="s">
        <v>289</v>
      </c>
      <c r="W3" s="46" t="s">
        <v>20</v>
      </c>
      <c r="Y3" s="46" t="s">
        <v>266</v>
      </c>
      <c r="AA3" s="46" t="s">
        <v>267</v>
      </c>
      <c r="AC3" s="46" t="s">
        <v>268</v>
      </c>
      <c r="AE3" s="46" t="s">
        <v>269</v>
      </c>
      <c r="AG3" s="46" t="s">
        <v>298</v>
      </c>
      <c r="AI3" s="46" t="s">
        <v>278</v>
      </c>
      <c r="AK3" s="46" t="s">
        <v>966</v>
      </c>
      <c r="AM3" s="46" t="s">
        <v>967</v>
      </c>
      <c r="AO3" s="46" t="s">
        <v>968</v>
      </c>
      <c r="AQ3" s="46" t="s">
        <v>362</v>
      </c>
      <c r="AS3" s="46" t="s">
        <v>101</v>
      </c>
      <c r="AU3" s="46" t="s">
        <v>120</v>
      </c>
      <c r="AW3" s="46" t="s">
        <v>969</v>
      </c>
      <c r="AY3" s="46" t="s">
        <v>970</v>
      </c>
      <c r="BA3" s="46" t="s">
        <v>971</v>
      </c>
    </row>
    <row r="4" customFormat="false" ht="15" hidden="false" customHeight="true" outlineLevel="0" collapsed="false">
      <c r="A4" s="46" t="s">
        <v>310</v>
      </c>
      <c r="B4" s="47" t="s">
        <v>972</v>
      </c>
      <c r="D4" s="46" t="s">
        <v>13</v>
      </c>
      <c r="E4" s="47" t="s">
        <v>973</v>
      </c>
      <c r="G4" s="46" t="s">
        <v>270</v>
      </c>
      <c r="I4" s="46" t="s">
        <v>974</v>
      </c>
      <c r="K4" s="46" t="s">
        <v>286</v>
      </c>
      <c r="O4" s="46" t="s">
        <v>291</v>
      </c>
      <c r="Q4" s="46" t="s">
        <v>975</v>
      </c>
      <c r="W4" s="46" t="s">
        <v>22</v>
      </c>
      <c r="Y4" s="46" t="s">
        <v>976</v>
      </c>
      <c r="AA4" s="46" t="s">
        <v>977</v>
      </c>
      <c r="AC4" s="46" t="s">
        <v>978</v>
      </c>
      <c r="AE4" s="46" t="s">
        <v>979</v>
      </c>
      <c r="AG4" s="46" t="s">
        <v>277</v>
      </c>
      <c r="AI4" s="46" t="s">
        <v>980</v>
      </c>
      <c r="AK4" s="46" t="s">
        <v>981</v>
      </c>
      <c r="AM4" s="46" t="s">
        <v>982</v>
      </c>
      <c r="AO4" s="46" t="s">
        <v>983</v>
      </c>
      <c r="AQ4" s="46" t="s">
        <v>984</v>
      </c>
      <c r="AS4" s="46" t="s">
        <v>102</v>
      </c>
      <c r="AU4" s="46" t="s">
        <v>121</v>
      </c>
      <c r="AW4" s="46" t="s">
        <v>180</v>
      </c>
      <c r="BA4" s="46" t="s">
        <v>985</v>
      </c>
    </row>
    <row r="5" customFormat="false" ht="15" hidden="false" customHeight="true" outlineLevel="0" collapsed="false">
      <c r="A5" s="46" t="s">
        <v>315</v>
      </c>
      <c r="B5" s="47" t="s">
        <v>986</v>
      </c>
      <c r="D5" s="46" t="s">
        <v>303</v>
      </c>
      <c r="E5" s="47" t="s">
        <v>987</v>
      </c>
      <c r="G5" s="46" t="s">
        <v>988</v>
      </c>
      <c r="I5" s="46" t="s">
        <v>311</v>
      </c>
      <c r="K5" s="46" t="s">
        <v>272</v>
      </c>
      <c r="O5" s="46" t="s">
        <v>274</v>
      </c>
      <c r="Q5" s="46" t="s">
        <v>275</v>
      </c>
      <c r="W5" s="46" t="s">
        <v>24</v>
      </c>
      <c r="Y5" s="46" t="s">
        <v>989</v>
      </c>
      <c r="AA5" s="46" t="s">
        <v>989</v>
      </c>
      <c r="AC5" s="46" t="s">
        <v>990</v>
      </c>
      <c r="AE5" s="46" t="s">
        <v>991</v>
      </c>
      <c r="AG5" s="46" t="s">
        <v>992</v>
      </c>
      <c r="AK5" s="46" t="s">
        <v>993</v>
      </c>
      <c r="AM5" s="46" t="s">
        <v>994</v>
      </c>
      <c r="AO5" s="46" t="s">
        <v>108</v>
      </c>
      <c r="AS5" s="46" t="s">
        <v>103</v>
      </c>
      <c r="AU5" s="46" t="s">
        <v>122</v>
      </c>
      <c r="AW5" s="46" t="s">
        <v>104</v>
      </c>
      <c r="BA5" s="46" t="s">
        <v>995</v>
      </c>
    </row>
    <row r="6" customFormat="false" ht="15" hidden="false" customHeight="true" outlineLevel="0" collapsed="false">
      <c r="A6" s="46" t="s">
        <v>996</v>
      </c>
      <c r="B6" s="47" t="s">
        <v>997</v>
      </c>
      <c r="G6" s="46" t="s">
        <v>998</v>
      </c>
      <c r="I6" s="46" t="s">
        <v>271</v>
      </c>
      <c r="K6" s="46" t="s">
        <v>999</v>
      </c>
      <c r="O6" s="46" t="s">
        <v>1000</v>
      </c>
      <c r="W6" s="46" t="s">
        <v>26</v>
      </c>
      <c r="AE6" s="46" t="s">
        <v>1001</v>
      </c>
      <c r="AG6" s="46" t="s">
        <v>1002</v>
      </c>
      <c r="AK6" s="46" t="s">
        <v>1003</v>
      </c>
      <c r="AS6" s="46" t="s">
        <v>104</v>
      </c>
      <c r="AU6" s="46" t="s">
        <v>123</v>
      </c>
      <c r="AW6" s="46" t="s">
        <v>1004</v>
      </c>
      <c r="BA6" s="46" t="s">
        <v>1005</v>
      </c>
    </row>
    <row r="7" customFormat="false" ht="15" hidden="false" customHeight="true" outlineLevel="0" collapsed="false">
      <c r="A7" s="46" t="s">
        <v>1006</v>
      </c>
      <c r="B7" s="47" t="s">
        <v>1007</v>
      </c>
      <c r="G7" s="46" t="s">
        <v>1008</v>
      </c>
      <c r="I7" s="46" t="s">
        <v>293</v>
      </c>
      <c r="K7" s="46" t="s">
        <v>300</v>
      </c>
      <c r="O7" s="46" t="s">
        <v>301</v>
      </c>
      <c r="AG7" s="46" t="s">
        <v>1009</v>
      </c>
      <c r="AK7" s="46" t="s">
        <v>1001</v>
      </c>
      <c r="AS7" s="46" t="s">
        <v>105</v>
      </c>
      <c r="AU7" s="46" t="s">
        <v>124</v>
      </c>
      <c r="AW7" s="46" t="s">
        <v>1010</v>
      </c>
      <c r="BA7" s="46" t="s">
        <v>1011</v>
      </c>
    </row>
    <row r="8" customFormat="false" ht="15" hidden="false" customHeight="true" outlineLevel="0" collapsed="false">
      <c r="A8" s="46" t="s">
        <v>1012</v>
      </c>
      <c r="B8" s="47" t="s">
        <v>1013</v>
      </c>
      <c r="G8" s="46" t="s">
        <v>1014</v>
      </c>
      <c r="I8" s="46" t="s">
        <v>1015</v>
      </c>
      <c r="K8" s="46" t="s">
        <v>305</v>
      </c>
      <c r="O8" s="46" t="s">
        <v>1016</v>
      </c>
      <c r="AG8" s="46" t="s">
        <v>1017</v>
      </c>
      <c r="AK8" s="46" t="s">
        <v>108</v>
      </c>
      <c r="AS8" s="46" t="s">
        <v>106</v>
      </c>
      <c r="AU8" s="46" t="s">
        <v>125</v>
      </c>
      <c r="AW8" s="46" t="s">
        <v>1018</v>
      </c>
      <c r="BA8" s="46" t="s">
        <v>108</v>
      </c>
    </row>
    <row r="9" customFormat="false" ht="15" hidden="false" customHeight="true" outlineLevel="0" collapsed="false">
      <c r="A9" s="46" t="s">
        <v>306</v>
      </c>
      <c r="B9" s="47" t="s">
        <v>1019</v>
      </c>
      <c r="G9" s="46" t="s">
        <v>1020</v>
      </c>
      <c r="I9" s="46" t="s">
        <v>316</v>
      </c>
      <c r="K9" s="46" t="s">
        <v>1021</v>
      </c>
      <c r="O9" s="46" t="s">
        <v>1022</v>
      </c>
      <c r="AS9" s="46" t="s">
        <v>107</v>
      </c>
      <c r="AU9" s="46" t="s">
        <v>126</v>
      </c>
      <c r="AW9" s="46" t="s">
        <v>1023</v>
      </c>
    </row>
    <row r="10" customFormat="false" ht="15" hidden="false" customHeight="true" outlineLevel="0" collapsed="false">
      <c r="A10" s="46" t="s">
        <v>292</v>
      </c>
      <c r="B10" s="47" t="s">
        <v>1024</v>
      </c>
      <c r="G10" s="46" t="s">
        <v>1025</v>
      </c>
      <c r="I10" s="46" t="s">
        <v>1026</v>
      </c>
      <c r="K10" s="46" t="s">
        <v>1027</v>
      </c>
      <c r="AS10" s="46" t="s">
        <v>108</v>
      </c>
      <c r="AU10" s="46" t="s">
        <v>127</v>
      </c>
      <c r="AW10" s="46" t="s">
        <v>1028</v>
      </c>
    </row>
    <row r="11" customFormat="false" ht="15" hidden="false" customHeight="true" outlineLevel="0" collapsed="false">
      <c r="A11" s="46" t="s">
        <v>1029</v>
      </c>
      <c r="B11" s="47" t="s">
        <v>1030</v>
      </c>
      <c r="G11" s="46" t="s">
        <v>1031</v>
      </c>
      <c r="K11" s="46" t="s">
        <v>1032</v>
      </c>
      <c r="AU11" s="46" t="s">
        <v>128</v>
      </c>
      <c r="AW11" s="46" t="s">
        <v>1033</v>
      </c>
    </row>
    <row r="12" customFormat="false" ht="15" hidden="false" customHeight="true" outlineLevel="0" collapsed="false">
      <c r="A12" s="46" t="s">
        <v>11</v>
      </c>
      <c r="B12" s="47" t="s">
        <v>1034</v>
      </c>
      <c r="G12" s="46" t="s">
        <v>1035</v>
      </c>
      <c r="AU12" s="46" t="s">
        <v>129</v>
      </c>
      <c r="AW12" s="46" t="s">
        <v>108</v>
      </c>
    </row>
    <row r="13" customFormat="false" ht="15" hidden="false" customHeight="true" outlineLevel="0" collapsed="false">
      <c r="A13" s="46" t="s">
        <v>312</v>
      </c>
      <c r="B13" s="47" t="s">
        <v>1036</v>
      </c>
      <c r="G13" s="46" t="s">
        <v>1037</v>
      </c>
      <c r="AU13" s="46" t="s">
        <v>108</v>
      </c>
    </row>
    <row r="14" customFormat="false" ht="15" hidden="false" customHeight="true" outlineLevel="0" collapsed="false">
      <c r="A14" s="46" t="s">
        <v>294</v>
      </c>
      <c r="B14" s="47" t="s">
        <v>1038</v>
      </c>
      <c r="G14" s="46" t="s">
        <v>1039</v>
      </c>
    </row>
    <row r="15" customFormat="false" ht="15" hidden="false" customHeight="true" outlineLevel="0" collapsed="false">
      <c r="A15" s="46" t="s">
        <v>1040</v>
      </c>
      <c r="B15" s="47" t="s">
        <v>1041</v>
      </c>
      <c r="G15" s="46" t="s">
        <v>1042</v>
      </c>
    </row>
    <row r="16" customFormat="false" ht="15" hidden="false" customHeight="true" outlineLevel="0" collapsed="false">
      <c r="A16" s="46" t="s">
        <v>299</v>
      </c>
      <c r="B16" s="47" t="s">
        <v>1043</v>
      </c>
      <c r="G16" s="46" t="s">
        <v>1044</v>
      </c>
    </row>
    <row r="17" customFormat="false" ht="15" hidden="false" customHeight="true" outlineLevel="0" collapsed="false">
      <c r="A17" s="46" t="s">
        <v>313</v>
      </c>
      <c r="B17" s="47" t="s">
        <v>1045</v>
      </c>
    </row>
    <row r="18" customFormat="false" ht="15" hidden="false" customHeight="true" outlineLevel="0" collapsed="false">
      <c r="A18" s="46" t="s">
        <v>307</v>
      </c>
      <c r="B18" s="47" t="s">
        <v>1046</v>
      </c>
    </row>
    <row r="19" customFormat="false" ht="15" hidden="false" customHeight="true" outlineLevel="0" collapsed="false">
      <c r="A19" s="46" t="s">
        <v>1047</v>
      </c>
      <c r="B19" s="47" t="s">
        <v>1048</v>
      </c>
    </row>
    <row r="20" customFormat="false" ht="15" hidden="false" customHeight="true" outlineLevel="0" collapsed="false">
      <c r="A20" s="46" t="s">
        <v>1049</v>
      </c>
      <c r="B20" s="47" t="s">
        <v>1050</v>
      </c>
    </row>
    <row r="21" customFormat="false" ht="15" hidden="false" customHeight="true" outlineLevel="0" collapsed="false">
      <c r="A21" s="46" t="s">
        <v>302</v>
      </c>
      <c r="B21" s="47" t="s">
        <v>1051</v>
      </c>
    </row>
    <row r="22" customFormat="false" ht="15" hidden="false" customHeight="true" outlineLevel="0" collapsed="false">
      <c r="A22" s="46" t="s">
        <v>308</v>
      </c>
      <c r="B22" s="47" t="s">
        <v>1052</v>
      </c>
    </row>
    <row r="23" customFormat="false" ht="15" hidden="false" customHeight="true" outlineLevel="0" collapsed="false">
      <c r="A23" s="46" t="s">
        <v>1053</v>
      </c>
      <c r="B23" s="47" t="s">
        <v>1054</v>
      </c>
    </row>
    <row r="24" customFormat="false" ht="15" hidden="false" customHeight="true" outlineLevel="0" collapsed="false">
      <c r="A24" s="46" t="s">
        <v>1055</v>
      </c>
      <c r="B24" s="47" t="s">
        <v>108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2026-09-21T08:42:13Z</dcterms:created>
  <dc:creator>openpyxl</dc:creator>
  <dc:description/>
  <dc:language>en-US</dc:language>
  <cp:lastModifiedBy/>
  <dcterms:modified xsi:type="dcterms:W3CDTF">2026-09-22T07:39:28Z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