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tients" sheetId="3" state="visible" r:id="rId3"/>
    <sheet xmlns:r="http://schemas.openxmlformats.org/officeDocument/2006/relationships" name="Delays" sheetId="4" state="visible" r:id="rId4"/>
    <sheet xmlns:r="http://schemas.openxmlformats.org/officeDocument/2006/relationships" name="Parameters" sheetId="5" state="visible" r:id="rId5"/>
    <sheet xmlns:r="http://schemas.openxmlformats.org/officeDocument/2006/relationships" name="Dictionary" sheetId="6" state="visible" r:id="rId6"/>
    <sheet xmlns:r="http://schemas.openxmlformats.org/officeDocument/2006/relationships" name="Lists" sheetId="7" state="visible" r:id="rId7"/>
  </sheets>
  <definedNames>
    <definedName name="L_site">Lists!$A$2:$A$24</definedName>
    <definedName name="L_side">Lists!$D$2:$D$5</definedName>
    <definedName name="L_hist">Lists!$G$2:$G$16</definedName>
    <definedName name="L_T">Lists!$I$2:$I$10</definedName>
    <definedName name="L_N">Lists!$K$2:$K$11</definedName>
    <definedName name="L_M">Lists!$M$2:$M$3</definedName>
    <definedName name="L_stage">Lists!$O$2:$O$9</definedName>
    <definedName name="L_marker">Lists!$Q$2:$Q$5</definedName>
    <definedName name="L_yn">Lists!$S$2:$S$3</definedName>
    <definedName name="L_ynu">Lists!$U$2:$U$4</definedName>
    <definedName name="L_sex">Lists!$W$2:$W$3</definedName>
    <definedName name="L_ecog">Lists!$Y$2:$Y$7</definedName>
    <definedName name="L_smoke">Lists!$AA$2:$AA$5</definedName>
    <definedName name="L_alc">Lists!$AC$2:$AC$5</definedName>
    <definedName name="L_ace">Lists!$AE$2:$AE$6</definedName>
    <definedName name="L_cci">Lists!$AG$2:$AG$8</definedName>
    <definedName name="L_dist">Lists!$AI$2:$AI$6</definedName>
    <definedName name="L_lang">Lists!$AK$2:$AK$7</definedName>
    <definedName name="L_ses">Lists!$AM$2:$AM$5</definedName>
    <definedName name="L_insur">Lists!$AO$2:$AO$5</definedName>
    <definedName name="L_refsrc">Lists!$AQ$2:$AQ$10</definedName>
    <definedName name="L_mod">Lists!$AS$2:$AS$9</definedName>
    <definedName name="L_txsite">Lists!$AU$2:$AU$6</definedName>
    <definedName name="L_dreason">Lists!$AW$2:$AW$22</definedName>
    <definedName name="L_dphase">Lists!$AY$2:$AY$6</definedName>
    <definedName name="L_dsrc">Lists!$BA$2:$BA$6</definedName>
    <definedName name="L_excl">Lists!$BC$2:$BC$9</definedName>
    <definedName name="L_vital">Lists!$BE$2:$BE$4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00"/>
    <numFmt numFmtId="165" formatCode="0.0"/>
    <numFmt numFmtId="166" formatCode="&quot;כן&quot;;&quot;&quot;;&quot;לא&quot;"/>
    <numFmt numFmtId="167" formatCode="dd/mm/yyyy"/>
  </numFmts>
  <fonts count="20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666666"/>
    </font>
    <font>
      <name val="Arial"/>
      <b val="1"/>
      <color rgb="001F3A5F"/>
      <sz val="13"/>
    </font>
    <font>
      <name val="Arial"/>
      <color rgb="00666666"/>
      <sz val="9"/>
    </font>
    <font>
      <name val="Arial"/>
      <b val="1"/>
      <color rgb="001F3A5F"/>
      <sz val="9"/>
    </font>
    <font>
      <name val="Arial"/>
      <b val="1"/>
      <color rgb="00FFFFFF"/>
      <sz val="9"/>
    </font>
    <font>
      <name val="Arial"/>
      <color rgb="00555555"/>
      <sz val="8"/>
    </font>
    <font>
      <name val="Arial"/>
      <sz val="10"/>
    </font>
    <font>
      <name val="Arial"/>
      <b val="1"/>
      <color rgb="001F3A5F"/>
      <sz val="14"/>
    </font>
    <font>
      <name val="Arial"/>
      <b val="1"/>
      <color rgb="00FFFFFF"/>
    </font>
    <font>
      <name val="Arial"/>
      <sz val="9"/>
    </font>
    <font>
      <name val="Arial"/>
      <b val="1"/>
      <sz val="9"/>
    </font>
    <font>
      <name val="Arial"/>
      <b val="1"/>
      <color rgb="001F3A5F"/>
      <sz val="15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A5F"/>
      <sz val="10"/>
    </font>
    <font>
      <name val="Arial"/>
      <b val="1"/>
      <sz val="10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2"/>
      </patternFill>
    </fill>
    <fill>
      <patternFill patternType="solid">
        <fgColor rgb="00EEF1F4"/>
      </patternFill>
    </fill>
    <fill>
      <patternFill patternType="solid">
        <fgColor rgb="00FFF7D6"/>
      </patternFill>
    </fill>
    <fill>
      <patternFill patternType="solid">
        <fgColor rgb="00E3EEFB"/>
      </patternFill>
    </fill>
    <fill>
      <patternFill patternType="solid">
        <fgColor rgb="00F4B6B6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4" fillId="0" borderId="0" applyAlignment="1" pivotButton="0" quotePrefix="0" xfId="0">
      <alignment horizontal="right" vertical="top" wrapText="1" readingOrder="2"/>
    </xf>
    <xf numFmtId="0" fontId="9" fillId="0" borderId="0" applyAlignment="1" pivotButton="0" quotePrefix="0" xfId="0">
      <alignment horizontal="right" vertical="top" wrapText="1" readingOrder="2"/>
    </xf>
    <xf numFmtId="0" fontId="15" fillId="0" borderId="0" applyAlignment="1" pivotButton="0" quotePrefix="0" xfId="0">
      <alignment horizontal="right" vertical="top" wrapText="1" readingOrder="2"/>
    </xf>
    <xf numFmtId="0" fontId="16" fillId="0" borderId="0" applyAlignment="1" pivotButton="0" quotePrefix="0" xfId="0">
      <alignment horizontal="right" vertical="top" wrapText="1" readingOrder="2"/>
    </xf>
    <xf numFmtId="0" fontId="17" fillId="0" borderId="0" applyAlignment="1" pivotButton="0" quotePrefix="0" xfId="0">
      <alignment horizontal="right" vertical="top" wrapText="1" readingOrder="2"/>
    </xf>
    <xf numFmtId="0" fontId="19" fillId="0" borderId="0" applyAlignment="1" pivotButton="0" quotePrefix="0" xfId="0">
      <alignment horizontal="right" vertical="top" wrapText="1" readingOrder="2"/>
    </xf>
    <xf numFmtId="0" fontId="15" fillId="5" borderId="0" applyAlignment="1" pivotButton="0" quotePrefix="0" xfId="0">
      <alignment horizontal="right" vertical="top" wrapText="1" readingOrder="2"/>
    </xf>
    <xf numFmtId="0" fontId="15" fillId="4" borderId="0" applyAlignment="1" pivotButton="0" quotePrefix="0" xfId="0">
      <alignment horizontal="right" vertical="top" wrapText="1" readingOrder="2"/>
    </xf>
    <xf numFmtId="0" fontId="15" fillId="6" borderId="0" applyAlignment="1" pivotButton="0" quotePrefix="0" xfId="0">
      <alignment horizontal="right" vertical="top" wrapText="1" readingOrder="2"/>
    </xf>
    <xf numFmtId="0" fontId="15" fillId="7" borderId="0" applyAlignment="1" pivotButton="0" quotePrefix="0" xfId="0">
      <alignment horizontal="right" vertical="top" wrapText="1" readingOrder="2"/>
    </xf>
    <xf numFmtId="0" fontId="10" fillId="0" borderId="0" pivotButton="0" quotePrefix="0" xfId="0"/>
    <xf numFmtId="0" fontId="5" fillId="0" borderId="0" pivotButton="0" quotePrefix="0" xfId="0"/>
    <xf numFmtId="0" fontId="11" fillId="2" borderId="0" applyAlignment="1" pivotButton="0" quotePrefix="0" xfId="0">
      <alignment horizontal="right" vertical="center" wrapText="1" readingOrder="2"/>
    </xf>
    <xf numFmtId="0" fontId="7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 readingOrder="2"/>
    </xf>
    <xf numFmtId="1" fontId="2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right" vertical="top" wrapText="1" readingOrder="2"/>
    </xf>
    <xf numFmtId="9" fontId="2" fillId="4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0" borderId="0" applyAlignment="1" pivotButton="0" quotePrefix="0" xfId="0">
      <alignment horizontal="right" vertical="center" wrapText="1" readingOrder="2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166" fontId="9" fillId="6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6" fontId="9" fillId="4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right" vertical="top" wrapText="1" readingOrder="2"/>
    </xf>
    <xf numFmtId="0" fontId="12" fillId="0" borderId="1" applyAlignment="1" pivotButton="0" quotePrefix="0" xfId="0">
      <alignment horizontal="right" vertical="top" wrapText="1" readingOrder="2"/>
    </xf>
    <xf numFmtId="0" fontId="11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MDT Loop · ENT</author>
  </authors>
  <commentList>
    <comment ref="A3" authorId="0" shapeId="0">
      <text>
        <t>נוצר אוטומטית ממספר רץ, אתר, צד ותאריך דוח הפתולוגיה. לאחר ההקצאה — קבוע.</t>
      </text>
    </comment>
    <comment ref="B3" authorId="0" shapeId="0">
      <text>
        <t>לפי סדר האיתור ברשימת הוועדה.</t>
      </text>
    </comment>
    <comment ref="C3" authorId="0" shapeId="0">
      <text>
        <t>רשימה בגיליון Lists. נמדד בכל המחקרים.</t>
      </text>
    </comment>
    <comment ref="D3" authorId="0" shapeId="0">
      <text>
        <t>R ימין · L שמאל · M קו אמצע · B דו-צדדי.</t>
      </text>
    </comment>
    <comment ref="E3" authorId="0" shapeId="0">
      <text>
        <t>לניתוח מגמה — Murphy 2015.</t>
      </text>
    </comment>
    <comment ref="F3" authorId="0" shapeId="0">
      <text>
        <t>״לא״ = הוצא; יש לציין סיבה.</t>
      </text>
    </comment>
    <comment ref="G3" authorId="0" shapeId="0">
      <text>
        <t>לתרשים ה-STROBE.</t>
      </text>
    </comment>
    <comment ref="H3" authorId="0" shapeId="0">
      <text>
        <t>גיל בלבד — לא תאריך לידה. כל המחקרים.</t>
      </text>
    </comment>
    <comment ref="I3" authorId="0" shapeId="0">
      <text>
        <t>Amarillo 2024 — מנבא מובהק ברב-משתני.</t>
      </text>
    </comment>
    <comment ref="K3" authorId="0" shapeId="0">
      <text>
        <t>Schoonbeek 2022 — עישון פעיל מנבא עיכוב.</t>
      </text>
    </comment>
    <comment ref="M3" authorId="0" shapeId="0">
      <text>
        <t>Schoonbeek 2021.</t>
      </text>
    </comment>
    <comment ref="N3" authorId="0" shapeId="0">
      <text>
        <t>מדד התחלואה הנלווית של Schoonbeek.</t>
      </text>
    </comment>
    <comment ref="O3" authorId="0" shapeId="0">
      <text>
        <t>מדד התחלואה של Tsai 2017 ו-Rygalski 2021.</t>
      </text>
    </comment>
    <comment ref="P3" authorId="0" shapeId="0">
      <text>
        <t>Liao 2019 — BMI&lt;18.5 מנבא עיכוב.</t>
      </text>
    </comment>
    <comment ref="Q3" authorId="0" shapeId="0">
      <text>
        <t>בטווחים בלבד. Matsumoto 2024.</t>
      </text>
    </comment>
    <comment ref="R3" authorId="0" shapeId="0">
      <text>
        <t>Kwok 2023 — נבדק ונמצא לא מובהק.</t>
      </text>
    </comment>
    <comment ref="S3" authorId="0" shapeId="0">
      <text>
        <t>מקביל להכנסה/השכלה ב-NCDB.</t>
      </text>
    </comment>
    <comment ref="T3" authorId="0" shapeId="0">
      <text>
        <t>מקביל למשתנה הביטוח ב-Liao 2019.</t>
      </text>
    </comment>
    <comment ref="V3" authorId="0" shapeId="0">
      <text>
        <t>AJCC 8 — לציין מהדורה אם שונה.</t>
      </text>
    </comment>
    <comment ref="W3" authorId="0" shapeId="0">
      <text>
        <t>AJCC 8.</t>
      </text>
    </comment>
    <comment ref="X3" authorId="0" shapeId="0">
      <text>
        <t>AJCC 8.</t>
      </text>
    </comment>
    <comment ref="Y3" authorId="0" shapeId="0">
      <text>
        <t>המנבא החזק ביותר לעיכוב — Schoonbeek 2021 (OR 7.97).</t>
      </text>
    </comment>
    <comment ref="Z3" authorId="0" shapeId="0">
      <text>
        <t>החלוקה של Amarillo 2024.</t>
      </text>
    </comment>
    <comment ref="AA3" authorId="0" shapeId="0">
      <text>
        <t>Vasudev 2024 — משנה את כיוון ההשפעה.</t>
      </text>
    </comment>
    <comment ref="AB3" authorId="0" shapeId="0">
      <text>
        <t>לוע האף.</t>
      </text>
    </comment>
    <comment ref="AC3" authorId="0" shapeId="0">
      <text>
        <t>Rygalski 2021 — שלב פתולוגי.</t>
      </text>
    </comment>
    <comment ref="AE3" authorId="0" shapeId="0">
      <text>
        <t>Rygalski 2021.</t>
      </text>
    </comment>
    <comment ref="AF3" authorId="0" shapeId="0">
      <text>
        <t>קובע צורך בהקרנות משלימות.</t>
      </text>
    </comment>
    <comment ref="AG3" authorId="0" shapeId="0">
      <text>
        <t>Sethi 2022 · Kwok 2023 — הפניה מרופא משפחה מאריכה.</t>
      </text>
    </comment>
    <comment ref="AH3" authorId="0" shapeId="0">
      <text>
        <t>Schoonbeek 2021 — משנה מהותית את ה-TTI.</t>
      </text>
    </comment>
    <comment ref="AI3" authorId="0" shapeId="0">
      <text>
        <t>Connell 2020 — 43.1 מול 37.4 ימים.</t>
      </text>
    </comment>
    <comment ref="AJ3" authorId="0" shapeId="0">
      <text>
        <t>Connell 2020.</t>
      </text>
    </comment>
    <comment ref="AK3" authorId="0" shapeId="0">
      <text>
        <t>Connell 2020 — 64% נזקקו לשתיים.</t>
      </text>
    </comment>
    <comment ref="AL3" authorId="0" shapeId="0">
      <text>
        <t>Cook 2022 — +7.5 ימים.</t>
      </text>
    </comment>
    <comment ref="AM3" authorId="0" shapeId="0">
      <text>
        <t>Cook 2022 · van Huizen 2018.</t>
      </text>
    </comment>
    <comment ref="AN3" authorId="0" shapeId="0">
      <text>
        <t>Cook 2022 — OR 3.1 לחריגה מ-56 יום.</t>
      </text>
    </comment>
    <comment ref="AO3" authorId="0" shapeId="0">
      <text>
        <t>Schoonbeek 2021 — 21.6%.</t>
      </text>
    </comment>
    <comment ref="AP3" authorId="0" shapeId="0">
      <text>
        <t>Connell 2020 — שתי הצגות ← 61.4 ימים.</t>
      </text>
    </comment>
    <comment ref="AQ3" authorId="0" shapeId="0">
      <text>
        <t>Liao 2019 — אי-הגעה 21.2%, סירוב 13.6%.</t>
      </text>
    </comment>
    <comment ref="AR3" authorId="0" shapeId="0">
      <text>
        <t>Nguyen 2025 — aOR 0.17.</t>
      </text>
    </comment>
    <comment ref="AS3" authorId="0" shapeId="0">
      <text>
        <t>סיבה אחת לכל מטופל. Nguyen 2025.</t>
      </text>
    </comment>
    <comment ref="AT3" authorId="0" shapeId="0">
      <text>
        <t>מערכתי / קליני מוצדק / מטופל.</t>
      </text>
    </comment>
    <comment ref="AU3" authorId="0" shapeId="0">
      <text>
        <t>עוגן ההפניה — Cook 2022 · Connell 2020.</t>
      </text>
    </comment>
    <comment ref="AV3" authorId="0" shapeId="0">
      <text>
        <t>עוגן ה-CPI ההולנדי — Schoonbeek 2021.</t>
      </text>
    </comment>
    <comment ref="AW3" authorId="0" shapeId="0">
      <text>
        <t>עוגן האבחנה של Tsai 2017.</t>
      </text>
    </comment>
    <comment ref="AX3" authorId="0" shapeId="0">
      <text>
        <t>עוגן האבחנה הראשי — Liao 2019 · Amarillo 2024.</t>
      </text>
    </comment>
    <comment ref="AY3" authorId="0" shapeId="0">
      <text>
        <t>CT / MRI.</t>
      </text>
    </comment>
    <comment ref="AZ3" authorId="0" shapeId="0">
      <text>
        <t>ריק אם לא בוצע.</t>
      </text>
    </comment>
    <comment ref="BA3" authorId="0" shapeId="0">
      <text>
        <t>חוזר 18/2022.</t>
      </text>
    </comment>
    <comment ref="BB3" authorId="0" shapeId="0">
      <text>
        <t>עוגן ה-28 יום של Cook 2022.</t>
      </text>
    </comment>
    <comment ref="BC3" authorId="0" shapeId="0">
      <text>
        <t>מפעיל את שעון חוזר 1/2020. לרוב אינו מתועד — להשאיר ריק.</t>
      </text>
    </comment>
    <comment ref="BD3" authorId="0" shapeId="0">
      <text>
        <t>סוף התוצא הראשוני.</t>
      </text>
    </comment>
    <comment ref="BE3" authorId="0" shapeId="0">
      <text>
        <t>Schoonbeek 2021 — OR 9.93 להקרנות.</t>
      </text>
    </comment>
    <comment ref="BG3" authorId="0" shapeId="0">
      <text>
        <t>ריק אם לא נותח.</t>
      </text>
    </comment>
    <comment ref="BH3" authorId="0" shapeId="0">
      <text>
        <t>ריק אם לא ניתנו.</t>
      </text>
    </comment>
    <comment ref="BI3" authorId="0" shapeId="0">
      <text>
        <t>יום ההקרנה האחרון, או יום הניתוח בטיפול חד-מודאלי.</t>
      </text>
    </comment>
    <comment ref="BK3" authorId="0" shapeId="0">
      <text>
        <t>לחישוב ההישרדות.</t>
      </text>
    </comment>
    <comment ref="BL3" authorId="0" shapeId="0">
      <text>
        <t>יעד אוסטרלי: 14 יום.</t>
      </text>
    </comment>
    <comment ref="BM3" authorId="0" shapeId="0">
      <text>
        <t>מרווח הבירור — Connell 2020.</t>
      </text>
    </comment>
    <comment ref="BN3" authorId="0" shapeId="0">
      <text>
        <t>Sethi 2022 — ממוצע 4 ימים.</t>
      </text>
    </comment>
    <comment ref="BP3" authorId="0" shapeId="0">
      <text>
        <t>יעד אוסטרלי: 14 יום.</t>
      </text>
    </comment>
    <comment ref="BQ3" authorId="0" shapeId="0">
      <text>
        <t>המקטע שאחרי הוועדה. יעד: 28 יום — Cook 2022.</t>
      </text>
    </comment>
    <comment ref="BR3" authorId="0" shapeId="0">
      <text>
        <t>התוצא הראשוני של המחקר.</t>
      </text>
    </comment>
    <comment ref="BS3" authorId="0" shapeId="0">
      <text>
        <t>ניתוח רגישות לעוגן של Tsai 2017.</t>
      </text>
    </comment>
    <comment ref="BT3" authorId="0" shapeId="0">
      <text>
        <t>המדד ההולנדי — יעד 30 יום.</t>
      </text>
    </comment>
    <comment ref="BU3" authorId="0" shapeId="0">
      <text>
        <t>יעד אוסטרלי 56 · NHS 62.</t>
      </text>
    </comment>
    <comment ref="BV3" authorId="0" shapeId="0">
      <text>
        <t>המקבילה הקלינית לחוזר 1/2020.</t>
      </text>
    </comment>
    <comment ref="BW3" authorId="0" shapeId="0">
      <text>
        <t>יעד 42 יום — NCCN v1.2026.</t>
      </text>
    </comment>
    <comment ref="BX3" authorId="0" shapeId="0">
      <text>
        <t>זמן חבילה — יעד 100 יום, Rosenthal 2002.</t>
      </text>
    </comment>
    <comment ref="BY3" authorId="0" shapeId="0">
      <text>
        <t>תוצא משני מפורש-חקרני.</t>
      </text>
    </comment>
    <comment ref="BZ3" authorId="0" shapeId="0">
      <text>
        <t>סף ה-30 יום של המטה-אנליזה.</t>
      </text>
    </comment>
    <comment ref="CA3" authorId="0" shapeId="0">
      <text>
        <t>הסף האורוגוואי — Amarillo 2024.</t>
      </text>
    </comment>
    <comment ref="CB3" authorId="0" shapeId="0">
      <text>
        <t>Liao 2019.</t>
      </text>
    </comment>
    <comment ref="CC3" authorId="0" shapeId="0">
      <text>
        <t>Murphy 2016 · Rygalski 2021.</t>
      </text>
    </comment>
    <comment ref="CD3" authorId="0" shapeId="0">
      <text>
        <t>התקן ההולנדי.</t>
      </text>
    </comment>
    <comment ref="CE3" authorId="0" shapeId="0">
      <text>
        <t>היעד האוסטרלי — Cook 2022.</t>
      </text>
    </comment>
    <comment ref="CF3" authorId="0" shapeId="0">
      <text>
        <t>הקריאה הקלינית של חוזר 1/2020.</t>
      </text>
    </comment>
    <comment ref="CG3" authorId="0" shapeId="0">
      <text>
        <t>Cook 2022.</t>
      </text>
    </comment>
    <comment ref="CH3" authorId="0" shapeId="0">
      <text>
        <t>NCCN v1.2026, קטגוריה 2A.</t>
      </text>
    </comment>
    <comment ref="CI3" authorId="0" shapeId="0">
      <text>
        <t>Rosenthal 2002.</t>
      </text>
    </comment>
    <comment ref="CJ3" authorId="0" shapeId="0">
      <text>
        <t>מחושב מגיליון Delays.</t>
      </text>
    </comment>
    <comment ref="CK3" authorId="0" shapeId="0">
      <text>
        <t>אסור לרשום שם, ת״ז, תאריך לידה, כתובת או טלפון.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04" customWidth="1" min="2" max="2"/>
  </cols>
  <sheetData>
    <row r="1">
      <c r="A1" s="1" t="inlineStr">
        <is>
          <t>מאבחנה לטיפול ראשוני — גיליון איסוף נתונים</t>
        </is>
      </c>
      <c r="B1" s="2" t="inlineStr"/>
    </row>
    <row r="2">
      <c r="A2" s="3" t="inlineStr">
        <is>
          <t>מחקר רטרוספקטיבי · מחלקת אא״ג וכירורגיית ראש-צוואר, מרכז רפואי מאיר</t>
        </is>
      </c>
      <c r="B2" s="2" t="inlineStr">
        <is>
          <t>קוהורטה רטרוספקטיבית רצופה · הגיליון בנוי לאיסוף לפי הפרמטרים שנמדדו במחקרים המובילים (גיליון Parameters)</t>
        </is>
      </c>
    </row>
    <row r="3">
      <c r="A3" s="4" t="inlineStr"/>
      <c r="B3" s="2" t="inlineStr"/>
    </row>
    <row r="4">
      <c r="A4" s="5" t="inlineStr">
        <is>
          <t>מספר מחקר</t>
        </is>
      </c>
      <c r="B4" s="6" t="inlineStr">
        <is>
          <t>מזהה רשמי אחד לכל מטופל, באנגלית:  RET-23-014-GLT-L-03</t>
        </is>
      </c>
    </row>
    <row r="5">
      <c r="A5" s="3" t="inlineStr">
        <is>
          <t>RET</t>
        </is>
      </c>
      <c r="B5" s="2" t="inlineStr">
        <is>
          <t>הזרוע הרטרוספקטיבית — כדי שלא תתבלבל עם מספרי הפיילוט הפרוספקטיבי (ENT-…)</t>
        </is>
      </c>
    </row>
    <row r="6">
      <c r="A6" s="3" t="inlineStr">
        <is>
          <t>23</t>
        </is>
      </c>
      <c r="B6" s="2" t="inlineStr">
        <is>
          <t>שנת דוח הפתולוגיה הממאירה</t>
        </is>
      </c>
    </row>
    <row r="7">
      <c r="A7" s="3" t="inlineStr">
        <is>
          <t>014</t>
        </is>
      </c>
      <c r="B7" s="2" t="inlineStr">
        <is>
          <t>מספר רץ — הוא שמבטיח ייחודיות</t>
        </is>
      </c>
    </row>
    <row r="8">
      <c r="A8" s="3" t="inlineStr">
        <is>
          <t>GLT</t>
        </is>
      </c>
      <c r="B8" s="2" t="inlineStr">
        <is>
          <t>קוד אתר הגידול (הרשימה המלאה בגיליון Lists)</t>
        </is>
      </c>
    </row>
    <row r="9">
      <c r="A9" s="3" t="inlineStr">
        <is>
          <t>L</t>
        </is>
      </c>
      <c r="B9" s="2" t="inlineStr">
        <is>
          <t>צד: R ימין · L שמאל · M קו אמצע · B דו-צדדי</t>
        </is>
      </c>
    </row>
    <row r="10">
      <c r="A10" s="3" t="inlineStr">
        <is>
          <t>03</t>
        </is>
      </c>
      <c r="B10" s="2" t="inlineStr">
        <is>
          <t>חודש דוח הפתולוגיה</t>
        </is>
      </c>
    </row>
    <row r="11">
      <c r="A11" s="3" t="inlineStr">
        <is>
          <t>נוצר אוטומטית</t>
        </is>
      </c>
      <c r="B11" s="2" t="inlineStr">
        <is>
          <t>העמודה הראשונה בונה את המספר ברגע שמוזנים מספר רץ, אתר, צד ותאריך פתולוגיה. לאחר ההקצאה הוא קבוע — תיקון אתר מתועד בהערות ולא משנה את המספר.</t>
        </is>
      </c>
    </row>
    <row r="12">
      <c r="A12" s="4" t="inlineStr"/>
      <c r="B12" s="2" t="inlineStr"/>
    </row>
    <row r="13">
      <c r="A13" s="5" t="inlineStr">
        <is>
          <t>כללים</t>
        </is>
      </c>
      <c r="B13" s="2" t="inlineStr"/>
    </row>
    <row r="14">
      <c r="A14" s="3" t="inlineStr">
        <is>
          <t>1</t>
        </is>
      </c>
      <c r="B14" s="2" t="inlineStr">
        <is>
          <t>אין בקובץ שם, תעודת זהות, תאריך לידה, כתובת או טלפון. קובץ המפתח בין מספר המחקר לזהות נשמר בנפרד, על מחשב כללית בלבד, ואינו חלק מקובץ זה.</t>
        </is>
      </c>
    </row>
    <row r="15">
      <c r="A15" s="3" t="inlineStr">
        <is>
          <t>2</t>
        </is>
      </c>
      <c r="B15" s="2" t="inlineStr">
        <is>
          <t>הקובץ נשמר על מחשב כללית בלבד ואינו יוצא ממנו. עד לאישור ועדת הלסינקי ואבטחת המידע — נתונים סינתטיים בלבד.</t>
        </is>
      </c>
    </row>
    <row r="16">
      <c r="A16" s="3" t="inlineStr">
        <is>
          <t>3</t>
        </is>
      </c>
      <c r="B16" s="2" t="inlineStr">
        <is>
          <t>תאריכים בפורמט dd/mm/yyyy. שדות הרשימה מקבלים ערכים מהרשימה בלבד.</t>
        </is>
      </c>
    </row>
    <row r="17">
      <c r="A17" s="3" t="inlineStr">
        <is>
          <t>4</t>
        </is>
      </c>
      <c r="B17" s="2" t="inlineStr">
        <is>
          <t>שדה שאין לו מקור ברשומה — משאירים ריק או מסמנים ״לא מתועד״. אין להשלים מהזיכרון.</t>
        </is>
      </c>
    </row>
    <row r="18">
      <c r="A18" s="3" t="inlineStr">
        <is>
          <t>5</t>
        </is>
      </c>
      <c r="B18" s="2" t="inlineStr">
        <is>
          <t>עשרה אחוזים מהתיקים ייאספו בשנית בידי חוקר שני, ויחושב מדד התאמה — ICC לתאריכים וקאפה לשדות הקטגוריים.</t>
        </is>
      </c>
    </row>
    <row r="19">
      <c r="A19" s="4" t="inlineStr"/>
      <c r="B19" s="2" t="inlineStr"/>
    </row>
    <row r="20">
      <c r="A20" s="5" t="inlineStr">
        <is>
          <t>שני עוגני אבחנה, בכוונה</t>
        </is>
      </c>
      <c r="B20" s="2" t="inlineStr"/>
    </row>
    <row r="21">
      <c r="A21" s="3" t="inlineStr">
        <is>
          <t>מדוע</t>
        </is>
      </c>
      <c r="B21" s="2" t="inlineStr">
        <is>
          <t>הספרות משתמשת בשני עוגנים שונים: תאריך הביופסיה (Tsai 2017) ותאריך דוח הפתולוגיה (Liao 2019, Amarillo 2024). המטה-אנליזה מצביעה במפורש על חוסר האחידות הזה כפגם מתודולוגי.</t>
        </is>
      </c>
    </row>
    <row r="22">
      <c r="A22" s="3" t="inlineStr">
        <is>
          <t>מה עושים</t>
        </is>
      </c>
      <c r="B22" s="2" t="inlineStr">
        <is>
          <t>נאספים שניהם. התוצא הראשוני נמדד מדוח הפתולוגיה; ניתוח הרגישות חוזר על הכל מתאריך הביופסיה. כך התוצאה ניתנת להשוואה לשתי המשפחות.</t>
        </is>
      </c>
    </row>
    <row r="23">
      <c r="A23" s="4" t="inlineStr"/>
      <c r="B23" s="2" t="inlineStr"/>
    </row>
    <row r="24">
      <c r="A24" s="5" t="inlineStr">
        <is>
          <t>מקרא צבעים</t>
        </is>
      </c>
      <c r="B24" s="2" t="inlineStr"/>
    </row>
    <row r="25">
      <c r="A25" s="7" t="inlineStr">
        <is>
          <t>צהוב</t>
        </is>
      </c>
      <c r="B25" s="2" t="inlineStr">
        <is>
          <t>שדה להזנה</t>
        </is>
      </c>
    </row>
    <row r="26">
      <c r="A26" s="8" t="inlineStr">
        <is>
          <t>אפור</t>
        </is>
      </c>
      <c r="B26" s="2" t="inlineStr">
        <is>
          <t>מחושב אוטומטית — לא לגעת</t>
        </is>
      </c>
    </row>
    <row r="27">
      <c r="A27" s="9" t="inlineStr">
        <is>
          <t>כחול</t>
        </is>
      </c>
      <c r="B27" s="2" t="inlineStr">
        <is>
          <t>שורת הדוגמה הסינתטית (שורה 5) — אינה נספרת בסיכום</t>
        </is>
      </c>
    </row>
    <row r="28">
      <c r="A28" s="10" t="inlineStr">
        <is>
          <t>אדום</t>
        </is>
      </c>
      <c r="B28" s="2" t="inlineStr">
        <is>
          <t>מרווח שלילי (תאריכים הפוכים) או מספר מחקר כפול</t>
        </is>
      </c>
    </row>
    <row r="29">
      <c r="A29" s="4" t="inlineStr"/>
      <c r="B29" s="2" t="inlineStr"/>
    </row>
    <row r="30">
      <c r="A30" s="5" t="inlineStr">
        <is>
          <t>הגיליונות</t>
        </is>
      </c>
      <c r="B30" s="2" t="inlineStr"/>
    </row>
    <row r="31">
      <c r="A31" s="3" t="inlineStr">
        <is>
          <t>Summary</t>
        </is>
      </c>
      <c r="B31" s="2" t="inlineStr">
        <is>
          <t>סיכום התוצאים — חציונים, רבעונים, ספי הסף ועמידה ביעדים. מתעדכן אוטומטית.</t>
        </is>
      </c>
    </row>
    <row r="32">
      <c r="A32" s="3" t="inlineStr">
        <is>
          <t>Patients</t>
        </is>
      </c>
      <c r="B32" s="2" t="inlineStr">
        <is>
          <t>200 שורות — שורה למטופל: זיהוי, דמוגרפיה, גידול, מסלול, תאריכים, מרווחים מחושבים.</t>
        </is>
      </c>
    </row>
    <row r="33">
      <c r="A33" s="3" t="inlineStr">
        <is>
          <t>Delays</t>
        </is>
      </c>
      <c r="B33" s="2" t="inlineStr">
        <is>
          <t>יומן אירועי עיכוב — אירוע בשורה, עם המקטע, הסיבה, הסיווג ומשך ההמתנה.</t>
        </is>
      </c>
    </row>
    <row r="34">
      <c r="A34" s="3" t="inlineStr">
        <is>
          <t>Parameters</t>
        </is>
      </c>
      <c r="B34" s="2" t="inlineStr">
        <is>
          <t>מה נמדד בכל אחד מ-22 המחקרים המובילים: העוגנים, המשתנים, התוצאים, הספים והממצאים — כולל ממצאי האפס.</t>
        </is>
      </c>
    </row>
    <row r="35">
      <c r="A35" s="3" t="inlineStr">
        <is>
          <t>Dictionary</t>
        </is>
      </c>
      <c r="B35" s="2" t="inlineStr">
        <is>
          <t>הגדרת כל שדה, סוגו, והמחקר שבגללו הוא נאסף.</t>
        </is>
      </c>
    </row>
    <row r="36">
      <c r="A36" s="3" t="inlineStr">
        <is>
          <t>Lists</t>
        </is>
      </c>
      <c r="B36" s="2" t="inlineStr">
        <is>
          <t>ערכי הרשימות הנפתחות.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62" customWidth="1" min="4" max="4"/>
  </cols>
  <sheetData>
    <row r="1">
      <c r="A1" s="11" t="inlineStr">
        <is>
          <t>סיכום התוצאים — מתעדכן אוטומטית</t>
        </is>
      </c>
      <c r="D1" s="12" t="inlineStr">
        <is>
          <t>כל הערכים מחושבים משורות 6 ומטה בגיליון Patients. שורת הדוגמה אינה נספרת.</t>
        </is>
      </c>
    </row>
    <row r="3">
      <c r="A3" s="13" t="inlineStr">
        <is>
          <t>אוכלוסייה</t>
        </is>
      </c>
      <c r="B3" s="14" t="inlineStr">
        <is>
          <t>ערך</t>
        </is>
      </c>
      <c r="C3" s="14" t="inlineStr">
        <is>
          <t>n</t>
        </is>
      </c>
      <c r="D3" s="14" t="inlineStr">
        <is>
          <t>מקור / יעד</t>
        </is>
      </c>
    </row>
    <row r="4">
      <c r="A4" s="15" t="inlineStr">
        <is>
          <t>שורות שהוזנו</t>
        </is>
      </c>
      <c r="B4" s="16">
        <f>COUNTIF(Patients!$A$6:$A$205,"?*")</f>
        <v/>
      </c>
      <c r="C4" s="17" t="n"/>
      <c r="D4" s="17" t="n"/>
    </row>
    <row r="5">
      <c r="A5" s="15" t="inlineStr">
        <is>
          <t>נכללו בניתוח</t>
        </is>
      </c>
      <c r="B5" s="16">
        <f>COUNTIFS(Patients!$F$6:$F$205,"כן")</f>
        <v/>
      </c>
      <c r="C5" s="17" t="n"/>
      <c r="D5" s="18" t="inlineStr">
        <is>
          <t>תרשים STROBE — ההוצאות בעמודת ״סיבת הוצאה״.</t>
        </is>
      </c>
    </row>
    <row r="6">
      <c r="A6" s="15" t="inlineStr">
        <is>
          <t>עם תוצא ראשוני מלא</t>
        </is>
      </c>
      <c r="B6" s="16">
        <f>COUNT(Patients!$BR$6:$BR$205)</f>
        <v/>
      </c>
      <c r="C6" s="17" t="n"/>
      <c r="D6" s="17" t="n"/>
    </row>
    <row r="7">
      <c r="A7" s="15" t="inlineStr">
        <is>
          <t>גיל, חציון</t>
        </is>
      </c>
      <c r="B7" s="16">
        <f>IFERROR(MEDIAN(Patients!$H$6:$H$205),"")</f>
        <v/>
      </c>
      <c r="C7" s="17" t="n"/>
      <c r="D7" s="17" t="n"/>
    </row>
    <row r="8">
      <c r="A8" s="15" t="inlineStr">
        <is>
          <t>שיעור גברים</t>
        </is>
      </c>
      <c r="B8" s="19">
        <f>IFERROR(COUNTIF(Patients!$I$6:$I$205,"ז")/COUNTIF(Patients!$I$6:$I$205,"?*"),"")</f>
        <v/>
      </c>
      <c r="C8" s="17" t="n"/>
      <c r="D8" s="17" t="n"/>
    </row>
    <row r="9">
      <c r="A9" s="15" t="inlineStr">
        <is>
          <t>שיעור מחלה מתקדמת (III–IV)</t>
        </is>
      </c>
      <c r="B9" s="19">
        <f>IFERROR(AVERAGE(Patients!$Z$6:$Z$205),"")</f>
        <v/>
      </c>
      <c r="C9" s="17" t="n"/>
      <c r="D9" s="18" t="inlineStr">
        <is>
          <t>החלוקה של Amarillo 2024.</t>
        </is>
      </c>
    </row>
    <row r="10">
      <c r="A10" s="13" t="inlineStr">
        <is>
          <t>התוצא הראשוני — אבחנה ← טיפול (ימים)</t>
        </is>
      </c>
      <c r="B10" s="14" t="inlineStr">
        <is>
          <t>ערך</t>
        </is>
      </c>
      <c r="C10" s="14" t="inlineStr">
        <is>
          <t>n</t>
        </is>
      </c>
      <c r="D10" s="14" t="inlineStr">
        <is>
          <t>מקור / יעד</t>
        </is>
      </c>
    </row>
    <row r="11">
      <c r="A11" s="15" t="inlineStr">
        <is>
          <t>חציון</t>
        </is>
      </c>
      <c r="B11" s="20">
        <f>IF(COUNT(Patients!$BR$6:$BR$205)=0,"",MEDIAN(Patients!$BR$6:$BR$205))</f>
        <v/>
      </c>
      <c r="C11" s="16">
        <f>COUNT(Patients!$BR$6:$BR$205)</f>
        <v/>
      </c>
      <c r="D11" s="17" t="n"/>
    </row>
    <row r="12">
      <c r="A12" s="15" t="inlineStr">
        <is>
          <t>רבעון ראשון (Q1)</t>
        </is>
      </c>
      <c r="B12" s="20">
        <f>IF(COUNT(Patients!$BR$6:$BR$205)=0,"",QUARTILE.INC(Patients!$BR$6:$BR$205,1))</f>
        <v/>
      </c>
      <c r="C12" s="17" t="n"/>
      <c r="D12" s="17" t="n"/>
    </row>
    <row r="13">
      <c r="A13" s="15" t="inlineStr">
        <is>
          <t>רבעון שלישי (Q3)</t>
        </is>
      </c>
      <c r="B13" s="20">
        <f>IF(COUNT(Patients!$BR$6:$BR$205)=0,"",QUARTILE.INC(Patients!$BR$6:$BR$205,3))</f>
        <v/>
      </c>
      <c r="C13" s="17" t="n"/>
      <c r="D13" s="17" t="n"/>
    </row>
    <row r="14">
      <c r="A14" s="15" t="inlineStr">
        <is>
          <t>ממוצע</t>
        </is>
      </c>
      <c r="B14" s="20">
        <f>IF(COUNT(Patients!$BR$6:$BR$205)=0,"",AVERAGE(Patients!$BR$6:$BR$205))</f>
        <v/>
      </c>
      <c r="C14" s="17" t="n"/>
      <c r="D14" s="17" t="n"/>
    </row>
    <row r="15">
      <c r="A15" s="15" t="inlineStr">
        <is>
          <t>סטיית תקן</t>
        </is>
      </c>
      <c r="B15" s="20">
        <f>IF(COUNT(Patients!$BR$6:$BR$205)=0,"",STDEV.S(Patients!$BR$6:$BR$205))</f>
        <v/>
      </c>
      <c r="C15" s="17" t="n"/>
      <c r="D15" s="17" t="n"/>
    </row>
    <row r="16">
      <c r="A16" s="15" t="inlineStr">
        <is>
          <t>מינימום</t>
        </is>
      </c>
      <c r="B16" s="20">
        <f>IF(COUNT(Patients!$BR$6:$BR$205)=0,"",MIN(Patients!$BR$6:$BR$205))</f>
        <v/>
      </c>
      <c r="C16" s="17" t="n"/>
      <c r="D16" s="17" t="n"/>
    </row>
    <row r="17">
      <c r="A17" s="15" t="inlineStr">
        <is>
          <t>מקסימום</t>
        </is>
      </c>
      <c r="B17" s="20">
        <f>IF(COUNT(Patients!$BR$6:$BR$205)=0,"",MAX(Patients!$BR$6:$BR$205))</f>
        <v/>
      </c>
      <c r="C17" s="17" t="n"/>
      <c r="D17" s="17" t="n"/>
    </row>
    <row r="18">
      <c r="A18" s="13" t="inlineStr">
        <is>
          <t>חציון התוצא הראשוני לפי מודאליות</t>
        </is>
      </c>
      <c r="B18" s="14" t="inlineStr">
        <is>
          <t>ערך</t>
        </is>
      </c>
      <c r="C18" s="14" t="inlineStr">
        <is>
          <t>n</t>
        </is>
      </c>
      <c r="D18" s="14" t="inlineStr">
        <is>
          <t>מקור / יעד</t>
        </is>
      </c>
    </row>
    <row r="19">
      <c r="A19" s="15" t="inlineStr">
        <is>
          <t>ניתוח</t>
        </is>
      </c>
      <c r="B19" s="20">
        <f t="array" ref="B19">IFERROR(MEDIAN(IF(Patients!$BE$6:$BE$205="ניתוח",IF(ISNUMBER(Patients!$BR$6:$BR$205),Patients!$BR$6:$BR$205))),"")</f>
        <v/>
      </c>
      <c r="C19" s="16">
        <f>COUNTIF(Patients!$BE$6:$BE$205,"ניתוח")</f>
        <v/>
      </c>
      <c r="D19" s="17" t="n"/>
    </row>
    <row r="20">
      <c r="A20" s="15" t="inlineStr">
        <is>
          <t>הקרנות</t>
        </is>
      </c>
      <c r="B20" s="20">
        <f t="array" ref="B20">IFERROR(MEDIAN(IF(Patients!$BE$6:$BE$205="הקרנות",IF(ISNUMBER(Patients!$BR$6:$BR$205),Patients!$BR$6:$BR$205))),"")</f>
        <v/>
      </c>
      <c r="C20" s="16">
        <f>COUNTIF(Patients!$BE$6:$BE$205,"הקרנות")</f>
        <v/>
      </c>
      <c r="D20" s="18" t="inlineStr">
        <is>
          <t>Schoonbeek 2021: הקרנות ראשוניות — OR 9.93 לעיכוב.</t>
        </is>
      </c>
    </row>
    <row r="21">
      <c r="A21" s="15" t="inlineStr">
        <is>
          <t>כימו-הקרנות</t>
        </is>
      </c>
      <c r="B21" s="20">
        <f t="array" ref="B21">IFERROR(MEDIAN(IF(Patients!$BE$6:$BE$205="כימו-הקרנות",IF(ISNUMBER(Patients!$BR$6:$BR$205),Patients!$BR$6:$BR$205))),"")</f>
        <v/>
      </c>
      <c r="C21" s="16">
        <f>COUNTIF(Patients!$BE$6:$BE$205,"כימו-הקרנות")</f>
        <v/>
      </c>
      <c r="D21" s="17" t="n"/>
    </row>
    <row r="22">
      <c r="A22" s="13" t="inlineStr">
        <is>
          <t>ספי הסף מהספרות</t>
        </is>
      </c>
      <c r="B22" s="14" t="inlineStr">
        <is>
          <t>שיעור</t>
        </is>
      </c>
      <c r="C22" s="14" t="inlineStr">
        <is>
          <t>n</t>
        </is>
      </c>
      <c r="D22" s="14" t="inlineStr">
        <is>
          <t>המחקר שקבע את הסף</t>
        </is>
      </c>
    </row>
    <row r="23">
      <c r="A23" s="15" t="inlineStr">
        <is>
          <t>טופלו ≤ 30 יום</t>
        </is>
      </c>
      <c r="B23" s="19">
        <f>IFERROR(AVERAGE(Patients!$BZ$6:$BZ$205),"")</f>
        <v/>
      </c>
      <c r="C23" s="16">
        <f>SUM(Patients!$BZ$6:$BZ$205)</f>
        <v/>
      </c>
      <c r="D23" s="18" t="inlineStr">
        <is>
          <t>סף המטה-אנליזה: aHR 1.09 (1.06–1.13) לטובת ≤30 יום.</t>
        </is>
      </c>
    </row>
    <row r="24">
      <c r="A24" s="15" t="inlineStr">
        <is>
          <t>מעל 40.5 יום</t>
        </is>
      </c>
      <c r="B24" s="19">
        <f>IFERROR(AVERAGE(Patients!$CA$6:$CA$205),"")</f>
        <v/>
      </c>
      <c r="C24" s="16">
        <f>SUM(Patients!$CA$6:$CA$205)</f>
        <v/>
      </c>
      <c r="D24" s="18" t="inlineStr">
        <is>
          <t>Amarillo 2024, מונטווידאו, n=377 — הסף שהופק ב-RPA.</t>
        </is>
      </c>
    </row>
    <row r="25">
      <c r="A25" s="15" t="inlineStr">
        <is>
          <t>מעל 60 יום</t>
        </is>
      </c>
      <c r="B25" s="19">
        <f>IFERROR(AVERAGE(Patients!$CB$6:$CB$205),"")</f>
        <v/>
      </c>
      <c r="C25" s="16">
        <f>SUM(Patients!$CB$6:$CB$205)</f>
        <v/>
      </c>
      <c r="D25" s="18" t="inlineStr">
        <is>
          <t>Liao 2019, n=956 — HR 1.69 (1.32–2.18) לתמותה.</t>
        </is>
      </c>
    </row>
    <row r="26">
      <c r="A26" s="15" t="inlineStr">
        <is>
          <t>מעל 67 יום</t>
        </is>
      </c>
      <c r="B26" s="19">
        <f>IFERROR(AVERAGE(Patients!$CC$6:$CC$205),"")</f>
        <v/>
      </c>
      <c r="C26" s="16">
        <f>SUM(Patients!$CC$6:$CC$205)</f>
        <v/>
      </c>
      <c r="D26" s="18" t="inlineStr">
        <is>
          <t>Murphy 2016, NCDB n=51,655 · Rygalski 2021, n=37,730.</t>
        </is>
      </c>
    </row>
    <row r="27">
      <c r="A27" s="13" t="inlineStr">
        <is>
          <t>מקטעי המסלול — חציון (ימים)</t>
        </is>
      </c>
      <c r="B27" s="14" t="inlineStr">
        <is>
          <t>חציון</t>
        </is>
      </c>
      <c r="C27" s="14" t="inlineStr">
        <is>
          <t>n</t>
        </is>
      </c>
      <c r="D27" s="14" t="inlineStr">
        <is>
          <t>יעד מפורסם</t>
        </is>
      </c>
    </row>
    <row r="28">
      <c r="A28" s="15" t="inlineStr">
        <is>
          <t>הפניה ← ייעוץ</t>
        </is>
      </c>
      <c r="B28" s="20">
        <f>IFERROR(MEDIAN(Patients!$BL$6:$BL$205),"")</f>
        <v/>
      </c>
      <c r="C28" s="16">
        <f>COUNT(Patients!$BL$6:$BL$205)</f>
        <v/>
      </c>
      <c r="D28" s="18" t="inlineStr">
        <is>
          <t>14 יום — היעד האוסטרלי (Cook 2022).</t>
        </is>
      </c>
    </row>
    <row r="29">
      <c r="A29" s="15" t="inlineStr">
        <is>
          <t>ייעוץ ← ביופסיה</t>
        </is>
      </c>
      <c r="B29" s="20">
        <f>IFERROR(MEDIAN(Patients!$BM$6:$BM$205),"")</f>
        <v/>
      </c>
      <c r="C29" s="16">
        <f>COUNT(Patients!$BM$6:$BM$205)</f>
        <v/>
      </c>
      <c r="D29" s="17" t="n"/>
    </row>
    <row r="30">
      <c r="A30" s="15" t="inlineStr">
        <is>
          <t>ביופסיה ← דוח פתולוגיה</t>
        </is>
      </c>
      <c r="B30" s="20">
        <f>IFERROR(MEDIAN(Patients!$BN$6:$BN$205),"")</f>
        <v/>
      </c>
      <c r="C30" s="16">
        <f>COUNT(Patients!$BN$6:$BN$205)</f>
        <v/>
      </c>
      <c r="D30" s="18" t="inlineStr">
        <is>
          <t>Sethi 2022 — ממוצע 4 ימים.</t>
        </is>
      </c>
    </row>
    <row r="31">
      <c r="A31" s="15" t="inlineStr">
        <is>
          <t>פתולוגיה ← ועדה</t>
        </is>
      </c>
      <c r="B31" s="20">
        <f>IFERROR(MEDIAN(Patients!$BO$6:$BO$205),"")</f>
        <v/>
      </c>
      <c r="C31" s="16">
        <f>COUNT(Patients!$BO$6:$BO$205)</f>
        <v/>
      </c>
      <c r="D31" s="17" t="n"/>
    </row>
    <row r="32">
      <c r="A32" s="15" t="inlineStr">
        <is>
          <t>ייעוץ ← ועדה</t>
        </is>
      </c>
      <c r="B32" s="20">
        <f>IFERROR(MEDIAN(Patients!$BP$6:$BP$205),"")</f>
        <v/>
      </c>
      <c r="C32" s="16">
        <f>COUNT(Patients!$BP$6:$BP$205)</f>
        <v/>
      </c>
      <c r="D32" s="18" t="inlineStr">
        <is>
          <t>14 יום — היעד האוסטרלי.</t>
        </is>
      </c>
    </row>
    <row r="33">
      <c r="A33" s="15" t="inlineStr">
        <is>
          <t>החלטת ועדה ← טיפול</t>
        </is>
      </c>
      <c r="B33" s="20">
        <f>IFERROR(MEDIAN(Patients!$BQ$6:$BQ$205),"")</f>
        <v/>
      </c>
      <c r="C33" s="16">
        <f>COUNT(Patients!$BQ$6:$BQ$205)</f>
        <v/>
      </c>
      <c r="D33" s="18" t="inlineStr">
        <is>
          <t>28 יום — Cook 2022; 67% עמדו בו.</t>
        </is>
      </c>
    </row>
    <row r="34">
      <c r="A34" s="15" t="inlineStr">
        <is>
          <t>החלטה ← ניתוח</t>
        </is>
      </c>
      <c r="B34" s="20">
        <f>IFERROR(MEDIAN(Patients!$BV$6:$BV$205),"")</f>
        <v/>
      </c>
      <c r="C34" s="16">
        <f>COUNT(Patients!$BV$6:$BV$205)</f>
        <v/>
      </c>
      <c r="D34" s="18" t="inlineStr">
        <is>
          <t>30 יום — הקריאה הקלינית של חוזר 1/2020.</t>
        </is>
      </c>
    </row>
    <row r="35">
      <c r="A35" s="15" t="inlineStr">
        <is>
          <t>ייעוץ ← טיפול (CPI)</t>
        </is>
      </c>
      <c r="B35" s="20">
        <f>IFERROR(MEDIAN(Patients!$BT$6:$BT$205),"")</f>
        <v/>
      </c>
      <c r="C35" s="16">
        <f>COUNT(Patients!$BT$6:$BT$205)</f>
        <v/>
      </c>
      <c r="D35" s="18" t="inlineStr">
        <is>
          <t>30 יום — התקן ההולנדי; Schoonbeek 2021 מדד חציון 39.</t>
        </is>
      </c>
    </row>
    <row r="36">
      <c r="A36" s="15" t="inlineStr">
        <is>
          <t>הפניה ← טיפול</t>
        </is>
      </c>
      <c r="B36" s="20">
        <f>IFERROR(MEDIAN(Patients!$BU$6:$BU$205),"")</f>
        <v/>
      </c>
      <c r="C36" s="16">
        <f>COUNT(Patients!$BU$6:$BU$205)</f>
        <v/>
      </c>
      <c r="D36" s="18" t="inlineStr">
        <is>
          <t>56 יום אוסטרליה · 62 יום NHS.</t>
        </is>
      </c>
    </row>
    <row r="37">
      <c r="A37" s="15" t="inlineStr">
        <is>
          <t>ניתוח ← הקרנות משלימות</t>
        </is>
      </c>
      <c r="B37" s="20">
        <f>IFERROR(MEDIAN(Patients!$BW$6:$BW$205),"")</f>
        <v/>
      </c>
      <c r="C37" s="16">
        <f>COUNT(Patients!$BW$6:$BW$205)</f>
        <v/>
      </c>
      <c r="D37" s="18" t="inlineStr">
        <is>
          <t>42 יום — NCCN v1.2026, קטגוריה 2A.</t>
        </is>
      </c>
    </row>
    <row r="38">
      <c r="A38" s="15" t="inlineStr">
        <is>
          <t>ניתוח ← סיום הקרנות (זמן חבילה)</t>
        </is>
      </c>
      <c r="B38" s="20">
        <f>IFERROR(MEDIAN(Patients!$BX$6:$BX$205),"")</f>
        <v/>
      </c>
      <c r="C38" s="16">
        <f>COUNT(Patients!$BX$6:$BX$205)</f>
        <v/>
      </c>
      <c r="D38" s="18" t="inlineStr">
        <is>
          <t>100 יום — Rosenthal 2002.</t>
        </is>
      </c>
    </row>
    <row r="39">
      <c r="A39" s="13" t="inlineStr">
        <is>
          <t>עמידה ביעדים</t>
        </is>
      </c>
      <c r="B39" s="14" t="inlineStr">
        <is>
          <t>שיעור</t>
        </is>
      </c>
      <c r="C39" s="14" t="inlineStr">
        <is>
          <t>n</t>
        </is>
      </c>
      <c r="D39" s="14" t="inlineStr"/>
    </row>
    <row r="40">
      <c r="A40" s="15" t="inlineStr">
        <is>
          <t>ייעוץ ← טיפול ≤ 30 יום</t>
        </is>
      </c>
      <c r="B40" s="19">
        <f>IFERROR(AVERAGE(Patients!$CD$6:$CD$205),"")</f>
        <v/>
      </c>
      <c r="C40" s="16">
        <f>SUM(Patients!$CD$6:$CD$205)</f>
        <v/>
      </c>
      <c r="D40" s="18" t="inlineStr">
        <is>
          <t>התקן ההולנדי דורש 80%.</t>
        </is>
      </c>
    </row>
    <row r="41">
      <c r="A41" s="15" t="inlineStr">
        <is>
          <t>החלטה ← טיפול ≤ 28 יום</t>
        </is>
      </c>
      <c r="B41" s="19">
        <f>IFERROR(AVERAGE(Patients!$CE$6:$CE$205),"")</f>
        <v/>
      </c>
      <c r="C41" s="16">
        <f>SUM(Patients!$CE$6:$CE$205)</f>
        <v/>
      </c>
      <c r="D41" s="18" t="inlineStr">
        <is>
          <t>Cook 2022 — 67% במחקר האוסטרלי.</t>
        </is>
      </c>
    </row>
    <row r="42">
      <c r="A42" s="15" t="inlineStr">
        <is>
          <t>החלטה ← ניתוח ≤ 30 יום</t>
        </is>
      </c>
      <c r="B42" s="19">
        <f>IFERROR(AVERAGE(Patients!$CF$6:$CF$205),"")</f>
        <v/>
      </c>
      <c r="C42" s="16">
        <f>SUM(Patients!$CF$6:$CF$205)</f>
        <v/>
      </c>
      <c r="D42" s="18" t="inlineStr">
        <is>
          <t>מתוך המנותחים בלבד.</t>
        </is>
      </c>
    </row>
    <row r="43">
      <c r="A43" s="15" t="inlineStr">
        <is>
          <t>הפניה ← טיפול ≤ 56 יום</t>
        </is>
      </c>
      <c r="B43" s="19">
        <f>IFERROR(AVERAGE(Patients!$CG$6:$CG$205),"")</f>
        <v/>
      </c>
      <c r="C43" s="16">
        <f>SUM(Patients!$CG$6:$CG$205)</f>
        <v/>
      </c>
      <c r="D43" s="18" t="inlineStr">
        <is>
          <t>Cook 2022 — 72%.</t>
        </is>
      </c>
    </row>
    <row r="44">
      <c r="A44" s="15" t="inlineStr">
        <is>
          <t>ניתוח ← הקרנות ≤ 42 יום</t>
        </is>
      </c>
      <c r="B44" s="19">
        <f>IFERROR(AVERAGE(Patients!$CH$6:$CH$205),"")</f>
        <v/>
      </c>
      <c r="C44" s="16">
        <f>SUM(Patients!$CH$6:$CH$205)</f>
        <v/>
      </c>
      <c r="D44" s="18" t="inlineStr">
        <is>
          <t>Nguyen 2025 — 41% בקוהורטה האמריקאית.</t>
        </is>
      </c>
    </row>
    <row r="45">
      <c r="A45" s="15" t="inlineStr">
        <is>
          <t>זמן חבילה ≤ 100 יום</t>
        </is>
      </c>
      <c r="B45" s="19">
        <f>IFERROR(AVERAGE(Patients!$CI$6:$CI$205),"")</f>
        <v/>
      </c>
      <c r="C45" s="16">
        <f>SUM(Patients!$CI$6:$CI$205)</f>
        <v/>
      </c>
      <c r="D45" s="18" t="inlineStr">
        <is>
          <t>Rosenthal 2002.</t>
        </is>
      </c>
    </row>
    <row r="46">
      <c r="A46" s="13" t="inlineStr">
        <is>
          <t>גורמים שנבדקו — חציון ה-DTI לפי נוכחות הגורם</t>
        </is>
      </c>
      <c r="B46" s="14" t="inlineStr">
        <is>
          <t>עם הגורם</t>
        </is>
      </c>
      <c r="C46" s="14" t="inlineStr">
        <is>
          <t>בלעדיו</t>
        </is>
      </c>
      <c r="D46" s="14" t="inlineStr">
        <is>
          <t>המחקר</t>
        </is>
      </c>
    </row>
    <row r="47">
      <c r="A47" s="15" t="inlineStr">
        <is>
          <t>נדרש PET-CT</t>
        </is>
      </c>
      <c r="B47" s="21">
        <f t="array" ref="B47">IFERROR(MEDIAN(IF(Patients!$AL$6:$AL$205="כן",IF(ISNUMBER(Patients!$BR$6:$BR$205),Patients!$BR$6:$BR$205))),"")</f>
        <v/>
      </c>
      <c r="C47" s="21">
        <f t="array" ref="C47">IFERROR(MEDIAN(IF(Patients!$AL$6:$AL$205="לא",IF(ISNUMBER(Patients!$BR$6:$BR$205),Patients!$BR$6:$BR$205))),"")</f>
        <v/>
      </c>
      <c r="D47" s="18" t="inlineStr">
        <is>
          <t>Cook 2022 — ‎+7.5 ימים.</t>
        </is>
      </c>
    </row>
    <row r="48">
      <c r="A48" s="15" t="inlineStr">
        <is>
          <t>נדרשה הערכה דנטלית</t>
        </is>
      </c>
      <c r="B48" s="21">
        <f t="array" ref="B48">IFERROR(MEDIAN(IF(Patients!$AM$6:$AM$205="כן",IF(ISNUMBER(Patients!$BR$6:$BR$205),Patients!$BR$6:$BR$205))),"")</f>
        <v/>
      </c>
      <c r="C48" s="21">
        <f t="array" ref="C48">IFERROR(MEDIAN(IF(Patients!$AM$6:$AM$205="לא",IF(ISNUMBER(Patients!$BR$6:$BR$205),Patients!$BR$6:$BR$205))),"")</f>
        <v/>
      </c>
      <c r="D48" s="18" t="inlineStr">
        <is>
          <t>Cook 2022 · van Huizen 2018.</t>
        </is>
      </c>
    </row>
    <row r="49">
      <c r="A49" s="15" t="inlineStr">
        <is>
          <t>נדרש PEG מניעתי</t>
        </is>
      </c>
      <c r="B49" s="21">
        <f t="array" ref="B49">IFERROR(MEDIAN(IF(Patients!$AN$6:$AN$205="כן",IF(ISNUMBER(Patients!$BR$6:$BR$205),Patients!$BR$6:$BR$205))),"")</f>
        <v/>
      </c>
      <c r="C49" s="21">
        <f t="array" ref="C49">IFERROR(MEDIAN(IF(Patients!$AN$6:$AN$205="לא",IF(ISNUMBER(Patients!$BR$6:$BR$205),Patients!$BR$6:$BR$205))),"")</f>
        <v/>
      </c>
      <c r="D49" s="18" t="inlineStr">
        <is>
          <t>Cook 2022 — OR 3.1 לחריגה מ-56 יום.</t>
        </is>
      </c>
    </row>
    <row r="50">
      <c r="A50" s="15" t="inlineStr">
        <is>
          <t>ביופסיה מחוץ למרכז</t>
        </is>
      </c>
      <c r="B50" s="21">
        <f t="array" ref="B50">IFERROR(MEDIAN(IF(Patients!$AH$6:$AH$205="כן",IF(ISNUMBER(Patients!$BR$6:$BR$205),Patients!$BR$6:$BR$205))),"")</f>
        <v/>
      </c>
      <c r="C50" s="21">
        <f t="array" ref="C50">IFERROR(MEDIAN(IF(Patients!$AH$6:$AH$205="לא",IF(ISNUMBER(Patients!$BR$6:$BR$205),Patients!$BR$6:$BR$205))),"")</f>
        <v/>
      </c>
      <c r="D50" s="18" t="inlineStr">
        <is>
          <t>Schoonbeek 2021.</t>
        </is>
      </c>
    </row>
    <row r="51">
      <c r="A51" s="15" t="inlineStr">
        <is>
          <t>הדמיה זמינה בייעוץ הראשון</t>
        </is>
      </c>
      <c r="B51" s="21">
        <f t="array" ref="B51">IFERROR(MEDIAN(IF(Patients!$AI$6:$AI$205="כן",IF(ISNUMBER(Patients!$BR$6:$BR$205),Patients!$BR$6:$BR$205))),"")</f>
        <v/>
      </c>
      <c r="C51" s="21">
        <f t="array" ref="C51">IFERROR(MEDIAN(IF(Patients!$AI$6:$AI$205="לא",IF(ISNUMBER(Patients!$BR$6:$BR$205),Patients!$BR$6:$BR$205))),"")</f>
        <v/>
      </c>
      <c r="D51" s="18" t="inlineStr">
        <is>
          <t>Connell 2020.</t>
        </is>
      </c>
    </row>
    <row r="52">
      <c r="A52" s="15" t="inlineStr">
        <is>
          <t>ממצא אקראי משמעותי</t>
        </is>
      </c>
      <c r="B52" s="21">
        <f t="array" ref="B52">IFERROR(MEDIAN(IF(Patients!$AO$6:$AO$205="כן",IF(ISNUMBER(Patients!$BR$6:$BR$205),Patients!$BR$6:$BR$205))),"")</f>
        <v/>
      </c>
      <c r="C52" s="21">
        <f t="array" ref="C52">IFERROR(MEDIAN(IF(Patients!$AO$6:$AO$205="לא",IF(ISNUMBER(Patients!$BR$6:$BR$205),Patients!$BR$6:$BR$205))),"")</f>
        <v/>
      </c>
      <c r="D52" s="18" t="inlineStr">
        <is>
          <t>Schoonbeek 2021 — 21.6% מהמטופלים.</t>
        </is>
      </c>
    </row>
    <row r="53">
      <c r="A53" s="15" t="inlineStr">
        <is>
          <t>עיכוב מיוזמת המטופל</t>
        </is>
      </c>
      <c r="B53" s="21">
        <f t="array" ref="B53">IFERROR(MEDIAN(IF(Patients!$AQ$6:$AQ$205="כן",IF(ISNUMBER(Patients!$BR$6:$BR$205),Patients!$BR$6:$BR$205))),"")</f>
        <v/>
      </c>
      <c r="C53" s="21">
        <f t="array" ref="C53">IFERROR(MEDIAN(IF(Patients!$AQ$6:$AQ$205="לא",IF(ISNUMBER(Patients!$BR$6:$BR$205),Patients!$BR$6:$BR$205))),"")</f>
        <v/>
      </c>
      <c r="D53" s="18" t="inlineStr">
        <is>
          <t>Liao 2019.</t>
        </is>
      </c>
    </row>
    <row r="54">
      <c r="A54" s="13" t="inlineStr">
        <is>
          <t>סיבות העיכוב — מספר אירועים ביומן</t>
        </is>
      </c>
      <c r="B54" s="14" t="inlineStr">
        <is>
          <t>אירועים</t>
        </is>
      </c>
      <c r="C54" s="14" t="inlineStr">
        <is>
          <t>ימים, חציון</t>
        </is>
      </c>
      <c r="D54" s="14" t="inlineStr"/>
    </row>
    <row r="55">
      <c r="A55" s="15" t="inlineStr">
        <is>
          <t>השלמת פתולוגיה / צביעות</t>
        </is>
      </c>
      <c r="B55" s="22">
        <f>COUNTIF(Delays!$D$5:$D$404,"השלמת פתולוגיה / צביעות")</f>
        <v/>
      </c>
      <c r="C55" s="21">
        <f t="array" ref="C55">IFERROR(MEDIAN(IF(Delays!$D$5:$D$404="השלמת פתולוגיה / צביעות",IF(ISNUMBER(Delays!$H$5:$H$404),Delays!$H$5:$H$404))),"")</f>
        <v/>
      </c>
      <c r="D55" s="17" t="n"/>
    </row>
    <row r="56">
      <c r="A56" s="15" t="inlineStr">
        <is>
          <t>חוות דעת פתולוגית שנייה</t>
        </is>
      </c>
      <c r="B56" s="22">
        <f>COUNTIF(Delays!$D$5:$D$404,"חוות דעת פתולוגית שנייה")</f>
        <v/>
      </c>
      <c r="C56" s="21">
        <f t="array" ref="C56">IFERROR(MEDIAN(IF(Delays!$D$5:$D$404="חוות דעת פתולוגית שנייה",IF(ISNUMBER(Delays!$H$5:$H$404),Delays!$H$5:$H$404))),"")</f>
        <v/>
      </c>
      <c r="D56" s="17" t="n"/>
    </row>
    <row r="57">
      <c r="A57" s="15" t="inlineStr">
        <is>
          <t>השלמת הדמיה</t>
        </is>
      </c>
      <c r="B57" s="22">
        <f>COUNTIF(Delays!$D$5:$D$404,"השלמת הדמיה")</f>
        <v/>
      </c>
      <c r="C57" s="21">
        <f t="array" ref="C57">IFERROR(MEDIAN(IF(Delays!$D$5:$D$404="השלמת הדמיה",IF(ISNUMBER(Delays!$H$5:$H$404),Delays!$H$5:$H$404))),"")</f>
        <v/>
      </c>
      <c r="D57" s="17" t="n"/>
    </row>
    <row r="58">
      <c r="A58" s="15" t="inlineStr">
        <is>
          <t>PET-CT</t>
        </is>
      </c>
      <c r="B58" s="22">
        <f>COUNTIF(Delays!$D$5:$D$404,"PET-CT")</f>
        <v/>
      </c>
      <c r="C58" s="21">
        <f t="array" ref="C58">IFERROR(MEDIAN(IF(Delays!$D$5:$D$404="PET-CT",IF(ISNUMBER(Delays!$H$5:$H$404),Delays!$H$5:$H$404))),"")</f>
        <v/>
      </c>
      <c r="D58" s="17" t="n"/>
    </row>
    <row r="59">
      <c r="A59" s="15" t="inlineStr">
        <is>
          <t>הערכה דנטלית / עקירות</t>
        </is>
      </c>
      <c r="B59" s="22">
        <f>COUNTIF(Delays!$D$5:$D$404,"הערכה דנטלית / עקירות")</f>
        <v/>
      </c>
      <c r="C59" s="21">
        <f t="array" ref="C59">IFERROR(MEDIAN(IF(Delays!$D$5:$D$404="הערכה דנטלית / עקירות",IF(ISNUMBER(Delays!$H$5:$H$404),Delays!$H$5:$H$404))),"")</f>
        <v/>
      </c>
      <c r="D59" s="17" t="n"/>
    </row>
    <row r="60">
      <c r="A60" s="15" t="inlineStr">
        <is>
          <t>הערכה טרום-ניתוחית / הרדמה</t>
        </is>
      </c>
      <c r="B60" s="22">
        <f>COUNTIF(Delays!$D$5:$D$404,"הערכה טרום-ניתוחית / הרדמה")</f>
        <v/>
      </c>
      <c r="C60" s="21">
        <f t="array" ref="C60">IFERROR(MEDIAN(IF(Delays!$D$5:$D$404="הערכה טרום-ניתוחית / הרדמה",IF(ISNUMBER(Delays!$H$5:$H$404),Delays!$H$5:$H$404))),"")</f>
        <v/>
      </c>
      <c r="D60" s="17" t="n"/>
    </row>
    <row r="61">
      <c r="A61" s="15" t="inlineStr">
        <is>
          <t>הערכה קרדיולוגית</t>
        </is>
      </c>
      <c r="B61" s="22">
        <f>COUNTIF(Delays!$D$5:$D$404,"הערכה קרדיולוגית")</f>
        <v/>
      </c>
      <c r="C61" s="21">
        <f t="array" ref="C61">IFERROR(MEDIAN(IF(Delays!$D$5:$D$404="הערכה קרדיולוגית",IF(ISNUMBER(Delays!$H$5:$H$404),Delays!$H$5:$H$404))),"")</f>
        <v/>
      </c>
      <c r="D61" s="17" t="n"/>
    </row>
    <row r="62">
      <c r="A62" s="15" t="inlineStr">
        <is>
          <t>PEG / תזונה</t>
        </is>
      </c>
      <c r="B62" s="22">
        <f>COUNTIF(Delays!$D$5:$D$404,"PEG / תזונה")</f>
        <v/>
      </c>
      <c r="C62" s="21">
        <f t="array" ref="C62">IFERROR(MEDIAN(IF(Delays!$D$5:$D$404="PEG / תזונה",IF(ISNUMBER(Delays!$H$5:$H$404),Delays!$H$5:$H$404))),"")</f>
        <v/>
      </c>
      <c r="D62" s="17" t="n"/>
    </row>
    <row r="63">
      <c r="A63" s="15" t="inlineStr">
        <is>
          <t>תור לחדר ניתוח</t>
        </is>
      </c>
      <c r="B63" s="22">
        <f>COUNTIF(Delays!$D$5:$D$404,"תור לחדר ניתוח")</f>
        <v/>
      </c>
      <c r="C63" s="21">
        <f t="array" ref="C63">IFERROR(MEDIAN(IF(Delays!$D$5:$D$404="תור לחדר ניתוח",IF(ISNUMBER(Delays!$H$5:$H$404),Delays!$H$5:$H$404))),"")</f>
        <v/>
      </c>
      <c r="D63" s="17" t="n"/>
    </row>
    <row r="64">
      <c r="A64" s="15" t="inlineStr">
        <is>
          <t>תור לסימולציה / הקרנות</t>
        </is>
      </c>
      <c r="B64" s="22">
        <f>COUNTIF(Delays!$D$5:$D$404,"תור לסימולציה / הקרנות")</f>
        <v/>
      </c>
      <c r="C64" s="21">
        <f t="array" ref="C64">IFERROR(MEDIAN(IF(Delays!$D$5:$D$404="תור לסימולציה / הקרנות",IF(ISNUMBER(Delays!$H$5:$H$404),Delays!$H$5:$H$404))),"")</f>
        <v/>
      </c>
      <c r="D64" s="17" t="n"/>
    </row>
    <row r="65">
      <c r="A65" s="15" t="inlineStr">
        <is>
          <t>הפניה למכון ההקרנות</t>
        </is>
      </c>
      <c r="B65" s="22">
        <f>COUNTIF(Delays!$D$5:$D$404,"הפניה למכון ההקרנות")</f>
        <v/>
      </c>
      <c r="C65" s="21">
        <f t="array" ref="C65">IFERROR(MEDIAN(IF(Delays!$D$5:$D$404="הפניה למכון ההקרנות",IF(ISNUMBER(Delays!$H$5:$H$404),Delays!$H$5:$H$404))),"")</f>
        <v/>
      </c>
      <c r="D65" s="17" t="n"/>
    </row>
    <row r="66">
      <c r="A66" s="15" t="inlineStr">
        <is>
          <t>תיאום בין מוסדות</t>
        </is>
      </c>
      <c r="B66" s="22">
        <f>COUNTIF(Delays!$D$5:$D$404,"תיאום בין מוסדות")</f>
        <v/>
      </c>
      <c r="C66" s="21">
        <f t="array" ref="C66">IFERROR(MEDIAN(IF(Delays!$D$5:$D$404="תיאום בין מוסדות",IF(ISNUMBER(Delays!$H$5:$H$404),Delays!$H$5:$H$404))),"")</f>
        <v/>
      </c>
      <c r="D66" s="17" t="n"/>
    </row>
    <row r="67">
      <c r="A67" s="15" t="inlineStr">
        <is>
          <t>הצגה חוזרת בוועדה</t>
        </is>
      </c>
      <c r="B67" s="22">
        <f>COUNTIF(Delays!$D$5:$D$404,"הצגה חוזרת בוועדה")</f>
        <v/>
      </c>
      <c r="C67" s="21">
        <f t="array" ref="C67">IFERROR(MEDIAN(IF(Delays!$D$5:$D$404="הצגה חוזרת בוועדה",IF(ISNUMBER(Delays!$H$5:$H$404),Delays!$H$5:$H$404))),"")</f>
        <v/>
      </c>
      <c r="D67" s="17" t="n"/>
    </row>
    <row r="68">
      <c r="A68" s="15" t="inlineStr">
        <is>
          <t>אי-הגעה של המטופל</t>
        </is>
      </c>
      <c r="B68" s="22">
        <f>COUNTIF(Delays!$D$5:$D$404,"אי-הגעה של המטופל")</f>
        <v/>
      </c>
      <c r="C68" s="21">
        <f t="array" ref="C68">IFERROR(MEDIAN(IF(Delays!$D$5:$D$404="אי-הגעה של המטופל",IF(ISNUMBER(Delays!$H$5:$H$404),Delays!$H$5:$H$404))),"")</f>
        <v/>
      </c>
      <c r="D68" s="17" t="n"/>
    </row>
    <row r="69">
      <c r="A69" s="15" t="inlineStr">
        <is>
          <t>חוות דעת נוספת ביוזמת המטופל</t>
        </is>
      </c>
      <c r="B69" s="22">
        <f>COUNTIF(Delays!$D$5:$D$404,"חוות דעת נוספת ביוזמת המטופל")</f>
        <v/>
      </c>
      <c r="C69" s="21">
        <f t="array" ref="C69">IFERROR(MEDIAN(IF(Delays!$D$5:$D$404="חוות דעת נוספת ביוזמת המטופל",IF(ISNUMBER(Delays!$H$5:$H$404),Delays!$H$5:$H$404))),"")</f>
        <v/>
      </c>
      <c r="D69" s="17" t="n"/>
    </row>
    <row r="70">
      <c r="A70" s="15" t="inlineStr">
        <is>
          <t>סירוב / התלבטות של המטופל</t>
        </is>
      </c>
      <c r="B70" s="22">
        <f>COUNTIF(Delays!$D$5:$D$404,"סירוב / התלבטות של המטופל")</f>
        <v/>
      </c>
      <c r="C70" s="21">
        <f t="array" ref="C70">IFERROR(MEDIAN(IF(Delays!$D$5:$D$404="סירוב / התלבטות של המטופל",IF(ISNUMBER(Delays!$H$5:$H$404),Delays!$H$5:$H$404))),"")</f>
        <v/>
      </c>
      <c r="D70" s="17" t="n"/>
    </row>
    <row r="71">
      <c r="A71" s="15" t="inlineStr">
        <is>
          <t>מחלה נלווית / ייצוב רפואי</t>
        </is>
      </c>
      <c r="B71" s="22">
        <f>COUNTIF(Delays!$D$5:$D$404,"מחלה נלווית / ייצוב רפואי")</f>
        <v/>
      </c>
      <c r="C71" s="21">
        <f t="array" ref="C71">IFERROR(MEDIAN(IF(Delays!$D$5:$D$404="מחלה נלווית / ייצוב רפואי",IF(ISNUMBER(Delays!$H$5:$H$404),Delays!$H$5:$H$404))),"")</f>
        <v/>
      </c>
      <c r="D71" s="17" t="n"/>
    </row>
    <row r="72">
      <c r="A72" s="15" t="inlineStr">
        <is>
          <t>סיבוך ניתוחי</t>
        </is>
      </c>
      <c r="B72" s="22">
        <f>COUNTIF(Delays!$D$5:$D$404,"סיבוך ניתוחי")</f>
        <v/>
      </c>
      <c r="C72" s="21">
        <f t="array" ref="C72">IFERROR(MEDIAN(IF(Delays!$D$5:$D$404="סיבוך ניתוחי",IF(ISNUMBER(Delays!$H$5:$H$404),Delays!$H$5:$H$404))),"")</f>
        <v/>
      </c>
      <c r="D72" s="17" t="n"/>
    </row>
    <row r="73">
      <c r="A73" s="15" t="inlineStr">
        <is>
          <t>חופשה / סגירת שירות</t>
        </is>
      </c>
      <c r="B73" s="22">
        <f>COUNTIF(Delays!$D$5:$D$404,"חופשה / סגירת שירות")</f>
        <v/>
      </c>
      <c r="C73" s="21">
        <f t="array" ref="C73">IFERROR(MEDIAN(IF(Delays!$D$5:$D$404="חופשה / סגירת שירות",IF(ISNUMBER(Delays!$H$5:$H$404),Delays!$H$5:$H$404))),"")</f>
        <v/>
      </c>
      <c r="D73" s="17" t="n"/>
    </row>
    <row r="74">
      <c r="A74" s="15" t="inlineStr">
        <is>
          <t>אחר</t>
        </is>
      </c>
      <c r="B74" s="22">
        <f>COUNTIF(Delays!$D$5:$D$404,"אחר")</f>
        <v/>
      </c>
      <c r="C74" s="21">
        <f t="array" ref="C74">IFERROR(MEDIAN(IF(Delays!$D$5:$D$404="אחר",IF(ISNUMBER(Delays!$H$5:$H$404),Delays!$H$5:$H$404))),"")</f>
        <v/>
      </c>
      <c r="D74" s="17" t="n"/>
    </row>
    <row r="75">
      <c r="A75" s="15" t="inlineStr">
        <is>
          <t>לא מתועד</t>
        </is>
      </c>
      <c r="B75" s="22">
        <f>COUNTIF(Delays!$D$5:$D$404,"לא מתועד")</f>
        <v/>
      </c>
      <c r="C75" s="21">
        <f t="array" ref="C75">IFERROR(MEDIAN(IF(Delays!$D$5:$D$404="לא מתועד",IF(ISNUMBER(Delays!$H$5:$H$404),Delays!$H$5:$H$404))),"")</f>
        <v/>
      </c>
      <c r="D75" s="17" t="n"/>
    </row>
    <row r="76">
      <c r="A76" s="13" t="inlineStr">
        <is>
          <t>סיווג מקור העיכוב</t>
        </is>
      </c>
      <c r="B76" s="14" t="inlineStr">
        <is>
          <t>אירועים</t>
        </is>
      </c>
      <c r="C76" s="14" t="inlineStr">
        <is>
          <t>שיעור</t>
        </is>
      </c>
      <c r="D76" s="14" t="inlineStr"/>
    </row>
    <row r="77">
      <c r="A77" s="15" t="inlineStr">
        <is>
          <t>מערכתי — קיבולת</t>
        </is>
      </c>
      <c r="B77" s="22">
        <f>COUNTIF(Delays!$E$5:$E$404,"מערכתי — קיבולת")</f>
        <v/>
      </c>
      <c r="C77" s="23">
        <f>IFERROR(COUNTIF(Delays!$E$5:$E$404,"מערכתי — קיבולת")/COUNTIF(Delays!$E$5:$E$404,"?*"),"")</f>
        <v/>
      </c>
      <c r="D77" s="17" t="n"/>
    </row>
    <row r="78">
      <c r="A78" s="15" t="inlineStr">
        <is>
          <t>מערכתי — תיאום</t>
        </is>
      </c>
      <c r="B78" s="22">
        <f>COUNTIF(Delays!$E$5:$E$404,"מערכתי — תיאום")</f>
        <v/>
      </c>
      <c r="C78" s="23">
        <f>IFERROR(COUNTIF(Delays!$E$5:$E$404,"מערכתי — תיאום")/COUNTIF(Delays!$E$5:$E$404,"?*"),"")</f>
        <v/>
      </c>
      <c r="D78" s="17" t="n"/>
    </row>
    <row r="79">
      <c r="A79" s="15" t="inlineStr">
        <is>
          <t>קליני מוצדק</t>
        </is>
      </c>
      <c r="B79" s="22">
        <f>COUNTIF(Delays!$E$5:$E$404,"קליני מוצדק")</f>
        <v/>
      </c>
      <c r="C79" s="23">
        <f>IFERROR(COUNTIF(Delays!$E$5:$E$404,"קליני מוצדק")/COUNTIF(Delays!$E$5:$E$404,"?*"),"")</f>
        <v/>
      </c>
      <c r="D79" s="17" t="n"/>
    </row>
    <row r="80">
      <c r="A80" s="15" t="inlineStr">
        <is>
          <t>מטופל</t>
        </is>
      </c>
      <c r="B80" s="22">
        <f>COUNTIF(Delays!$E$5:$E$404,"מטופל")</f>
        <v/>
      </c>
      <c r="C80" s="23">
        <f>IFERROR(COUNTIF(Delays!$E$5:$E$404,"מטופל")/COUNTIF(Delays!$E$5:$E$404,"?*"),"")</f>
        <v/>
      </c>
      <c r="D80" s="17" t="n"/>
    </row>
    <row r="81">
      <c r="A81" s="15" t="inlineStr">
        <is>
          <t>לא ניתן לסיווג</t>
        </is>
      </c>
      <c r="B81" s="22">
        <f>COUNTIF(Delays!$E$5:$E$404,"לא ניתן לסיווג")</f>
        <v/>
      </c>
      <c r="C81" s="23">
        <f>IFERROR(COUNTIF(Delays!$E$5:$E$404,"לא ניתן לסיווג")/COUNTIF(Delays!$E$5:$E$404,"?*"),"")</f>
        <v/>
      </c>
      <c r="D81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205"/>
  <sheetViews>
    <sheetView rightToLeft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6" customWidth="1" min="4" max="4"/>
    <col width="8" customWidth="1" min="5" max="5"/>
    <col width="9" customWidth="1" min="6" max="6"/>
    <col width="18" customWidth="1" min="7" max="7"/>
    <col width="8" customWidth="1" min="8" max="8"/>
    <col width="6" customWidth="1" min="9" max="9"/>
    <col width="8" customWidth="1" min="10" max="10"/>
    <col width="11" customWidth="1" min="11" max="11"/>
    <col width="8" customWidth="1" min="12" max="12"/>
    <col width="9" customWidth="1" min="13" max="13"/>
    <col width="11" customWidth="1" min="14" max="14"/>
    <col width="11" customWidth="1" min="15" max="15"/>
    <col width="8" customWidth="1" min="16" max="16"/>
    <col width="12" customWidth="1" min="17" max="17"/>
    <col width="10" customWidth="1" min="18" max="18"/>
    <col width="12" customWidth="1" min="19" max="19"/>
    <col width="13" customWidth="1" min="20" max="20"/>
    <col width="20" customWidth="1" min="21" max="21"/>
    <col width="6" customWidth="1" min="22" max="22"/>
    <col width="6" customWidth="1" min="23" max="23"/>
    <col width="6" customWidth="1" min="24" max="24"/>
    <col width="8" customWidth="1" min="25" max="25"/>
    <col width="10" customWidth="1" min="26" max="26"/>
    <col width="10" customWidth="1" min="27" max="27"/>
    <col width="9" customWidth="1" min="28" max="28"/>
    <col width="6" customWidth="1" min="29" max="29"/>
    <col width="6" customWidth="1" min="30" max="30"/>
    <col width="9" customWidth="1" min="31" max="31"/>
    <col width="11" customWidth="1" min="32" max="32"/>
    <col width="16" customWidth="1" min="33" max="33"/>
    <col width="11" customWidth="1" min="34" max="34"/>
    <col width="11" customWidth="1" min="35" max="35"/>
    <col width="11" customWidth="1" min="36" max="36"/>
    <col width="10" customWidth="1" min="37" max="37"/>
    <col width="9" customWidth="1" min="38" max="38"/>
    <col width="10" customWidth="1" min="39" max="39"/>
    <col width="10" customWidth="1" min="40" max="40"/>
    <col width="11" customWidth="1" min="41" max="41"/>
    <col width="9" customWidth="1" min="42" max="42"/>
    <col width="11" customWidth="1" min="43" max="43"/>
    <col width="11" customWidth="1" min="44" max="44"/>
    <col width="20" customWidth="1" min="45" max="45"/>
    <col width="13" customWidth="1" min="46" max="46"/>
    <col width="12" customWidth="1" min="47" max="47"/>
    <col width="12" customWidth="1" min="48" max="48"/>
    <col width="12" customWidth="1" min="49" max="49"/>
    <col width="13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3" customWidth="1" min="56" max="56"/>
    <col width="13" customWidth="1" min="57" max="57"/>
    <col width="11" customWidth="1" min="58" max="58"/>
    <col width="12" customWidth="1" min="59" max="59"/>
    <col width="12" customWidth="1" min="60" max="60"/>
    <col width="12" customWidth="1" min="61" max="61"/>
    <col width="10" customWidth="1" min="62" max="62"/>
    <col width="12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10" customWidth="1" min="69" max="69"/>
    <col width="12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30" customWidth="1" min="89" max="89"/>
  </cols>
  <sheetData>
    <row r="1">
      <c r="A1" s="24" t="inlineStr">
        <is>
          <t>מחקר רטרוספקטיבי — מאבחנה לטיפול ראשוני · מחלקת אא״ג וכירורגיית ראש-צוואר, מרכז רפואי מאיר</t>
        </is>
      </c>
      <c r="J1" s="12" t="inlineStr">
        <is>
          <t>צהוב = להזנה · אפור = מחושב · כחול = שורת דוגמה סינתטית (שורה 5, אינה נספרת)</t>
        </is>
      </c>
    </row>
    <row r="2" ht="16" customHeight="1">
      <c r="A2" s="25" t="inlineStr">
        <is>
          <t>זיהוי</t>
        </is>
      </c>
      <c r="B2" s="25" t="n"/>
      <c r="C2" s="25" t="n"/>
      <c r="D2" s="25" t="n"/>
      <c r="E2" s="25" t="n"/>
      <c r="F2" s="25" t="n"/>
      <c r="G2" s="25" t="n"/>
      <c r="H2" s="25" t="inlineStr">
        <is>
          <t>דמוגרפיה</t>
        </is>
      </c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inlineStr">
        <is>
          <t>גידול</t>
        </is>
      </c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inlineStr">
        <is>
          <t>מסלול</t>
        </is>
      </c>
      <c r="AH2" s="25" t="n"/>
      <c r="AI2" s="25" t="n"/>
      <c r="AJ2" s="25" t="n"/>
      <c r="AK2" s="25" t="n"/>
      <c r="AL2" s="25" t="n"/>
      <c r="AM2" s="25" t="n"/>
      <c r="AN2" s="25" t="n"/>
      <c r="AO2" s="25" t="n"/>
      <c r="AP2" s="25" t="n"/>
      <c r="AQ2" s="25" t="n"/>
      <c r="AR2" s="25" t="n"/>
      <c r="AS2" s="25" t="n"/>
      <c r="AT2" s="25" t="n"/>
      <c r="AU2" s="25" t="inlineStr">
        <is>
          <t>תאריכים</t>
        </is>
      </c>
      <c r="AV2" s="25" t="n"/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inlineStr">
        <is>
          <t>מרווחים (ימים)</t>
        </is>
      </c>
      <c r="BM2" s="25" t="n"/>
      <c r="BN2" s="25" t="n"/>
      <c r="BO2" s="25" t="n"/>
      <c r="BP2" s="25" t="n"/>
      <c r="BQ2" s="25" t="n"/>
      <c r="BR2" s="25" t="n"/>
      <c r="BS2" s="25" t="n"/>
      <c r="BT2" s="25" t="n"/>
      <c r="BU2" s="25" t="n"/>
      <c r="BV2" s="25" t="n"/>
      <c r="BW2" s="25" t="n"/>
      <c r="BX2" s="25" t="n"/>
      <c r="BY2" s="25" t="n"/>
      <c r="BZ2" s="25" t="inlineStr">
        <is>
          <t>ספי סף</t>
        </is>
      </c>
      <c r="CA2" s="25" t="n"/>
      <c r="CB2" s="25" t="n"/>
      <c r="CC2" s="25" t="n"/>
      <c r="CD2" s="25" t="n"/>
      <c r="CE2" s="25" t="n"/>
      <c r="CF2" s="25" t="n"/>
      <c r="CG2" s="25" t="n"/>
      <c r="CH2" s="25" t="n"/>
      <c r="CI2" s="25" t="n"/>
      <c r="CJ2" s="25" t="n"/>
      <c r="CK2" s="25" t="inlineStr">
        <is>
          <t>הערות</t>
        </is>
      </c>
    </row>
    <row r="3" ht="52" customHeight="1">
      <c r="A3" s="26" t="inlineStr">
        <is>
          <t>מספר מחקר</t>
        </is>
      </c>
      <c r="B3" s="26" t="inlineStr">
        <is>
          <t>מספר רץ</t>
        </is>
      </c>
      <c r="C3" s="26" t="inlineStr">
        <is>
          <t>קוד אתר</t>
        </is>
      </c>
      <c r="D3" s="26" t="inlineStr">
        <is>
          <t>צד</t>
        </is>
      </c>
      <c r="E3" s="26" t="inlineStr">
        <is>
          <t>שנת אבחנה</t>
        </is>
      </c>
      <c r="F3" s="26" t="inlineStr">
        <is>
          <t>נכלל בניתוח</t>
        </is>
      </c>
      <c r="G3" s="26" t="inlineStr">
        <is>
          <t>סיבת הוצאה</t>
        </is>
      </c>
      <c r="H3" s="26" t="inlineStr">
        <is>
          <t>גיל באבחנה</t>
        </is>
      </c>
      <c r="I3" s="26" t="inlineStr">
        <is>
          <t>מין</t>
        </is>
      </c>
      <c r="J3" s="26" t="inlineStr">
        <is>
          <t>ECOG</t>
        </is>
      </c>
      <c r="K3" s="26" t="inlineStr">
        <is>
          <t>עישון</t>
        </is>
      </c>
      <c r="L3" s="26" t="inlineStr">
        <is>
          <t>שנות קופסה</t>
        </is>
      </c>
      <c r="M3" s="26" t="inlineStr">
        <is>
          <t>אלכוהול</t>
        </is>
      </c>
      <c r="N3" s="26" t="inlineStr">
        <is>
          <t>ACE-27</t>
        </is>
      </c>
      <c r="O3" s="26" t="inlineStr">
        <is>
          <t>Charlson-Deyo</t>
        </is>
      </c>
      <c r="P3" s="26" t="inlineStr">
        <is>
          <t>BMI</t>
        </is>
      </c>
      <c r="Q3" s="26" t="inlineStr">
        <is>
          <t>מרחק מגורים</t>
        </is>
      </c>
      <c r="R3" s="26" t="inlineStr">
        <is>
          <t>שפת תקשורת</t>
        </is>
      </c>
      <c r="S3" s="26" t="inlineStr">
        <is>
          <t>אשכול חברתי-כלכלי ביישוב</t>
        </is>
      </c>
      <c r="T3" s="26" t="inlineStr">
        <is>
          <t>ביטוח משלים</t>
        </is>
      </c>
      <c r="U3" s="26" t="inlineStr">
        <is>
          <t>היסטולוגיה</t>
        </is>
      </c>
      <c r="V3" s="26" t="inlineStr">
        <is>
          <t>cT</t>
        </is>
      </c>
      <c r="W3" s="26" t="inlineStr">
        <is>
          <t>cN</t>
        </is>
      </c>
      <c r="X3" s="26" t="inlineStr">
        <is>
          <t>cM</t>
        </is>
      </c>
      <c r="Y3" s="26" t="inlineStr">
        <is>
          <t>שלב קליני</t>
        </is>
      </c>
      <c r="Z3" s="26" t="inlineStr">
        <is>
          <t>מחלה מתקדמת (III–IV)</t>
        </is>
      </c>
      <c r="AA3" s="26" t="inlineStr">
        <is>
          <t>p16 / HPV</t>
        </is>
      </c>
      <c r="AB3" s="26" t="inlineStr">
        <is>
          <t>EBV</t>
        </is>
      </c>
      <c r="AC3" s="26" t="inlineStr">
        <is>
          <t>pT</t>
        </is>
      </c>
      <c r="AD3" s="26" t="inlineStr">
        <is>
          <t>pN</t>
        </is>
      </c>
      <c r="AE3" s="26" t="inlineStr">
        <is>
          <t>שוליים חיוביים</t>
        </is>
      </c>
      <c r="AF3" s="26" t="inlineStr">
        <is>
          <t>חדירה מחוץ לקופסית (ENE)</t>
        </is>
      </c>
      <c r="AG3" s="26" t="inlineStr">
        <is>
          <t>מקור ההפניה</t>
        </is>
      </c>
      <c r="AH3" s="26" t="inlineStr">
        <is>
          <t>ביופסיה בוצעה מחוץ למרכז</t>
        </is>
      </c>
      <c r="AI3" s="26" t="inlineStr">
        <is>
          <t>הדמיה זמינה בייעוץ הראשון</t>
        </is>
      </c>
      <c r="AJ3" s="26" t="inlineStr">
        <is>
          <t>אבחנה תחת הרדמה כללית</t>
        </is>
      </c>
      <c r="AK3" s="26" t="inlineStr">
        <is>
          <t>מספר חשיפות להרדמה עד הטיפול</t>
        </is>
      </c>
      <c r="AL3" s="26" t="inlineStr">
        <is>
          <t>נדרש PET-CT</t>
        </is>
      </c>
      <c r="AM3" s="26" t="inlineStr">
        <is>
          <t>נדרשה הערכה דנטלית</t>
        </is>
      </c>
      <c r="AN3" s="26" t="inlineStr">
        <is>
          <t>נדרש PEG מניעתי</t>
        </is>
      </c>
      <c r="AO3" s="26" t="inlineStr">
        <is>
          <t>ממצא אקראי משמעותי בהדמיה</t>
        </is>
      </c>
      <c r="AP3" s="26" t="inlineStr">
        <is>
          <t>מספר הצגות בוועדה</t>
        </is>
      </c>
      <c r="AQ3" s="26" t="inlineStr">
        <is>
          <t>עיכוב מיוזמת המטופל</t>
        </is>
      </c>
      <c r="AR3" s="26" t="inlineStr">
        <is>
          <t>סיבוך ניתוחי שעיכב טיפול משלים</t>
        </is>
      </c>
      <c r="AS3" s="26" t="inlineStr">
        <is>
          <t>הסיבה הראשית לעיכוב</t>
        </is>
      </c>
      <c r="AT3" s="26" t="inlineStr">
        <is>
          <t>סיווג מקור העיכוב</t>
        </is>
      </c>
      <c r="AU3" s="26" t="inlineStr">
        <is>
          <t>קבלת ההפניה</t>
        </is>
      </c>
      <c r="AV3" s="26" t="inlineStr">
        <is>
          <t>ייעוץ ראשון אא״ג</t>
        </is>
      </c>
      <c r="AW3" s="26" t="inlineStr">
        <is>
          <t>ביופסיה</t>
        </is>
      </c>
      <c r="AX3" s="26" t="inlineStr">
        <is>
          <t>דוח פתולוגיה ממאירה (t₀)</t>
        </is>
      </c>
      <c r="AY3" s="26" t="inlineStr">
        <is>
          <t>השלמת הדמיית שלב</t>
        </is>
      </c>
      <c r="AZ3" s="26" t="inlineStr">
        <is>
          <t>PET-CT</t>
        </is>
      </c>
      <c r="BA3" s="26" t="inlineStr">
        <is>
          <t>הצגה ראשונה בוועדה</t>
        </is>
      </c>
      <c r="BB3" s="26" t="inlineStr">
        <is>
          <t>החלטת ועדה סופית</t>
        </is>
      </c>
      <c r="BC3" s="26" t="inlineStr">
        <is>
          <t>הודעה למוקד ההסדרים</t>
        </is>
      </c>
      <c r="BD3" s="26" t="inlineStr">
        <is>
          <t>תחילת הטיפול המכריע</t>
        </is>
      </c>
      <c r="BE3" s="26" t="inlineStr">
        <is>
          <t>מודאליות הטיפול</t>
        </is>
      </c>
      <c r="BF3" s="26" t="inlineStr">
        <is>
          <t>אתר הטיפול</t>
        </is>
      </c>
      <c r="BG3" s="26" t="inlineStr">
        <is>
          <t>ניתוח</t>
        </is>
      </c>
      <c r="BH3" s="26" t="inlineStr">
        <is>
          <t>תחילת הקרנות משלימות</t>
        </is>
      </c>
      <c r="BI3" s="26" t="inlineStr">
        <is>
          <t>סיום הטיפול המכריע</t>
        </is>
      </c>
      <c r="BJ3" s="26" t="inlineStr">
        <is>
          <t>מצב במועד המעקב</t>
        </is>
      </c>
      <c r="BK3" s="26" t="inlineStr">
        <is>
          <t>מעקב אחרון / פטירה</t>
        </is>
      </c>
      <c r="BL3" s="26" t="inlineStr">
        <is>
          <t>הפניה ← ייעוץ</t>
        </is>
      </c>
      <c r="BM3" s="26" t="inlineStr">
        <is>
          <t>ייעוץ ← ביופסיה</t>
        </is>
      </c>
      <c r="BN3" s="26" t="inlineStr">
        <is>
          <t>ביופסיה ← דוח פתולוגיה</t>
        </is>
      </c>
      <c r="BO3" s="26" t="inlineStr">
        <is>
          <t>פתולוגיה ← ועדה</t>
        </is>
      </c>
      <c r="BP3" s="26" t="inlineStr">
        <is>
          <t>ייעוץ ← ועדה</t>
        </is>
      </c>
      <c r="BQ3" s="26" t="inlineStr">
        <is>
          <t>החלטה ← טיפול</t>
        </is>
      </c>
      <c r="BR3" s="26" t="inlineStr">
        <is>
          <t>אבחנה ← טיפול · תוצא ראשוני</t>
        </is>
      </c>
      <c r="BS3" s="26" t="inlineStr">
        <is>
          <t>ביופסיה ← טיפול</t>
        </is>
      </c>
      <c r="BT3" s="26" t="inlineStr">
        <is>
          <t>ייעוץ ← טיפול (CPI)</t>
        </is>
      </c>
      <c r="BU3" s="26" t="inlineStr">
        <is>
          <t>הפניה ← טיפול</t>
        </is>
      </c>
      <c r="BV3" s="26" t="inlineStr">
        <is>
          <t>החלטה ← ניתוח</t>
        </is>
      </c>
      <c r="BW3" s="26" t="inlineStr">
        <is>
          <t>ניתוח ← הקרנות משלימות</t>
        </is>
      </c>
      <c r="BX3" s="26" t="inlineStr">
        <is>
          <t>ניתוח ← סיום הקרנות</t>
        </is>
      </c>
      <c r="BY3" s="26" t="inlineStr">
        <is>
          <t>הישרדות מאבחנה (חודשים)</t>
        </is>
      </c>
      <c r="BZ3" s="26" t="inlineStr">
        <is>
          <t>DTI ≤ 30 יום</t>
        </is>
      </c>
      <c r="CA3" s="26" t="inlineStr">
        <is>
          <t>DTI &gt; 40.5 יום</t>
        </is>
      </c>
      <c r="CB3" s="26" t="inlineStr">
        <is>
          <t>DTI &gt; 60 יום</t>
        </is>
      </c>
      <c r="CC3" s="26" t="inlineStr">
        <is>
          <t>DTI &gt; 67 יום</t>
        </is>
      </c>
      <c r="CD3" s="26" t="inlineStr">
        <is>
          <t>CPI ≤ 30 יום</t>
        </is>
      </c>
      <c r="CE3" s="26" t="inlineStr">
        <is>
          <t>החלטה ← טיפול ≤ 28 יום</t>
        </is>
      </c>
      <c r="CF3" s="26" t="inlineStr">
        <is>
          <t>החלטה ← ניתוח ≤ 30 יום</t>
        </is>
      </c>
      <c r="CG3" s="26" t="inlineStr">
        <is>
          <t>הפניה ← טיפול ≤ 56 יום</t>
        </is>
      </c>
      <c r="CH3" s="26" t="inlineStr">
        <is>
          <t>ניתוח ← הקרנות ≤ 42 יום</t>
        </is>
      </c>
      <c r="CI3" s="26" t="inlineStr">
        <is>
          <t>זמן חבילה ≤ 100 יום</t>
        </is>
      </c>
      <c r="CJ3" s="26" t="inlineStr">
        <is>
          <t>אירועי עיכוב מתועדים</t>
        </is>
      </c>
      <c r="CK3" s="26" t="inlineStr">
        <is>
          <t>הערות (ללא פרטים מזהים)</t>
        </is>
      </c>
    </row>
    <row r="4">
      <c r="A4" s="27" t="inlineStr">
        <is>
          <t>id</t>
        </is>
      </c>
      <c r="B4" s="27" t="inlineStr">
        <is>
          <t>seq</t>
        </is>
      </c>
      <c r="C4" s="27" t="inlineStr">
        <is>
          <t>site</t>
        </is>
      </c>
      <c r="D4" s="27" t="inlineStr">
        <is>
          <t>side</t>
        </is>
      </c>
      <c r="E4" s="27" t="inlineStr">
        <is>
          <t>yr</t>
        </is>
      </c>
      <c r="F4" s="27" t="inlineStr">
        <is>
          <t>incl</t>
        </is>
      </c>
      <c r="G4" s="27" t="inlineStr">
        <is>
          <t>exr</t>
        </is>
      </c>
      <c r="H4" s="27" t="inlineStr">
        <is>
          <t>age</t>
        </is>
      </c>
      <c r="I4" s="27" t="inlineStr">
        <is>
          <t>sex</t>
        </is>
      </c>
      <c r="J4" s="27" t="inlineStr">
        <is>
          <t>ecog</t>
        </is>
      </c>
      <c r="K4" s="27" t="inlineStr">
        <is>
          <t>smoke</t>
        </is>
      </c>
      <c r="L4" s="27" t="inlineStr">
        <is>
          <t>py</t>
        </is>
      </c>
      <c r="M4" s="27" t="inlineStr">
        <is>
          <t>alc</t>
        </is>
      </c>
      <c r="N4" s="27" t="inlineStr">
        <is>
          <t>ace</t>
        </is>
      </c>
      <c r="O4" s="27" t="inlineStr">
        <is>
          <t>cci</t>
        </is>
      </c>
      <c r="P4" s="27" t="inlineStr">
        <is>
          <t>bmi</t>
        </is>
      </c>
      <c r="Q4" s="27" t="inlineStr">
        <is>
          <t>dist</t>
        </is>
      </c>
      <c r="R4" s="27" t="inlineStr">
        <is>
          <t>lang</t>
        </is>
      </c>
      <c r="S4" s="27" t="inlineStr">
        <is>
          <t>ses</t>
        </is>
      </c>
      <c r="T4" s="27" t="inlineStr">
        <is>
          <t>insur</t>
        </is>
      </c>
      <c r="U4" s="27" t="inlineStr">
        <is>
          <t>hist</t>
        </is>
      </c>
      <c r="V4" s="27" t="inlineStr">
        <is>
          <t>cT</t>
        </is>
      </c>
      <c r="W4" s="27" t="inlineStr">
        <is>
          <t>cN</t>
        </is>
      </c>
      <c r="X4" s="27" t="inlineStr">
        <is>
          <t>cM</t>
        </is>
      </c>
      <c r="Y4" s="27" t="inlineStr">
        <is>
          <t>stage</t>
        </is>
      </c>
      <c r="Z4" s="27" t="inlineStr">
        <is>
          <t>adv</t>
        </is>
      </c>
      <c r="AA4" s="27" t="inlineStr">
        <is>
          <t>p16</t>
        </is>
      </c>
      <c r="AB4" s="27" t="inlineStr">
        <is>
          <t>ebv</t>
        </is>
      </c>
      <c r="AC4" s="27" t="inlineStr">
        <is>
          <t>pT</t>
        </is>
      </c>
      <c r="AD4" s="27" t="inlineStr">
        <is>
          <t>pN</t>
        </is>
      </c>
      <c r="AE4" s="27" t="inlineStr">
        <is>
          <t>marg</t>
        </is>
      </c>
      <c r="AF4" s="27" t="inlineStr">
        <is>
          <t>ene</t>
        </is>
      </c>
      <c r="AG4" s="27" t="inlineStr">
        <is>
          <t>refsrc</t>
        </is>
      </c>
      <c r="AH4" s="27" t="inlineStr">
        <is>
          <t>extbx</t>
        </is>
      </c>
      <c r="AI4" s="27" t="inlineStr">
        <is>
          <t>imgat1</t>
        </is>
      </c>
      <c r="AJ4" s="27" t="inlineStr">
        <is>
          <t>gabx</t>
        </is>
      </c>
      <c r="AK4" s="27" t="inlineStr">
        <is>
          <t>nga</t>
        </is>
      </c>
      <c r="AL4" s="27" t="inlineStr">
        <is>
          <t>pet</t>
        </is>
      </c>
      <c r="AM4" s="27" t="inlineStr">
        <is>
          <t>dental</t>
        </is>
      </c>
      <c r="AN4" s="27" t="inlineStr">
        <is>
          <t>peg</t>
        </is>
      </c>
      <c r="AO4" s="27" t="inlineStr">
        <is>
          <t>incid</t>
        </is>
      </c>
      <c r="AP4" s="27" t="inlineStr">
        <is>
          <t>nmdt</t>
        </is>
      </c>
      <c r="AQ4" s="27" t="inlineStr">
        <is>
          <t>ptdel</t>
        </is>
      </c>
      <c r="AR4" s="27" t="inlineStr">
        <is>
          <t>compl</t>
        </is>
      </c>
      <c r="AS4" s="27" t="inlineStr">
        <is>
          <t>dmain</t>
        </is>
      </c>
      <c r="AT4" s="27" t="inlineStr">
        <is>
          <t>dsrc</t>
        </is>
      </c>
      <c r="AU4" s="27" t="inlineStr">
        <is>
          <t>t_ref</t>
        </is>
      </c>
      <c r="AV4" s="27" t="inlineStr">
        <is>
          <t>t_v1</t>
        </is>
      </c>
      <c r="AW4" s="27" t="inlineStr">
        <is>
          <t>t_bx</t>
        </is>
      </c>
      <c r="AX4" s="27" t="inlineStr">
        <is>
          <t>t_path</t>
        </is>
      </c>
      <c r="AY4" s="27" t="inlineStr">
        <is>
          <t>t_img</t>
        </is>
      </c>
      <c r="AZ4" s="27" t="inlineStr">
        <is>
          <t>t_pet</t>
        </is>
      </c>
      <c r="BA4" s="27" t="inlineStr">
        <is>
          <t>t_mdt</t>
        </is>
      </c>
      <c r="BB4" s="27" t="inlineStr">
        <is>
          <t>t_dec</t>
        </is>
      </c>
      <c r="BC4" s="27" t="inlineStr">
        <is>
          <t>t_not</t>
        </is>
      </c>
      <c r="BD4" s="27" t="inlineStr">
        <is>
          <t>t_tx</t>
        </is>
      </c>
      <c r="BE4" s="27" t="inlineStr">
        <is>
          <t>amod</t>
        </is>
      </c>
      <c r="BF4" s="27" t="inlineStr">
        <is>
          <t>txsite</t>
        </is>
      </c>
      <c r="BG4" s="27" t="inlineStr">
        <is>
          <t>t_surg</t>
        </is>
      </c>
      <c r="BH4" s="27" t="inlineStr">
        <is>
          <t>t_port</t>
        </is>
      </c>
      <c r="BI4" s="27" t="inlineStr">
        <is>
          <t>t_end</t>
        </is>
      </c>
      <c r="BJ4" s="27" t="inlineStr">
        <is>
          <t>vital</t>
        </is>
      </c>
      <c r="BK4" s="27" t="inlineStr">
        <is>
          <t>t_lfu</t>
        </is>
      </c>
      <c r="BL4" s="27" t="inlineStr">
        <is>
          <t>i_rv</t>
        </is>
      </c>
      <c r="BM4" s="27" t="inlineStr">
        <is>
          <t>i_vb</t>
        </is>
      </c>
      <c r="BN4" s="27" t="inlineStr">
        <is>
          <t>i_bp</t>
        </is>
      </c>
      <c r="BO4" s="27" t="inlineStr">
        <is>
          <t>i_pm</t>
        </is>
      </c>
      <c r="BP4" s="27" t="inlineStr">
        <is>
          <t>i_vm</t>
        </is>
      </c>
      <c r="BQ4" s="27" t="inlineStr">
        <is>
          <t>i_dt</t>
        </is>
      </c>
      <c r="BR4" s="27" t="inlineStr">
        <is>
          <t>i_dti</t>
        </is>
      </c>
      <c r="BS4" s="27" t="inlineStr">
        <is>
          <t>i_bti</t>
        </is>
      </c>
      <c r="BT4" s="27" t="inlineStr">
        <is>
          <t>i_cpi</t>
        </is>
      </c>
      <c r="BU4" s="27" t="inlineStr">
        <is>
          <t>i_rt</t>
        </is>
      </c>
      <c r="BV4" s="27" t="inlineStr">
        <is>
          <t>i_ds</t>
        </is>
      </c>
      <c r="BW4" s="27" t="inlineStr">
        <is>
          <t>i_sp</t>
        </is>
      </c>
      <c r="BX4" s="27" t="inlineStr">
        <is>
          <t>i_pkg</t>
        </is>
      </c>
      <c r="BY4" s="27" t="inlineStr">
        <is>
          <t>os</t>
        </is>
      </c>
      <c r="BZ4" s="27" t="inlineStr">
        <is>
          <t>f30</t>
        </is>
      </c>
      <c r="CA4" s="27" t="inlineStr">
        <is>
          <t>f40</t>
        </is>
      </c>
      <c r="CB4" s="27" t="inlineStr">
        <is>
          <t>f60</t>
        </is>
      </c>
      <c r="CC4" s="27" t="inlineStr">
        <is>
          <t>f67</t>
        </is>
      </c>
      <c r="CD4" s="27" t="inlineStr">
        <is>
          <t>fcpi</t>
        </is>
      </c>
      <c r="CE4" s="27" t="inlineStr">
        <is>
          <t>f28</t>
        </is>
      </c>
      <c r="CF4" s="27" t="inlineStr">
        <is>
          <t>f30s</t>
        </is>
      </c>
      <c r="CG4" s="27" t="inlineStr">
        <is>
          <t>f56</t>
        </is>
      </c>
      <c r="CH4" s="27" t="inlineStr">
        <is>
          <t>f42</t>
        </is>
      </c>
      <c r="CI4" s="27" t="inlineStr">
        <is>
          <t>f100</t>
        </is>
      </c>
      <c r="CJ4" s="27" t="inlineStr">
        <is>
          <t>ndel</t>
        </is>
      </c>
      <c r="CK4" s="27" t="inlineStr">
        <is>
          <t>note</t>
        </is>
      </c>
    </row>
    <row r="5">
      <c r="A5" s="28">
        <f>IF(OR(B5="",C5="",D5="",AX5=""),"","RET-"&amp;RIGHT(YEAR(AX5),2)&amp;"-"&amp;TEXT(B5,"000")&amp;"-"&amp;C5&amp;"-"&amp;D5&amp;"-"&amp;TEXT(MONTH(AX5),"00"))</f>
        <v/>
      </c>
      <c r="B5" s="29" t="n">
        <v>0</v>
      </c>
      <c r="C5" s="28" t="inlineStr">
        <is>
          <t>GLT</t>
        </is>
      </c>
      <c r="D5" s="28" t="inlineStr">
        <is>
          <t>L</t>
        </is>
      </c>
      <c r="E5" s="28">
        <f>IF(AX5="","",YEAR(AX5))</f>
        <v/>
      </c>
      <c r="F5" s="28" t="inlineStr">
        <is>
          <t>כן</t>
        </is>
      </c>
      <c r="G5" s="28" t="n"/>
      <c r="H5" s="28" t="n">
        <v>67</v>
      </c>
      <c r="I5" s="28" t="inlineStr">
        <is>
          <t>ז</t>
        </is>
      </c>
      <c r="J5" s="28" t="inlineStr">
        <is>
          <t>1</t>
        </is>
      </c>
      <c r="K5" s="28" t="inlineStr">
        <is>
          <t>מעשן כיום</t>
        </is>
      </c>
      <c r="L5" s="28" t="n">
        <v>45</v>
      </c>
      <c r="M5" s="28" t="inlineStr">
        <is>
          <t>מתון</t>
        </is>
      </c>
      <c r="N5" s="28" t="inlineStr">
        <is>
          <t>2 — בינוני</t>
        </is>
      </c>
      <c r="O5" s="28" t="inlineStr">
        <is>
          <t>2</t>
        </is>
      </c>
      <c r="P5" s="30" t="n">
        <v>23.4</v>
      </c>
      <c r="Q5" s="28" t="inlineStr">
        <is>
          <t>10–30 ק״מ</t>
        </is>
      </c>
      <c r="R5" s="28" t="inlineStr">
        <is>
          <t>עברית</t>
        </is>
      </c>
      <c r="S5" s="28" t="inlineStr">
        <is>
          <t>4–6 (בינוני)</t>
        </is>
      </c>
      <c r="T5" s="28" t="inlineStr">
        <is>
          <t>מושלם זהב</t>
        </is>
      </c>
      <c r="U5" s="28" t="inlineStr">
        <is>
          <t>SCC</t>
        </is>
      </c>
      <c r="V5" s="28" t="inlineStr">
        <is>
          <t>T3</t>
        </is>
      </c>
      <c r="W5" s="28" t="inlineStr">
        <is>
          <t>N2b</t>
        </is>
      </c>
      <c r="X5" s="28" t="inlineStr">
        <is>
          <t>M0</t>
        </is>
      </c>
      <c r="Y5" s="28" t="inlineStr">
        <is>
          <t>IVA</t>
        </is>
      </c>
      <c r="Z5" s="31">
        <f>IF(Y5="","",IF(OR(Y5="III",Y5="IV",Y5="IVA",Y5="IVB",Y5="IVC"),1,0))</f>
        <v/>
      </c>
      <c r="AA5" s="28" t="inlineStr">
        <is>
          <t>לא רלוונטי</t>
        </is>
      </c>
      <c r="AB5" s="28" t="inlineStr">
        <is>
          <t>לא רלוונטי</t>
        </is>
      </c>
      <c r="AC5" s="28" t="inlineStr">
        <is>
          <t>T3</t>
        </is>
      </c>
      <c r="AD5" s="28" t="inlineStr">
        <is>
          <t>N2b</t>
        </is>
      </c>
      <c r="AE5" s="28" t="inlineStr">
        <is>
          <t>לא</t>
        </is>
      </c>
      <c r="AF5" s="28" t="inlineStr">
        <is>
          <t>כן</t>
        </is>
      </c>
      <c r="AG5" s="28" t="inlineStr">
        <is>
          <t>אא״ג בקהילה</t>
        </is>
      </c>
      <c r="AH5" s="28" t="inlineStr">
        <is>
          <t>לא</t>
        </is>
      </c>
      <c r="AI5" s="28" t="inlineStr">
        <is>
          <t>לא</t>
        </is>
      </c>
      <c r="AJ5" s="28" t="inlineStr">
        <is>
          <t>כן</t>
        </is>
      </c>
      <c r="AK5" s="28" t="n">
        <v>2</v>
      </c>
      <c r="AL5" s="28" t="inlineStr">
        <is>
          <t>כן</t>
        </is>
      </c>
      <c r="AM5" s="28" t="inlineStr">
        <is>
          <t>כן</t>
        </is>
      </c>
      <c r="AN5" s="28" t="inlineStr">
        <is>
          <t>לא</t>
        </is>
      </c>
      <c r="AO5" s="28" t="inlineStr">
        <is>
          <t>לא</t>
        </is>
      </c>
      <c r="AP5" s="28" t="n">
        <v>2</v>
      </c>
      <c r="AQ5" s="28" t="inlineStr">
        <is>
          <t>לא</t>
        </is>
      </c>
      <c r="AR5" s="28" t="inlineStr">
        <is>
          <t>לא</t>
        </is>
      </c>
      <c r="AS5" s="28" t="inlineStr">
        <is>
          <t>תור לסימולציה / הקרנות</t>
        </is>
      </c>
      <c r="AT5" s="28" t="inlineStr">
        <is>
          <t>מערכתי — קיבולת</t>
        </is>
      </c>
      <c r="AU5" s="32" t="n">
        <v>44963</v>
      </c>
      <c r="AV5" s="32" t="n">
        <v>44977</v>
      </c>
      <c r="AW5" s="32" t="n">
        <v>44986</v>
      </c>
      <c r="AX5" s="32" t="n">
        <v>44992</v>
      </c>
      <c r="AY5" s="32" t="n">
        <v>44999</v>
      </c>
      <c r="AZ5" s="32" t="n">
        <v>45008</v>
      </c>
      <c r="BA5" s="32" t="n">
        <v>45013</v>
      </c>
      <c r="BB5" s="32" t="n">
        <v>45013</v>
      </c>
      <c r="BC5" s="32" t="n"/>
      <c r="BD5" s="32" t="n">
        <v>45033</v>
      </c>
      <c r="BE5" s="28" t="inlineStr">
        <is>
          <t>ניתוח</t>
        </is>
      </c>
      <c r="BF5" s="28" t="inlineStr">
        <is>
          <t>מאיר</t>
        </is>
      </c>
      <c r="BG5" s="32" t="n">
        <v>45033</v>
      </c>
      <c r="BH5" s="32" t="n">
        <v>45071</v>
      </c>
      <c r="BI5" s="32" t="n">
        <v>45117</v>
      </c>
      <c r="BJ5" s="28" t="inlineStr">
        <is>
          <t>בחיים</t>
        </is>
      </c>
      <c r="BK5" s="32" t="n">
        <v>46203</v>
      </c>
      <c r="BL5" s="28">
        <f>IF(OR(AU5="",AV5=""),"",AV5-AU5)</f>
        <v/>
      </c>
      <c r="BM5" s="28">
        <f>IF(OR(AV5="",AW5=""),"",AW5-AV5)</f>
        <v/>
      </c>
      <c r="BN5" s="28">
        <f>IF(OR(AW5="",AX5=""),"",AX5-AW5)</f>
        <v/>
      </c>
      <c r="BO5" s="28">
        <f>IF(OR(AX5="",BA5=""),"",BA5-AX5)</f>
        <v/>
      </c>
      <c r="BP5" s="28">
        <f>IF(OR(AV5="",BA5=""),"",BA5-AV5)</f>
        <v/>
      </c>
      <c r="BQ5" s="28">
        <f>IF(OR(BB5="",BD5=""),"",BD5-BB5)</f>
        <v/>
      </c>
      <c r="BR5" s="28">
        <f>IF(OR(AX5="",BD5=""),"",BD5-AX5)</f>
        <v/>
      </c>
      <c r="BS5" s="28">
        <f>IF(OR(AW5="",BD5=""),"",BD5-AW5)</f>
        <v/>
      </c>
      <c r="BT5" s="28">
        <f>IF(OR(AV5="",BD5=""),"",BD5-AV5)</f>
        <v/>
      </c>
      <c r="BU5" s="28">
        <f>IF(OR(AU5="",BD5=""),"",BD5-AU5)</f>
        <v/>
      </c>
      <c r="BV5" s="28">
        <f>IF(OR(BB5="",BG5=""),"",BG5-BB5)</f>
        <v/>
      </c>
      <c r="BW5" s="28">
        <f>IF(OR(BG5="",BH5=""),"",BH5-BG5)</f>
        <v/>
      </c>
      <c r="BX5" s="28">
        <f>IF(OR(BG5="",BI5=""),"",BI5-BG5)</f>
        <v/>
      </c>
      <c r="BY5" s="30">
        <f>IF(OR(AX5="",BK5=""),"",ROUND((BK5-AX5)/30.44,1))</f>
        <v/>
      </c>
      <c r="BZ5" s="31">
        <f>IF(BR5="","",IF(BR5&lt;=30,1,0))</f>
        <v/>
      </c>
      <c r="CA5" s="31">
        <f>IF(BR5="","",IF(BR5&gt;40.5,1,0))</f>
        <v/>
      </c>
      <c r="CB5" s="31">
        <f>IF(BR5="","",IF(BR5&gt;60,1,0))</f>
        <v/>
      </c>
      <c r="CC5" s="31">
        <f>IF(BR5="","",IF(BR5&gt;67,1,0))</f>
        <v/>
      </c>
      <c r="CD5" s="31">
        <f>IF(BT5="","",IF(BT5&lt;=30,1,0))</f>
        <v/>
      </c>
      <c r="CE5" s="31">
        <f>IF(BQ5="","",IF(BQ5&lt;=28,1,0))</f>
        <v/>
      </c>
      <c r="CF5" s="31">
        <f>IF(OR(BV5="",BE5&lt;&gt;"ניתוח"),"",IF(BV5&lt;=30,1,0))</f>
        <v/>
      </c>
      <c r="CG5" s="31">
        <f>IF(BU5="","",IF(BU5&lt;=56,1,0))</f>
        <v/>
      </c>
      <c r="CH5" s="31">
        <f>IF(BW5="","",IF(BW5&lt;=42,1,0))</f>
        <v/>
      </c>
      <c r="CI5" s="31">
        <f>IF(BX5="","",IF(BX5&lt;=100,1,0))</f>
        <v/>
      </c>
      <c r="CJ5" s="28">
        <f>IF(A5="","",COUNTIF(Delays!$B$5:$B$404,A5))</f>
        <v/>
      </c>
      <c r="CK5" s="28" t="inlineStr">
        <is>
          <t>שורת דוגמה סינתטית — אינה נתון אמיתי</t>
        </is>
      </c>
    </row>
    <row r="6">
      <c r="A6" s="33">
        <f>IF(OR(B6="",C6="",D6="",AX6=""),"","RET-"&amp;RIGHT(YEAR(AX6),2)&amp;"-"&amp;TEXT(B6,"000")&amp;"-"&amp;C6&amp;"-"&amp;D6&amp;"-"&amp;TEXT(MONTH(AX6),"00"))</f>
        <v/>
      </c>
      <c r="B6" s="34" t="n">
        <v>1</v>
      </c>
      <c r="C6" s="35" t="n"/>
      <c r="D6" s="35" t="n"/>
      <c r="E6" s="33">
        <f>IF(AX6="","",YEAR(AX6))</f>
        <v/>
      </c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6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7">
        <f>IF(Y6="","",IF(OR(Y6="III",Y6="IV",Y6="IVA",Y6="IVB",Y6="IVC"),1,0))</f>
        <v/>
      </c>
      <c r="AA6" s="35" t="n"/>
      <c r="AB6" s="35" t="n"/>
      <c r="AC6" s="35" t="n"/>
      <c r="AD6" s="35" t="n"/>
      <c r="AE6" s="35" t="n"/>
      <c r="AF6" s="35" t="n"/>
      <c r="AG6" s="35" t="n"/>
      <c r="AH6" s="35" t="n"/>
      <c r="AI6" s="35" t="n"/>
      <c r="AJ6" s="35" t="n"/>
      <c r="AK6" s="35" t="n"/>
      <c r="AL6" s="35" t="n"/>
      <c r="AM6" s="35" t="n"/>
      <c r="AN6" s="35" t="n"/>
      <c r="AO6" s="35" t="n"/>
      <c r="AP6" s="35" t="n"/>
      <c r="AQ6" s="35" t="n"/>
      <c r="AR6" s="35" t="n"/>
      <c r="AS6" s="35" t="n"/>
      <c r="AT6" s="35" t="n"/>
      <c r="AU6" s="38" t="n"/>
      <c r="AV6" s="38" t="n"/>
      <c r="AW6" s="38" t="n"/>
      <c r="AX6" s="38" t="n"/>
      <c r="AY6" s="38" t="n"/>
      <c r="AZ6" s="38" t="n"/>
      <c r="BA6" s="38" t="n"/>
      <c r="BB6" s="38" t="n"/>
      <c r="BC6" s="38" t="n"/>
      <c r="BD6" s="38" t="n"/>
      <c r="BE6" s="35" t="n"/>
      <c r="BF6" s="35" t="n"/>
      <c r="BG6" s="38" t="n"/>
      <c r="BH6" s="38" t="n"/>
      <c r="BI6" s="38" t="n"/>
      <c r="BJ6" s="35" t="n"/>
      <c r="BK6" s="38" t="n"/>
      <c r="BL6" s="33">
        <f>IF(OR(AU6="",AV6=""),"",AV6-AU6)</f>
        <v/>
      </c>
      <c r="BM6" s="33">
        <f>IF(OR(AV6="",AW6=""),"",AW6-AV6)</f>
        <v/>
      </c>
      <c r="BN6" s="33">
        <f>IF(OR(AW6="",AX6=""),"",AX6-AW6)</f>
        <v/>
      </c>
      <c r="BO6" s="33">
        <f>IF(OR(AX6="",BA6=""),"",BA6-AX6)</f>
        <v/>
      </c>
      <c r="BP6" s="33">
        <f>IF(OR(AV6="",BA6=""),"",BA6-AV6)</f>
        <v/>
      </c>
      <c r="BQ6" s="33">
        <f>IF(OR(BB6="",BD6=""),"",BD6-BB6)</f>
        <v/>
      </c>
      <c r="BR6" s="33">
        <f>IF(OR(AX6="",BD6=""),"",BD6-AX6)</f>
        <v/>
      </c>
      <c r="BS6" s="33">
        <f>IF(OR(AW6="",BD6=""),"",BD6-AW6)</f>
        <v/>
      </c>
      <c r="BT6" s="33">
        <f>IF(OR(AV6="",BD6=""),"",BD6-AV6)</f>
        <v/>
      </c>
      <c r="BU6" s="33">
        <f>IF(OR(AU6="",BD6=""),"",BD6-AU6)</f>
        <v/>
      </c>
      <c r="BV6" s="33">
        <f>IF(OR(BB6="",BG6=""),"",BG6-BB6)</f>
        <v/>
      </c>
      <c r="BW6" s="33">
        <f>IF(OR(BG6="",BH6=""),"",BH6-BG6)</f>
        <v/>
      </c>
      <c r="BX6" s="33">
        <f>IF(OR(BG6="",BI6=""),"",BI6-BG6)</f>
        <v/>
      </c>
      <c r="BY6" s="39">
        <f>IF(OR(AX6="",BK6=""),"",ROUND((BK6-AX6)/30.44,1))</f>
        <v/>
      </c>
      <c r="BZ6" s="37">
        <f>IF(BR6="","",IF(BR6&lt;=30,1,0))</f>
        <v/>
      </c>
      <c r="CA6" s="37">
        <f>IF(BR6="","",IF(BR6&gt;40.5,1,0))</f>
        <v/>
      </c>
      <c r="CB6" s="37">
        <f>IF(BR6="","",IF(BR6&gt;60,1,0))</f>
        <v/>
      </c>
      <c r="CC6" s="37">
        <f>IF(BR6="","",IF(BR6&gt;67,1,0))</f>
        <v/>
      </c>
      <c r="CD6" s="37">
        <f>IF(BT6="","",IF(BT6&lt;=30,1,0))</f>
        <v/>
      </c>
      <c r="CE6" s="37">
        <f>IF(BQ6="","",IF(BQ6&lt;=28,1,0))</f>
        <v/>
      </c>
      <c r="CF6" s="37">
        <f>IF(OR(BV6="",BE6&lt;&gt;"ניתוח"),"",IF(BV6&lt;=30,1,0))</f>
        <v/>
      </c>
      <c r="CG6" s="37">
        <f>IF(BU6="","",IF(BU6&lt;=56,1,0))</f>
        <v/>
      </c>
      <c r="CH6" s="37">
        <f>IF(BW6="","",IF(BW6&lt;=42,1,0))</f>
        <v/>
      </c>
      <c r="CI6" s="37">
        <f>IF(BX6="","",IF(BX6&lt;=100,1,0))</f>
        <v/>
      </c>
      <c r="CJ6" s="33">
        <f>IF(A6="","",COUNTIF(Delays!$B$5:$B$404,A6))</f>
        <v/>
      </c>
      <c r="CK6" s="35" t="n"/>
    </row>
    <row r="7">
      <c r="A7" s="33">
        <f>IF(OR(B7="",C7="",D7="",AX7=""),"","RET-"&amp;RIGHT(YEAR(AX7),2)&amp;"-"&amp;TEXT(B7,"000")&amp;"-"&amp;C7&amp;"-"&amp;D7&amp;"-"&amp;TEXT(MONTH(AX7),"00"))</f>
        <v/>
      </c>
      <c r="B7" s="34" t="n">
        <v>2</v>
      </c>
      <c r="C7" s="35" t="n"/>
      <c r="D7" s="35" t="n"/>
      <c r="E7" s="33">
        <f>IF(AX7="","",YEAR(AX7))</f>
        <v/>
      </c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6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7">
        <f>IF(Y7="","",IF(OR(Y7="III",Y7="IV",Y7="IVA",Y7="IVB",Y7="IVC"),1,0))</f>
        <v/>
      </c>
      <c r="AA7" s="35" t="n"/>
      <c r="AB7" s="35" t="n"/>
      <c r="AC7" s="35" t="n"/>
      <c r="AD7" s="35" t="n"/>
      <c r="AE7" s="35" t="n"/>
      <c r="AF7" s="35" t="n"/>
      <c r="AG7" s="35" t="n"/>
      <c r="AH7" s="35" t="n"/>
      <c r="AI7" s="35" t="n"/>
      <c r="AJ7" s="35" t="n"/>
      <c r="AK7" s="35" t="n"/>
      <c r="AL7" s="35" t="n"/>
      <c r="AM7" s="35" t="n"/>
      <c r="AN7" s="35" t="n"/>
      <c r="AO7" s="35" t="n"/>
      <c r="AP7" s="35" t="n"/>
      <c r="AQ7" s="35" t="n"/>
      <c r="AR7" s="35" t="n"/>
      <c r="AS7" s="35" t="n"/>
      <c r="AT7" s="35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5" t="n"/>
      <c r="BF7" s="35" t="n"/>
      <c r="BG7" s="38" t="n"/>
      <c r="BH7" s="38" t="n"/>
      <c r="BI7" s="38" t="n"/>
      <c r="BJ7" s="35" t="n"/>
      <c r="BK7" s="38" t="n"/>
      <c r="BL7" s="33">
        <f>IF(OR(AU7="",AV7=""),"",AV7-AU7)</f>
        <v/>
      </c>
      <c r="BM7" s="33">
        <f>IF(OR(AV7="",AW7=""),"",AW7-AV7)</f>
        <v/>
      </c>
      <c r="BN7" s="33">
        <f>IF(OR(AW7="",AX7=""),"",AX7-AW7)</f>
        <v/>
      </c>
      <c r="BO7" s="33">
        <f>IF(OR(AX7="",BA7=""),"",BA7-AX7)</f>
        <v/>
      </c>
      <c r="BP7" s="33">
        <f>IF(OR(AV7="",BA7=""),"",BA7-AV7)</f>
        <v/>
      </c>
      <c r="BQ7" s="33">
        <f>IF(OR(BB7="",BD7=""),"",BD7-BB7)</f>
        <v/>
      </c>
      <c r="BR7" s="33">
        <f>IF(OR(AX7="",BD7=""),"",BD7-AX7)</f>
        <v/>
      </c>
      <c r="BS7" s="33">
        <f>IF(OR(AW7="",BD7=""),"",BD7-AW7)</f>
        <v/>
      </c>
      <c r="BT7" s="33">
        <f>IF(OR(AV7="",BD7=""),"",BD7-AV7)</f>
        <v/>
      </c>
      <c r="BU7" s="33">
        <f>IF(OR(AU7="",BD7=""),"",BD7-AU7)</f>
        <v/>
      </c>
      <c r="BV7" s="33">
        <f>IF(OR(BB7="",BG7=""),"",BG7-BB7)</f>
        <v/>
      </c>
      <c r="BW7" s="33">
        <f>IF(OR(BG7="",BH7=""),"",BH7-BG7)</f>
        <v/>
      </c>
      <c r="BX7" s="33">
        <f>IF(OR(BG7="",BI7=""),"",BI7-BG7)</f>
        <v/>
      </c>
      <c r="BY7" s="39">
        <f>IF(OR(AX7="",BK7=""),"",ROUND((BK7-AX7)/30.44,1))</f>
        <v/>
      </c>
      <c r="BZ7" s="37">
        <f>IF(BR7="","",IF(BR7&lt;=30,1,0))</f>
        <v/>
      </c>
      <c r="CA7" s="37">
        <f>IF(BR7="","",IF(BR7&gt;40.5,1,0))</f>
        <v/>
      </c>
      <c r="CB7" s="37">
        <f>IF(BR7="","",IF(BR7&gt;60,1,0))</f>
        <v/>
      </c>
      <c r="CC7" s="37">
        <f>IF(BR7="","",IF(BR7&gt;67,1,0))</f>
        <v/>
      </c>
      <c r="CD7" s="37">
        <f>IF(BT7="","",IF(BT7&lt;=30,1,0))</f>
        <v/>
      </c>
      <c r="CE7" s="37">
        <f>IF(BQ7="","",IF(BQ7&lt;=28,1,0))</f>
        <v/>
      </c>
      <c r="CF7" s="37">
        <f>IF(OR(BV7="",BE7&lt;&gt;"ניתוח"),"",IF(BV7&lt;=30,1,0))</f>
        <v/>
      </c>
      <c r="CG7" s="37">
        <f>IF(BU7="","",IF(BU7&lt;=56,1,0))</f>
        <v/>
      </c>
      <c r="CH7" s="37">
        <f>IF(BW7="","",IF(BW7&lt;=42,1,0))</f>
        <v/>
      </c>
      <c r="CI7" s="37">
        <f>IF(BX7="","",IF(BX7&lt;=100,1,0))</f>
        <v/>
      </c>
      <c r="CJ7" s="33">
        <f>IF(A7="","",COUNTIF(Delays!$B$5:$B$404,A7))</f>
        <v/>
      </c>
      <c r="CK7" s="35" t="n"/>
    </row>
    <row r="8">
      <c r="A8" s="33">
        <f>IF(OR(B8="",C8="",D8="",AX8=""),"","RET-"&amp;RIGHT(YEAR(AX8),2)&amp;"-"&amp;TEXT(B8,"000")&amp;"-"&amp;C8&amp;"-"&amp;D8&amp;"-"&amp;TEXT(MONTH(AX8),"00"))</f>
        <v/>
      </c>
      <c r="B8" s="34" t="n">
        <v>3</v>
      </c>
      <c r="C8" s="35" t="n"/>
      <c r="D8" s="35" t="n"/>
      <c r="E8" s="33">
        <f>IF(AX8="","",YEAR(AX8))</f>
        <v/>
      </c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6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7">
        <f>IF(Y8="","",IF(OR(Y8="III",Y8="IV",Y8="IVA",Y8="IVB",Y8="IVC"),1,0))</f>
        <v/>
      </c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8" t="n"/>
      <c r="AV8" s="38" t="n"/>
      <c r="AW8" s="38" t="n"/>
      <c r="AX8" s="38" t="n"/>
      <c r="AY8" s="38" t="n"/>
      <c r="AZ8" s="38" t="n"/>
      <c r="BA8" s="38" t="n"/>
      <c r="BB8" s="38" t="n"/>
      <c r="BC8" s="38" t="n"/>
      <c r="BD8" s="38" t="n"/>
      <c r="BE8" s="35" t="n"/>
      <c r="BF8" s="35" t="n"/>
      <c r="BG8" s="38" t="n"/>
      <c r="BH8" s="38" t="n"/>
      <c r="BI8" s="38" t="n"/>
      <c r="BJ8" s="35" t="n"/>
      <c r="BK8" s="38" t="n"/>
      <c r="BL8" s="33">
        <f>IF(OR(AU8="",AV8=""),"",AV8-AU8)</f>
        <v/>
      </c>
      <c r="BM8" s="33">
        <f>IF(OR(AV8="",AW8=""),"",AW8-AV8)</f>
        <v/>
      </c>
      <c r="BN8" s="33">
        <f>IF(OR(AW8="",AX8=""),"",AX8-AW8)</f>
        <v/>
      </c>
      <c r="BO8" s="33">
        <f>IF(OR(AX8="",BA8=""),"",BA8-AX8)</f>
        <v/>
      </c>
      <c r="BP8" s="33">
        <f>IF(OR(AV8="",BA8=""),"",BA8-AV8)</f>
        <v/>
      </c>
      <c r="BQ8" s="33">
        <f>IF(OR(BB8="",BD8=""),"",BD8-BB8)</f>
        <v/>
      </c>
      <c r="BR8" s="33">
        <f>IF(OR(AX8="",BD8=""),"",BD8-AX8)</f>
        <v/>
      </c>
      <c r="BS8" s="33">
        <f>IF(OR(AW8="",BD8=""),"",BD8-AW8)</f>
        <v/>
      </c>
      <c r="BT8" s="33">
        <f>IF(OR(AV8="",BD8=""),"",BD8-AV8)</f>
        <v/>
      </c>
      <c r="BU8" s="33">
        <f>IF(OR(AU8="",BD8=""),"",BD8-AU8)</f>
        <v/>
      </c>
      <c r="BV8" s="33">
        <f>IF(OR(BB8="",BG8=""),"",BG8-BB8)</f>
        <v/>
      </c>
      <c r="BW8" s="33">
        <f>IF(OR(BG8="",BH8=""),"",BH8-BG8)</f>
        <v/>
      </c>
      <c r="BX8" s="33">
        <f>IF(OR(BG8="",BI8=""),"",BI8-BG8)</f>
        <v/>
      </c>
      <c r="BY8" s="39">
        <f>IF(OR(AX8="",BK8=""),"",ROUND((BK8-AX8)/30.44,1))</f>
        <v/>
      </c>
      <c r="BZ8" s="37">
        <f>IF(BR8="","",IF(BR8&lt;=30,1,0))</f>
        <v/>
      </c>
      <c r="CA8" s="37">
        <f>IF(BR8="","",IF(BR8&gt;40.5,1,0))</f>
        <v/>
      </c>
      <c r="CB8" s="37">
        <f>IF(BR8="","",IF(BR8&gt;60,1,0))</f>
        <v/>
      </c>
      <c r="CC8" s="37">
        <f>IF(BR8="","",IF(BR8&gt;67,1,0))</f>
        <v/>
      </c>
      <c r="CD8" s="37">
        <f>IF(BT8="","",IF(BT8&lt;=30,1,0))</f>
        <v/>
      </c>
      <c r="CE8" s="37">
        <f>IF(BQ8="","",IF(BQ8&lt;=28,1,0))</f>
        <v/>
      </c>
      <c r="CF8" s="37">
        <f>IF(OR(BV8="",BE8&lt;&gt;"ניתוח"),"",IF(BV8&lt;=30,1,0))</f>
        <v/>
      </c>
      <c r="CG8" s="37">
        <f>IF(BU8="","",IF(BU8&lt;=56,1,0))</f>
        <v/>
      </c>
      <c r="CH8" s="37">
        <f>IF(BW8="","",IF(BW8&lt;=42,1,0))</f>
        <v/>
      </c>
      <c r="CI8" s="37">
        <f>IF(BX8="","",IF(BX8&lt;=100,1,0))</f>
        <v/>
      </c>
      <c r="CJ8" s="33">
        <f>IF(A8="","",COUNTIF(Delays!$B$5:$B$404,A8))</f>
        <v/>
      </c>
      <c r="CK8" s="35" t="n"/>
    </row>
    <row r="9">
      <c r="A9" s="33">
        <f>IF(OR(B9="",C9="",D9="",AX9=""),"","RET-"&amp;RIGHT(YEAR(AX9),2)&amp;"-"&amp;TEXT(B9,"000")&amp;"-"&amp;C9&amp;"-"&amp;D9&amp;"-"&amp;TEXT(MONTH(AX9),"00"))</f>
        <v/>
      </c>
      <c r="B9" s="34" t="n">
        <v>4</v>
      </c>
      <c r="C9" s="35" t="n"/>
      <c r="D9" s="35" t="n"/>
      <c r="E9" s="33">
        <f>IF(AX9="","",YEAR(AX9))</f>
        <v/>
      </c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6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7">
        <f>IF(Y9="","",IF(OR(Y9="III",Y9="IV",Y9="IVA",Y9="IVB",Y9="IVC"),1,0))</f>
        <v/>
      </c>
      <c r="AA9" s="35" t="n"/>
      <c r="AB9" s="35" t="n"/>
      <c r="AC9" s="35" t="n"/>
      <c r="AD9" s="35" t="n"/>
      <c r="AE9" s="35" t="n"/>
      <c r="AF9" s="35" t="n"/>
      <c r="AG9" s="35" t="n"/>
      <c r="AH9" s="35" t="n"/>
      <c r="AI9" s="35" t="n"/>
      <c r="AJ9" s="35" t="n"/>
      <c r="AK9" s="35" t="n"/>
      <c r="AL9" s="35" t="n"/>
      <c r="AM9" s="35" t="n"/>
      <c r="AN9" s="35" t="n"/>
      <c r="AO9" s="35" t="n"/>
      <c r="AP9" s="35" t="n"/>
      <c r="AQ9" s="35" t="n"/>
      <c r="AR9" s="35" t="n"/>
      <c r="AS9" s="35" t="n"/>
      <c r="AT9" s="35" t="n"/>
      <c r="AU9" s="38" t="n"/>
      <c r="AV9" s="38" t="n"/>
      <c r="AW9" s="38" t="n"/>
      <c r="AX9" s="38" t="n"/>
      <c r="AY9" s="38" t="n"/>
      <c r="AZ9" s="38" t="n"/>
      <c r="BA9" s="38" t="n"/>
      <c r="BB9" s="38" t="n"/>
      <c r="BC9" s="38" t="n"/>
      <c r="BD9" s="38" t="n"/>
      <c r="BE9" s="35" t="n"/>
      <c r="BF9" s="35" t="n"/>
      <c r="BG9" s="38" t="n"/>
      <c r="BH9" s="38" t="n"/>
      <c r="BI9" s="38" t="n"/>
      <c r="BJ9" s="35" t="n"/>
      <c r="BK9" s="38" t="n"/>
      <c r="BL9" s="33">
        <f>IF(OR(AU9="",AV9=""),"",AV9-AU9)</f>
        <v/>
      </c>
      <c r="BM9" s="33">
        <f>IF(OR(AV9="",AW9=""),"",AW9-AV9)</f>
        <v/>
      </c>
      <c r="BN9" s="33">
        <f>IF(OR(AW9="",AX9=""),"",AX9-AW9)</f>
        <v/>
      </c>
      <c r="BO9" s="33">
        <f>IF(OR(AX9="",BA9=""),"",BA9-AX9)</f>
        <v/>
      </c>
      <c r="BP9" s="33">
        <f>IF(OR(AV9="",BA9=""),"",BA9-AV9)</f>
        <v/>
      </c>
      <c r="BQ9" s="33">
        <f>IF(OR(BB9="",BD9=""),"",BD9-BB9)</f>
        <v/>
      </c>
      <c r="BR9" s="33">
        <f>IF(OR(AX9="",BD9=""),"",BD9-AX9)</f>
        <v/>
      </c>
      <c r="BS9" s="33">
        <f>IF(OR(AW9="",BD9=""),"",BD9-AW9)</f>
        <v/>
      </c>
      <c r="BT9" s="33">
        <f>IF(OR(AV9="",BD9=""),"",BD9-AV9)</f>
        <v/>
      </c>
      <c r="BU9" s="33">
        <f>IF(OR(AU9="",BD9=""),"",BD9-AU9)</f>
        <v/>
      </c>
      <c r="BV9" s="33">
        <f>IF(OR(BB9="",BG9=""),"",BG9-BB9)</f>
        <v/>
      </c>
      <c r="BW9" s="33">
        <f>IF(OR(BG9="",BH9=""),"",BH9-BG9)</f>
        <v/>
      </c>
      <c r="BX9" s="33">
        <f>IF(OR(BG9="",BI9=""),"",BI9-BG9)</f>
        <v/>
      </c>
      <c r="BY9" s="39">
        <f>IF(OR(AX9="",BK9=""),"",ROUND((BK9-AX9)/30.44,1))</f>
        <v/>
      </c>
      <c r="BZ9" s="37">
        <f>IF(BR9="","",IF(BR9&lt;=30,1,0))</f>
        <v/>
      </c>
      <c r="CA9" s="37">
        <f>IF(BR9="","",IF(BR9&gt;40.5,1,0))</f>
        <v/>
      </c>
      <c r="CB9" s="37">
        <f>IF(BR9="","",IF(BR9&gt;60,1,0))</f>
        <v/>
      </c>
      <c r="CC9" s="37">
        <f>IF(BR9="","",IF(BR9&gt;67,1,0))</f>
        <v/>
      </c>
      <c r="CD9" s="37">
        <f>IF(BT9="","",IF(BT9&lt;=30,1,0))</f>
        <v/>
      </c>
      <c r="CE9" s="37">
        <f>IF(BQ9="","",IF(BQ9&lt;=28,1,0))</f>
        <v/>
      </c>
      <c r="CF9" s="37">
        <f>IF(OR(BV9="",BE9&lt;&gt;"ניתוח"),"",IF(BV9&lt;=30,1,0))</f>
        <v/>
      </c>
      <c r="CG9" s="37">
        <f>IF(BU9="","",IF(BU9&lt;=56,1,0))</f>
        <v/>
      </c>
      <c r="CH9" s="37">
        <f>IF(BW9="","",IF(BW9&lt;=42,1,0))</f>
        <v/>
      </c>
      <c r="CI9" s="37">
        <f>IF(BX9="","",IF(BX9&lt;=100,1,0))</f>
        <v/>
      </c>
      <c r="CJ9" s="33">
        <f>IF(A9="","",COUNTIF(Delays!$B$5:$B$404,A9))</f>
        <v/>
      </c>
      <c r="CK9" s="35" t="n"/>
    </row>
    <row r="10">
      <c r="A10" s="33">
        <f>IF(OR(B10="",C10="",D10="",AX10=""),"","RET-"&amp;RIGHT(YEAR(AX10),2)&amp;"-"&amp;TEXT(B10,"000")&amp;"-"&amp;C10&amp;"-"&amp;D10&amp;"-"&amp;TEXT(MONTH(AX10),"00"))</f>
        <v/>
      </c>
      <c r="B10" s="34" t="n">
        <v>5</v>
      </c>
      <c r="C10" s="35" t="n"/>
      <c r="D10" s="35" t="n"/>
      <c r="E10" s="33">
        <f>IF(AX10="","",YEAR(AX10))</f>
        <v/>
      </c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6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7">
        <f>IF(Y10="","",IF(OR(Y10="III",Y10="IV",Y10="IVA",Y10="IVB",Y10="IVC"),1,0))</f>
        <v/>
      </c>
      <c r="AA10" s="35" t="n"/>
      <c r="AB10" s="35" t="n"/>
      <c r="AC10" s="35" t="n"/>
      <c r="AD10" s="35" t="n"/>
      <c r="AE10" s="35" t="n"/>
      <c r="AF10" s="35" t="n"/>
      <c r="AG10" s="35" t="n"/>
      <c r="AH10" s="35" t="n"/>
      <c r="AI10" s="35" t="n"/>
      <c r="AJ10" s="35" t="n"/>
      <c r="AK10" s="35" t="n"/>
      <c r="AL10" s="35" t="n"/>
      <c r="AM10" s="35" t="n"/>
      <c r="AN10" s="35" t="n"/>
      <c r="AO10" s="35" t="n"/>
      <c r="AP10" s="35" t="n"/>
      <c r="AQ10" s="35" t="n"/>
      <c r="AR10" s="35" t="n"/>
      <c r="AS10" s="35" t="n"/>
      <c r="AT10" s="35" t="n"/>
      <c r="AU10" s="38" t="n"/>
      <c r="AV10" s="38" t="n"/>
      <c r="AW10" s="38" t="n"/>
      <c r="AX10" s="38" t="n"/>
      <c r="AY10" s="38" t="n"/>
      <c r="AZ10" s="38" t="n"/>
      <c r="BA10" s="38" t="n"/>
      <c r="BB10" s="38" t="n"/>
      <c r="BC10" s="38" t="n"/>
      <c r="BD10" s="38" t="n"/>
      <c r="BE10" s="35" t="n"/>
      <c r="BF10" s="35" t="n"/>
      <c r="BG10" s="38" t="n"/>
      <c r="BH10" s="38" t="n"/>
      <c r="BI10" s="38" t="n"/>
      <c r="BJ10" s="35" t="n"/>
      <c r="BK10" s="38" t="n"/>
      <c r="BL10" s="33">
        <f>IF(OR(AU10="",AV10=""),"",AV10-AU10)</f>
        <v/>
      </c>
      <c r="BM10" s="33">
        <f>IF(OR(AV10="",AW10=""),"",AW10-AV10)</f>
        <v/>
      </c>
      <c r="BN10" s="33">
        <f>IF(OR(AW10="",AX10=""),"",AX10-AW10)</f>
        <v/>
      </c>
      <c r="BO10" s="33">
        <f>IF(OR(AX10="",BA10=""),"",BA10-AX10)</f>
        <v/>
      </c>
      <c r="BP10" s="33">
        <f>IF(OR(AV10="",BA10=""),"",BA10-AV10)</f>
        <v/>
      </c>
      <c r="BQ10" s="33">
        <f>IF(OR(BB10="",BD10=""),"",BD10-BB10)</f>
        <v/>
      </c>
      <c r="BR10" s="33">
        <f>IF(OR(AX10="",BD10=""),"",BD10-AX10)</f>
        <v/>
      </c>
      <c r="BS10" s="33">
        <f>IF(OR(AW10="",BD10=""),"",BD10-AW10)</f>
        <v/>
      </c>
      <c r="BT10" s="33">
        <f>IF(OR(AV10="",BD10=""),"",BD10-AV10)</f>
        <v/>
      </c>
      <c r="BU10" s="33">
        <f>IF(OR(AU10="",BD10=""),"",BD10-AU10)</f>
        <v/>
      </c>
      <c r="BV10" s="33">
        <f>IF(OR(BB10="",BG10=""),"",BG10-BB10)</f>
        <v/>
      </c>
      <c r="BW10" s="33">
        <f>IF(OR(BG10="",BH10=""),"",BH10-BG10)</f>
        <v/>
      </c>
      <c r="BX10" s="33">
        <f>IF(OR(BG10="",BI10=""),"",BI10-BG10)</f>
        <v/>
      </c>
      <c r="BY10" s="39">
        <f>IF(OR(AX10="",BK10=""),"",ROUND((BK10-AX10)/30.44,1))</f>
        <v/>
      </c>
      <c r="BZ10" s="37">
        <f>IF(BR10="","",IF(BR10&lt;=30,1,0))</f>
        <v/>
      </c>
      <c r="CA10" s="37">
        <f>IF(BR10="","",IF(BR10&gt;40.5,1,0))</f>
        <v/>
      </c>
      <c r="CB10" s="37">
        <f>IF(BR10="","",IF(BR10&gt;60,1,0))</f>
        <v/>
      </c>
      <c r="CC10" s="37">
        <f>IF(BR10="","",IF(BR10&gt;67,1,0))</f>
        <v/>
      </c>
      <c r="CD10" s="37">
        <f>IF(BT10="","",IF(BT10&lt;=30,1,0))</f>
        <v/>
      </c>
      <c r="CE10" s="37">
        <f>IF(BQ10="","",IF(BQ10&lt;=28,1,0))</f>
        <v/>
      </c>
      <c r="CF10" s="37">
        <f>IF(OR(BV10="",BE10&lt;&gt;"ניתוח"),"",IF(BV10&lt;=30,1,0))</f>
        <v/>
      </c>
      <c r="CG10" s="37">
        <f>IF(BU10="","",IF(BU10&lt;=56,1,0))</f>
        <v/>
      </c>
      <c r="CH10" s="37">
        <f>IF(BW10="","",IF(BW10&lt;=42,1,0))</f>
        <v/>
      </c>
      <c r="CI10" s="37">
        <f>IF(BX10="","",IF(BX10&lt;=100,1,0))</f>
        <v/>
      </c>
      <c r="CJ10" s="33">
        <f>IF(A10="","",COUNTIF(Delays!$B$5:$B$404,A10))</f>
        <v/>
      </c>
      <c r="CK10" s="35" t="n"/>
    </row>
    <row r="11">
      <c r="A11" s="33">
        <f>IF(OR(B11="",C11="",D11="",AX11=""),"","RET-"&amp;RIGHT(YEAR(AX11),2)&amp;"-"&amp;TEXT(B11,"000")&amp;"-"&amp;C11&amp;"-"&amp;D11&amp;"-"&amp;TEXT(MONTH(AX11),"00"))</f>
        <v/>
      </c>
      <c r="B11" s="34" t="n">
        <v>6</v>
      </c>
      <c r="C11" s="35" t="n"/>
      <c r="D11" s="35" t="n"/>
      <c r="E11" s="33">
        <f>IF(AX11="","",YEAR(AX11))</f>
        <v/>
      </c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6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7">
        <f>IF(Y11="","",IF(OR(Y11="III",Y11="IV",Y11="IVA",Y11="IVB",Y11="IVC"),1,0))</f>
        <v/>
      </c>
      <c r="AA11" s="35" t="n"/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8" t="n"/>
      <c r="AW11" s="38" t="n"/>
      <c r="AX11" s="38" t="n"/>
      <c r="AY11" s="38" t="n"/>
      <c r="AZ11" s="38" t="n"/>
      <c r="BA11" s="38" t="n"/>
      <c r="BB11" s="38" t="n"/>
      <c r="BC11" s="38" t="n"/>
      <c r="BD11" s="38" t="n"/>
      <c r="BE11" s="35" t="n"/>
      <c r="BF11" s="35" t="n"/>
      <c r="BG11" s="38" t="n"/>
      <c r="BH11" s="38" t="n"/>
      <c r="BI11" s="38" t="n"/>
      <c r="BJ11" s="35" t="n"/>
      <c r="BK11" s="38" t="n"/>
      <c r="BL11" s="33">
        <f>IF(OR(AU11="",AV11=""),"",AV11-AU11)</f>
        <v/>
      </c>
      <c r="BM11" s="33">
        <f>IF(OR(AV11="",AW11=""),"",AW11-AV11)</f>
        <v/>
      </c>
      <c r="BN11" s="33">
        <f>IF(OR(AW11="",AX11=""),"",AX11-AW11)</f>
        <v/>
      </c>
      <c r="BO11" s="33">
        <f>IF(OR(AX11="",BA11=""),"",BA11-AX11)</f>
        <v/>
      </c>
      <c r="BP11" s="33">
        <f>IF(OR(AV11="",BA11=""),"",BA11-AV11)</f>
        <v/>
      </c>
      <c r="BQ11" s="33">
        <f>IF(OR(BB11="",BD11=""),"",BD11-BB11)</f>
        <v/>
      </c>
      <c r="BR11" s="33">
        <f>IF(OR(AX11="",BD11=""),"",BD11-AX11)</f>
        <v/>
      </c>
      <c r="BS11" s="33">
        <f>IF(OR(AW11="",BD11=""),"",BD11-AW11)</f>
        <v/>
      </c>
      <c r="BT11" s="33">
        <f>IF(OR(AV11="",BD11=""),"",BD11-AV11)</f>
        <v/>
      </c>
      <c r="BU11" s="33">
        <f>IF(OR(AU11="",BD11=""),"",BD11-AU11)</f>
        <v/>
      </c>
      <c r="BV11" s="33">
        <f>IF(OR(BB11="",BG11=""),"",BG11-BB11)</f>
        <v/>
      </c>
      <c r="BW11" s="33">
        <f>IF(OR(BG11="",BH11=""),"",BH11-BG11)</f>
        <v/>
      </c>
      <c r="BX11" s="33">
        <f>IF(OR(BG11="",BI11=""),"",BI11-BG11)</f>
        <v/>
      </c>
      <c r="BY11" s="39">
        <f>IF(OR(AX11="",BK11=""),"",ROUND((BK11-AX11)/30.44,1))</f>
        <v/>
      </c>
      <c r="BZ11" s="37">
        <f>IF(BR11="","",IF(BR11&lt;=30,1,0))</f>
        <v/>
      </c>
      <c r="CA11" s="37">
        <f>IF(BR11="","",IF(BR11&gt;40.5,1,0))</f>
        <v/>
      </c>
      <c r="CB11" s="37">
        <f>IF(BR11="","",IF(BR11&gt;60,1,0))</f>
        <v/>
      </c>
      <c r="CC11" s="37">
        <f>IF(BR11="","",IF(BR11&gt;67,1,0))</f>
        <v/>
      </c>
      <c r="CD11" s="37">
        <f>IF(BT11="","",IF(BT11&lt;=30,1,0))</f>
        <v/>
      </c>
      <c r="CE11" s="37">
        <f>IF(BQ11="","",IF(BQ11&lt;=28,1,0))</f>
        <v/>
      </c>
      <c r="CF11" s="37">
        <f>IF(OR(BV11="",BE11&lt;&gt;"ניתוח"),"",IF(BV11&lt;=30,1,0))</f>
        <v/>
      </c>
      <c r="CG11" s="37">
        <f>IF(BU11="","",IF(BU11&lt;=56,1,0))</f>
        <v/>
      </c>
      <c r="CH11" s="37">
        <f>IF(BW11="","",IF(BW11&lt;=42,1,0))</f>
        <v/>
      </c>
      <c r="CI11" s="37">
        <f>IF(BX11="","",IF(BX11&lt;=100,1,0))</f>
        <v/>
      </c>
      <c r="CJ11" s="33">
        <f>IF(A11="","",COUNTIF(Delays!$B$5:$B$404,A11))</f>
        <v/>
      </c>
      <c r="CK11" s="35" t="n"/>
    </row>
    <row r="12">
      <c r="A12" s="33">
        <f>IF(OR(B12="",C12="",D12="",AX12=""),"","RET-"&amp;RIGHT(YEAR(AX12),2)&amp;"-"&amp;TEXT(B12,"000")&amp;"-"&amp;C12&amp;"-"&amp;D12&amp;"-"&amp;TEXT(MONTH(AX12),"00"))</f>
        <v/>
      </c>
      <c r="B12" s="34" t="n">
        <v>7</v>
      </c>
      <c r="C12" s="35" t="n"/>
      <c r="D12" s="35" t="n"/>
      <c r="E12" s="33">
        <f>IF(AX12="","",YEAR(AX12))</f>
        <v/>
      </c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6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7">
        <f>IF(Y12="","",IF(OR(Y12="III",Y12="IV",Y12="IVA",Y12="IVB",Y12="IVC"),1,0))</f>
        <v/>
      </c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  <c r="BE12" s="35" t="n"/>
      <c r="BF12" s="35" t="n"/>
      <c r="BG12" s="38" t="n"/>
      <c r="BH12" s="38" t="n"/>
      <c r="BI12" s="38" t="n"/>
      <c r="BJ12" s="35" t="n"/>
      <c r="BK12" s="38" t="n"/>
      <c r="BL12" s="33">
        <f>IF(OR(AU12="",AV12=""),"",AV12-AU12)</f>
        <v/>
      </c>
      <c r="BM12" s="33">
        <f>IF(OR(AV12="",AW12=""),"",AW12-AV12)</f>
        <v/>
      </c>
      <c r="BN12" s="33">
        <f>IF(OR(AW12="",AX12=""),"",AX12-AW12)</f>
        <v/>
      </c>
      <c r="BO12" s="33">
        <f>IF(OR(AX12="",BA12=""),"",BA12-AX12)</f>
        <v/>
      </c>
      <c r="BP12" s="33">
        <f>IF(OR(AV12="",BA12=""),"",BA12-AV12)</f>
        <v/>
      </c>
      <c r="BQ12" s="33">
        <f>IF(OR(BB12="",BD12=""),"",BD12-BB12)</f>
        <v/>
      </c>
      <c r="BR12" s="33">
        <f>IF(OR(AX12="",BD12=""),"",BD12-AX12)</f>
        <v/>
      </c>
      <c r="BS12" s="33">
        <f>IF(OR(AW12="",BD12=""),"",BD12-AW12)</f>
        <v/>
      </c>
      <c r="BT12" s="33">
        <f>IF(OR(AV12="",BD12=""),"",BD12-AV12)</f>
        <v/>
      </c>
      <c r="BU12" s="33">
        <f>IF(OR(AU12="",BD12=""),"",BD12-AU12)</f>
        <v/>
      </c>
      <c r="BV12" s="33">
        <f>IF(OR(BB12="",BG12=""),"",BG12-BB12)</f>
        <v/>
      </c>
      <c r="BW12" s="33">
        <f>IF(OR(BG12="",BH12=""),"",BH12-BG12)</f>
        <v/>
      </c>
      <c r="BX12" s="33">
        <f>IF(OR(BG12="",BI12=""),"",BI12-BG12)</f>
        <v/>
      </c>
      <c r="BY12" s="39">
        <f>IF(OR(AX12="",BK12=""),"",ROUND((BK12-AX12)/30.44,1))</f>
        <v/>
      </c>
      <c r="BZ12" s="37">
        <f>IF(BR12="","",IF(BR12&lt;=30,1,0))</f>
        <v/>
      </c>
      <c r="CA12" s="37">
        <f>IF(BR12="","",IF(BR12&gt;40.5,1,0))</f>
        <v/>
      </c>
      <c r="CB12" s="37">
        <f>IF(BR12="","",IF(BR12&gt;60,1,0))</f>
        <v/>
      </c>
      <c r="CC12" s="37">
        <f>IF(BR12="","",IF(BR12&gt;67,1,0))</f>
        <v/>
      </c>
      <c r="CD12" s="37">
        <f>IF(BT12="","",IF(BT12&lt;=30,1,0))</f>
        <v/>
      </c>
      <c r="CE12" s="37">
        <f>IF(BQ12="","",IF(BQ12&lt;=28,1,0))</f>
        <v/>
      </c>
      <c r="CF12" s="37">
        <f>IF(OR(BV12="",BE12&lt;&gt;"ניתוח"),"",IF(BV12&lt;=30,1,0))</f>
        <v/>
      </c>
      <c r="CG12" s="37">
        <f>IF(BU12="","",IF(BU12&lt;=56,1,0))</f>
        <v/>
      </c>
      <c r="CH12" s="37">
        <f>IF(BW12="","",IF(BW12&lt;=42,1,0))</f>
        <v/>
      </c>
      <c r="CI12" s="37">
        <f>IF(BX12="","",IF(BX12&lt;=100,1,0))</f>
        <v/>
      </c>
      <c r="CJ12" s="33">
        <f>IF(A12="","",COUNTIF(Delays!$B$5:$B$404,A12))</f>
        <v/>
      </c>
      <c r="CK12" s="35" t="n"/>
    </row>
    <row r="13">
      <c r="A13" s="33">
        <f>IF(OR(B13="",C13="",D13="",AX13=""),"","RET-"&amp;RIGHT(YEAR(AX13),2)&amp;"-"&amp;TEXT(B13,"000")&amp;"-"&amp;C13&amp;"-"&amp;D13&amp;"-"&amp;TEXT(MONTH(AX13),"00"))</f>
        <v/>
      </c>
      <c r="B13" s="34" t="n">
        <v>8</v>
      </c>
      <c r="C13" s="35" t="n"/>
      <c r="D13" s="35" t="n"/>
      <c r="E13" s="33">
        <f>IF(AX13="","",YEAR(AX13))</f>
        <v/>
      </c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6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7">
        <f>IF(Y13="","",IF(OR(Y13="III",Y13="IV",Y13="IVA",Y13="IVB",Y13="IVC"),1,0))</f>
        <v/>
      </c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8" t="n"/>
      <c r="AV13" s="38" t="n"/>
      <c r="AW13" s="38" t="n"/>
      <c r="AX13" s="38" t="n"/>
      <c r="AY13" s="38" t="n"/>
      <c r="AZ13" s="38" t="n"/>
      <c r="BA13" s="38" t="n"/>
      <c r="BB13" s="38" t="n"/>
      <c r="BC13" s="38" t="n"/>
      <c r="BD13" s="38" t="n"/>
      <c r="BE13" s="35" t="n"/>
      <c r="BF13" s="35" t="n"/>
      <c r="BG13" s="38" t="n"/>
      <c r="BH13" s="38" t="n"/>
      <c r="BI13" s="38" t="n"/>
      <c r="BJ13" s="35" t="n"/>
      <c r="BK13" s="38" t="n"/>
      <c r="BL13" s="33">
        <f>IF(OR(AU13="",AV13=""),"",AV13-AU13)</f>
        <v/>
      </c>
      <c r="BM13" s="33">
        <f>IF(OR(AV13="",AW13=""),"",AW13-AV13)</f>
        <v/>
      </c>
      <c r="BN13" s="33">
        <f>IF(OR(AW13="",AX13=""),"",AX13-AW13)</f>
        <v/>
      </c>
      <c r="BO13" s="33">
        <f>IF(OR(AX13="",BA13=""),"",BA13-AX13)</f>
        <v/>
      </c>
      <c r="BP13" s="33">
        <f>IF(OR(AV13="",BA13=""),"",BA13-AV13)</f>
        <v/>
      </c>
      <c r="BQ13" s="33">
        <f>IF(OR(BB13="",BD13=""),"",BD13-BB13)</f>
        <v/>
      </c>
      <c r="BR13" s="33">
        <f>IF(OR(AX13="",BD13=""),"",BD13-AX13)</f>
        <v/>
      </c>
      <c r="BS13" s="33">
        <f>IF(OR(AW13="",BD13=""),"",BD13-AW13)</f>
        <v/>
      </c>
      <c r="BT13" s="33">
        <f>IF(OR(AV13="",BD13=""),"",BD13-AV13)</f>
        <v/>
      </c>
      <c r="BU13" s="33">
        <f>IF(OR(AU13="",BD13=""),"",BD13-AU13)</f>
        <v/>
      </c>
      <c r="BV13" s="33">
        <f>IF(OR(BB13="",BG13=""),"",BG13-BB13)</f>
        <v/>
      </c>
      <c r="BW13" s="33">
        <f>IF(OR(BG13="",BH13=""),"",BH13-BG13)</f>
        <v/>
      </c>
      <c r="BX13" s="33">
        <f>IF(OR(BG13="",BI13=""),"",BI13-BG13)</f>
        <v/>
      </c>
      <c r="BY13" s="39">
        <f>IF(OR(AX13="",BK13=""),"",ROUND((BK13-AX13)/30.44,1))</f>
        <v/>
      </c>
      <c r="BZ13" s="37">
        <f>IF(BR13="","",IF(BR13&lt;=30,1,0))</f>
        <v/>
      </c>
      <c r="CA13" s="37">
        <f>IF(BR13="","",IF(BR13&gt;40.5,1,0))</f>
        <v/>
      </c>
      <c r="CB13" s="37">
        <f>IF(BR13="","",IF(BR13&gt;60,1,0))</f>
        <v/>
      </c>
      <c r="CC13" s="37">
        <f>IF(BR13="","",IF(BR13&gt;67,1,0))</f>
        <v/>
      </c>
      <c r="CD13" s="37">
        <f>IF(BT13="","",IF(BT13&lt;=30,1,0))</f>
        <v/>
      </c>
      <c r="CE13" s="37">
        <f>IF(BQ13="","",IF(BQ13&lt;=28,1,0))</f>
        <v/>
      </c>
      <c r="CF13" s="37">
        <f>IF(OR(BV13="",BE13&lt;&gt;"ניתוח"),"",IF(BV13&lt;=30,1,0))</f>
        <v/>
      </c>
      <c r="CG13" s="37">
        <f>IF(BU13="","",IF(BU13&lt;=56,1,0))</f>
        <v/>
      </c>
      <c r="CH13" s="37">
        <f>IF(BW13="","",IF(BW13&lt;=42,1,0))</f>
        <v/>
      </c>
      <c r="CI13" s="37">
        <f>IF(BX13="","",IF(BX13&lt;=100,1,0))</f>
        <v/>
      </c>
      <c r="CJ13" s="33">
        <f>IF(A13="","",COUNTIF(Delays!$B$5:$B$404,A13))</f>
        <v/>
      </c>
      <c r="CK13" s="35" t="n"/>
    </row>
    <row r="14">
      <c r="A14" s="33">
        <f>IF(OR(B14="",C14="",D14="",AX14=""),"","RET-"&amp;RIGHT(YEAR(AX14),2)&amp;"-"&amp;TEXT(B14,"000")&amp;"-"&amp;C14&amp;"-"&amp;D14&amp;"-"&amp;TEXT(MONTH(AX14),"00"))</f>
        <v/>
      </c>
      <c r="B14" s="34" t="n">
        <v>9</v>
      </c>
      <c r="C14" s="35" t="n"/>
      <c r="D14" s="35" t="n"/>
      <c r="E14" s="33">
        <f>IF(AX14="","",YEAR(AX14))</f>
        <v/>
      </c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6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7">
        <f>IF(Y14="","",IF(OR(Y14="III",Y14="IV",Y14="IVA",Y14="IVB",Y14="IVC"),1,0))</f>
        <v/>
      </c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8" t="n"/>
      <c r="AV14" s="38" t="n"/>
      <c r="AW14" s="38" t="n"/>
      <c r="AX14" s="38" t="n"/>
      <c r="AY14" s="38" t="n"/>
      <c r="AZ14" s="38" t="n"/>
      <c r="BA14" s="38" t="n"/>
      <c r="BB14" s="38" t="n"/>
      <c r="BC14" s="38" t="n"/>
      <c r="BD14" s="38" t="n"/>
      <c r="BE14" s="35" t="n"/>
      <c r="BF14" s="35" t="n"/>
      <c r="BG14" s="38" t="n"/>
      <c r="BH14" s="38" t="n"/>
      <c r="BI14" s="38" t="n"/>
      <c r="BJ14" s="35" t="n"/>
      <c r="BK14" s="38" t="n"/>
      <c r="BL14" s="33">
        <f>IF(OR(AU14="",AV14=""),"",AV14-AU14)</f>
        <v/>
      </c>
      <c r="BM14" s="33">
        <f>IF(OR(AV14="",AW14=""),"",AW14-AV14)</f>
        <v/>
      </c>
      <c r="BN14" s="33">
        <f>IF(OR(AW14="",AX14=""),"",AX14-AW14)</f>
        <v/>
      </c>
      <c r="BO14" s="33">
        <f>IF(OR(AX14="",BA14=""),"",BA14-AX14)</f>
        <v/>
      </c>
      <c r="BP14" s="33">
        <f>IF(OR(AV14="",BA14=""),"",BA14-AV14)</f>
        <v/>
      </c>
      <c r="BQ14" s="33">
        <f>IF(OR(BB14="",BD14=""),"",BD14-BB14)</f>
        <v/>
      </c>
      <c r="BR14" s="33">
        <f>IF(OR(AX14="",BD14=""),"",BD14-AX14)</f>
        <v/>
      </c>
      <c r="BS14" s="33">
        <f>IF(OR(AW14="",BD14=""),"",BD14-AW14)</f>
        <v/>
      </c>
      <c r="BT14" s="33">
        <f>IF(OR(AV14="",BD14=""),"",BD14-AV14)</f>
        <v/>
      </c>
      <c r="BU14" s="33">
        <f>IF(OR(AU14="",BD14=""),"",BD14-AU14)</f>
        <v/>
      </c>
      <c r="BV14" s="33">
        <f>IF(OR(BB14="",BG14=""),"",BG14-BB14)</f>
        <v/>
      </c>
      <c r="BW14" s="33">
        <f>IF(OR(BG14="",BH14=""),"",BH14-BG14)</f>
        <v/>
      </c>
      <c r="BX14" s="33">
        <f>IF(OR(BG14="",BI14=""),"",BI14-BG14)</f>
        <v/>
      </c>
      <c r="BY14" s="39">
        <f>IF(OR(AX14="",BK14=""),"",ROUND((BK14-AX14)/30.44,1))</f>
        <v/>
      </c>
      <c r="BZ14" s="37">
        <f>IF(BR14="","",IF(BR14&lt;=30,1,0))</f>
        <v/>
      </c>
      <c r="CA14" s="37">
        <f>IF(BR14="","",IF(BR14&gt;40.5,1,0))</f>
        <v/>
      </c>
      <c r="CB14" s="37">
        <f>IF(BR14="","",IF(BR14&gt;60,1,0))</f>
        <v/>
      </c>
      <c r="CC14" s="37">
        <f>IF(BR14="","",IF(BR14&gt;67,1,0))</f>
        <v/>
      </c>
      <c r="CD14" s="37">
        <f>IF(BT14="","",IF(BT14&lt;=30,1,0))</f>
        <v/>
      </c>
      <c r="CE14" s="37">
        <f>IF(BQ14="","",IF(BQ14&lt;=28,1,0))</f>
        <v/>
      </c>
      <c r="CF14" s="37">
        <f>IF(OR(BV14="",BE14&lt;&gt;"ניתוח"),"",IF(BV14&lt;=30,1,0))</f>
        <v/>
      </c>
      <c r="CG14" s="37">
        <f>IF(BU14="","",IF(BU14&lt;=56,1,0))</f>
        <v/>
      </c>
      <c r="CH14" s="37">
        <f>IF(BW14="","",IF(BW14&lt;=42,1,0))</f>
        <v/>
      </c>
      <c r="CI14" s="37">
        <f>IF(BX14="","",IF(BX14&lt;=100,1,0))</f>
        <v/>
      </c>
      <c r="CJ14" s="33">
        <f>IF(A14="","",COUNTIF(Delays!$B$5:$B$404,A14))</f>
        <v/>
      </c>
      <c r="CK14" s="35" t="n"/>
    </row>
    <row r="15">
      <c r="A15" s="33">
        <f>IF(OR(B15="",C15="",D15="",AX15=""),"","RET-"&amp;RIGHT(YEAR(AX15),2)&amp;"-"&amp;TEXT(B15,"000")&amp;"-"&amp;C15&amp;"-"&amp;D15&amp;"-"&amp;TEXT(MONTH(AX15),"00"))</f>
        <v/>
      </c>
      <c r="B15" s="34" t="n">
        <v>10</v>
      </c>
      <c r="C15" s="35" t="n"/>
      <c r="D15" s="35" t="n"/>
      <c r="E15" s="33">
        <f>IF(AX15="","",YEAR(AX15))</f>
        <v/>
      </c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6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7">
        <f>IF(Y15="","",IF(OR(Y15="III",Y15="IV",Y15="IVA",Y15="IVB",Y15="IVC"),1,0))</f>
        <v/>
      </c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  <c r="BE15" s="35" t="n"/>
      <c r="BF15" s="35" t="n"/>
      <c r="BG15" s="38" t="n"/>
      <c r="BH15" s="38" t="n"/>
      <c r="BI15" s="38" t="n"/>
      <c r="BJ15" s="35" t="n"/>
      <c r="BK15" s="38" t="n"/>
      <c r="BL15" s="33">
        <f>IF(OR(AU15="",AV15=""),"",AV15-AU15)</f>
        <v/>
      </c>
      <c r="BM15" s="33">
        <f>IF(OR(AV15="",AW15=""),"",AW15-AV15)</f>
        <v/>
      </c>
      <c r="BN15" s="33">
        <f>IF(OR(AW15="",AX15=""),"",AX15-AW15)</f>
        <v/>
      </c>
      <c r="BO15" s="33">
        <f>IF(OR(AX15="",BA15=""),"",BA15-AX15)</f>
        <v/>
      </c>
      <c r="BP15" s="33">
        <f>IF(OR(AV15="",BA15=""),"",BA15-AV15)</f>
        <v/>
      </c>
      <c r="BQ15" s="33">
        <f>IF(OR(BB15="",BD15=""),"",BD15-BB15)</f>
        <v/>
      </c>
      <c r="BR15" s="33">
        <f>IF(OR(AX15="",BD15=""),"",BD15-AX15)</f>
        <v/>
      </c>
      <c r="BS15" s="33">
        <f>IF(OR(AW15="",BD15=""),"",BD15-AW15)</f>
        <v/>
      </c>
      <c r="BT15" s="33">
        <f>IF(OR(AV15="",BD15=""),"",BD15-AV15)</f>
        <v/>
      </c>
      <c r="BU15" s="33">
        <f>IF(OR(AU15="",BD15=""),"",BD15-AU15)</f>
        <v/>
      </c>
      <c r="BV15" s="33">
        <f>IF(OR(BB15="",BG15=""),"",BG15-BB15)</f>
        <v/>
      </c>
      <c r="BW15" s="33">
        <f>IF(OR(BG15="",BH15=""),"",BH15-BG15)</f>
        <v/>
      </c>
      <c r="BX15" s="33">
        <f>IF(OR(BG15="",BI15=""),"",BI15-BG15)</f>
        <v/>
      </c>
      <c r="BY15" s="39">
        <f>IF(OR(AX15="",BK15=""),"",ROUND((BK15-AX15)/30.44,1))</f>
        <v/>
      </c>
      <c r="BZ15" s="37">
        <f>IF(BR15="","",IF(BR15&lt;=30,1,0))</f>
        <v/>
      </c>
      <c r="CA15" s="37">
        <f>IF(BR15="","",IF(BR15&gt;40.5,1,0))</f>
        <v/>
      </c>
      <c r="CB15" s="37">
        <f>IF(BR15="","",IF(BR15&gt;60,1,0))</f>
        <v/>
      </c>
      <c r="CC15" s="37">
        <f>IF(BR15="","",IF(BR15&gt;67,1,0))</f>
        <v/>
      </c>
      <c r="CD15" s="37">
        <f>IF(BT15="","",IF(BT15&lt;=30,1,0))</f>
        <v/>
      </c>
      <c r="CE15" s="37">
        <f>IF(BQ15="","",IF(BQ15&lt;=28,1,0))</f>
        <v/>
      </c>
      <c r="CF15" s="37">
        <f>IF(OR(BV15="",BE15&lt;&gt;"ניתוח"),"",IF(BV15&lt;=30,1,0))</f>
        <v/>
      </c>
      <c r="CG15" s="37">
        <f>IF(BU15="","",IF(BU15&lt;=56,1,0))</f>
        <v/>
      </c>
      <c r="CH15" s="37">
        <f>IF(BW15="","",IF(BW15&lt;=42,1,0))</f>
        <v/>
      </c>
      <c r="CI15" s="37">
        <f>IF(BX15="","",IF(BX15&lt;=100,1,0))</f>
        <v/>
      </c>
      <c r="CJ15" s="33">
        <f>IF(A15="","",COUNTIF(Delays!$B$5:$B$404,A15))</f>
        <v/>
      </c>
      <c r="CK15" s="35" t="n"/>
    </row>
    <row r="16">
      <c r="A16" s="33">
        <f>IF(OR(B16="",C16="",D16="",AX16=""),"","RET-"&amp;RIGHT(YEAR(AX16),2)&amp;"-"&amp;TEXT(B16,"000")&amp;"-"&amp;C16&amp;"-"&amp;D16&amp;"-"&amp;TEXT(MONTH(AX16),"00"))</f>
        <v/>
      </c>
      <c r="B16" s="34" t="n">
        <v>11</v>
      </c>
      <c r="C16" s="35" t="n"/>
      <c r="D16" s="35" t="n"/>
      <c r="E16" s="33">
        <f>IF(AX16="","",YEAR(AX16))</f>
        <v/>
      </c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6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7">
        <f>IF(Y16="","",IF(OR(Y16="III",Y16="IV",Y16="IVA",Y16="IVB",Y16="IVC"),1,0))</f>
        <v/>
      </c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  <c r="BE16" s="35" t="n"/>
      <c r="BF16" s="35" t="n"/>
      <c r="BG16" s="38" t="n"/>
      <c r="BH16" s="38" t="n"/>
      <c r="BI16" s="38" t="n"/>
      <c r="BJ16" s="35" t="n"/>
      <c r="BK16" s="38" t="n"/>
      <c r="BL16" s="33">
        <f>IF(OR(AU16="",AV16=""),"",AV16-AU16)</f>
        <v/>
      </c>
      <c r="BM16" s="33">
        <f>IF(OR(AV16="",AW16=""),"",AW16-AV16)</f>
        <v/>
      </c>
      <c r="BN16" s="33">
        <f>IF(OR(AW16="",AX16=""),"",AX16-AW16)</f>
        <v/>
      </c>
      <c r="BO16" s="33">
        <f>IF(OR(AX16="",BA16=""),"",BA16-AX16)</f>
        <v/>
      </c>
      <c r="BP16" s="33">
        <f>IF(OR(AV16="",BA16=""),"",BA16-AV16)</f>
        <v/>
      </c>
      <c r="BQ16" s="33">
        <f>IF(OR(BB16="",BD16=""),"",BD16-BB16)</f>
        <v/>
      </c>
      <c r="BR16" s="33">
        <f>IF(OR(AX16="",BD16=""),"",BD16-AX16)</f>
        <v/>
      </c>
      <c r="BS16" s="33">
        <f>IF(OR(AW16="",BD16=""),"",BD16-AW16)</f>
        <v/>
      </c>
      <c r="BT16" s="33">
        <f>IF(OR(AV16="",BD16=""),"",BD16-AV16)</f>
        <v/>
      </c>
      <c r="BU16" s="33">
        <f>IF(OR(AU16="",BD16=""),"",BD16-AU16)</f>
        <v/>
      </c>
      <c r="BV16" s="33">
        <f>IF(OR(BB16="",BG16=""),"",BG16-BB16)</f>
        <v/>
      </c>
      <c r="BW16" s="33">
        <f>IF(OR(BG16="",BH16=""),"",BH16-BG16)</f>
        <v/>
      </c>
      <c r="BX16" s="33">
        <f>IF(OR(BG16="",BI16=""),"",BI16-BG16)</f>
        <v/>
      </c>
      <c r="BY16" s="39">
        <f>IF(OR(AX16="",BK16=""),"",ROUND((BK16-AX16)/30.44,1))</f>
        <v/>
      </c>
      <c r="BZ16" s="37">
        <f>IF(BR16="","",IF(BR16&lt;=30,1,0))</f>
        <v/>
      </c>
      <c r="CA16" s="37">
        <f>IF(BR16="","",IF(BR16&gt;40.5,1,0))</f>
        <v/>
      </c>
      <c r="CB16" s="37">
        <f>IF(BR16="","",IF(BR16&gt;60,1,0))</f>
        <v/>
      </c>
      <c r="CC16" s="37">
        <f>IF(BR16="","",IF(BR16&gt;67,1,0))</f>
        <v/>
      </c>
      <c r="CD16" s="37">
        <f>IF(BT16="","",IF(BT16&lt;=30,1,0))</f>
        <v/>
      </c>
      <c r="CE16" s="37">
        <f>IF(BQ16="","",IF(BQ16&lt;=28,1,0))</f>
        <v/>
      </c>
      <c r="CF16" s="37">
        <f>IF(OR(BV16="",BE16&lt;&gt;"ניתוח"),"",IF(BV16&lt;=30,1,0))</f>
        <v/>
      </c>
      <c r="CG16" s="37">
        <f>IF(BU16="","",IF(BU16&lt;=56,1,0))</f>
        <v/>
      </c>
      <c r="CH16" s="37">
        <f>IF(BW16="","",IF(BW16&lt;=42,1,0))</f>
        <v/>
      </c>
      <c r="CI16" s="37">
        <f>IF(BX16="","",IF(BX16&lt;=100,1,0))</f>
        <v/>
      </c>
      <c r="CJ16" s="33">
        <f>IF(A16="","",COUNTIF(Delays!$B$5:$B$404,A16))</f>
        <v/>
      </c>
      <c r="CK16" s="35" t="n"/>
    </row>
    <row r="17">
      <c r="A17" s="33">
        <f>IF(OR(B17="",C17="",D17="",AX17=""),"","RET-"&amp;RIGHT(YEAR(AX17),2)&amp;"-"&amp;TEXT(B17,"000")&amp;"-"&amp;C17&amp;"-"&amp;D17&amp;"-"&amp;TEXT(MONTH(AX17),"00"))</f>
        <v/>
      </c>
      <c r="B17" s="34" t="n">
        <v>12</v>
      </c>
      <c r="C17" s="35" t="n"/>
      <c r="D17" s="35" t="n"/>
      <c r="E17" s="33">
        <f>IF(AX17="","",YEAR(AX17))</f>
        <v/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6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7">
        <f>IF(Y17="","",IF(OR(Y17="III",Y17="IV",Y17="IVA",Y17="IVB",Y17="IVC"),1,0))</f>
        <v/>
      </c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  <c r="BE17" s="35" t="n"/>
      <c r="BF17" s="35" t="n"/>
      <c r="BG17" s="38" t="n"/>
      <c r="BH17" s="38" t="n"/>
      <c r="BI17" s="38" t="n"/>
      <c r="BJ17" s="35" t="n"/>
      <c r="BK17" s="38" t="n"/>
      <c r="BL17" s="33">
        <f>IF(OR(AU17="",AV17=""),"",AV17-AU17)</f>
        <v/>
      </c>
      <c r="BM17" s="33">
        <f>IF(OR(AV17="",AW17=""),"",AW17-AV17)</f>
        <v/>
      </c>
      <c r="BN17" s="33">
        <f>IF(OR(AW17="",AX17=""),"",AX17-AW17)</f>
        <v/>
      </c>
      <c r="BO17" s="33">
        <f>IF(OR(AX17="",BA17=""),"",BA17-AX17)</f>
        <v/>
      </c>
      <c r="BP17" s="33">
        <f>IF(OR(AV17="",BA17=""),"",BA17-AV17)</f>
        <v/>
      </c>
      <c r="BQ17" s="33">
        <f>IF(OR(BB17="",BD17=""),"",BD17-BB17)</f>
        <v/>
      </c>
      <c r="BR17" s="33">
        <f>IF(OR(AX17="",BD17=""),"",BD17-AX17)</f>
        <v/>
      </c>
      <c r="BS17" s="33">
        <f>IF(OR(AW17="",BD17=""),"",BD17-AW17)</f>
        <v/>
      </c>
      <c r="BT17" s="33">
        <f>IF(OR(AV17="",BD17=""),"",BD17-AV17)</f>
        <v/>
      </c>
      <c r="BU17" s="33">
        <f>IF(OR(AU17="",BD17=""),"",BD17-AU17)</f>
        <v/>
      </c>
      <c r="BV17" s="33">
        <f>IF(OR(BB17="",BG17=""),"",BG17-BB17)</f>
        <v/>
      </c>
      <c r="BW17" s="33">
        <f>IF(OR(BG17="",BH17=""),"",BH17-BG17)</f>
        <v/>
      </c>
      <c r="BX17" s="33">
        <f>IF(OR(BG17="",BI17=""),"",BI17-BG17)</f>
        <v/>
      </c>
      <c r="BY17" s="39">
        <f>IF(OR(AX17="",BK17=""),"",ROUND((BK17-AX17)/30.44,1))</f>
        <v/>
      </c>
      <c r="BZ17" s="37">
        <f>IF(BR17="","",IF(BR17&lt;=30,1,0))</f>
        <v/>
      </c>
      <c r="CA17" s="37">
        <f>IF(BR17="","",IF(BR17&gt;40.5,1,0))</f>
        <v/>
      </c>
      <c r="CB17" s="37">
        <f>IF(BR17="","",IF(BR17&gt;60,1,0))</f>
        <v/>
      </c>
      <c r="CC17" s="37">
        <f>IF(BR17="","",IF(BR17&gt;67,1,0))</f>
        <v/>
      </c>
      <c r="CD17" s="37">
        <f>IF(BT17="","",IF(BT17&lt;=30,1,0))</f>
        <v/>
      </c>
      <c r="CE17" s="37">
        <f>IF(BQ17="","",IF(BQ17&lt;=28,1,0))</f>
        <v/>
      </c>
      <c r="CF17" s="37">
        <f>IF(OR(BV17="",BE17&lt;&gt;"ניתוח"),"",IF(BV17&lt;=30,1,0))</f>
        <v/>
      </c>
      <c r="CG17" s="37">
        <f>IF(BU17="","",IF(BU17&lt;=56,1,0))</f>
        <v/>
      </c>
      <c r="CH17" s="37">
        <f>IF(BW17="","",IF(BW17&lt;=42,1,0))</f>
        <v/>
      </c>
      <c r="CI17" s="37">
        <f>IF(BX17="","",IF(BX17&lt;=100,1,0))</f>
        <v/>
      </c>
      <c r="CJ17" s="33">
        <f>IF(A17="","",COUNTIF(Delays!$B$5:$B$404,A17))</f>
        <v/>
      </c>
      <c r="CK17" s="35" t="n"/>
    </row>
    <row r="18">
      <c r="A18" s="33">
        <f>IF(OR(B18="",C18="",D18="",AX18=""),"","RET-"&amp;RIGHT(YEAR(AX18),2)&amp;"-"&amp;TEXT(B18,"000")&amp;"-"&amp;C18&amp;"-"&amp;D18&amp;"-"&amp;TEXT(MONTH(AX18),"00"))</f>
        <v/>
      </c>
      <c r="B18" s="34" t="n">
        <v>13</v>
      </c>
      <c r="C18" s="35" t="n"/>
      <c r="D18" s="35" t="n"/>
      <c r="E18" s="33">
        <f>IF(AX18="","",YEAR(AX18))</f>
        <v/>
      </c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6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7">
        <f>IF(Y18="","",IF(OR(Y18="III",Y18="IV",Y18="IVA",Y18="IVB",Y18="IVC"),1,0))</f>
        <v/>
      </c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  <c r="BE18" s="35" t="n"/>
      <c r="BF18" s="35" t="n"/>
      <c r="BG18" s="38" t="n"/>
      <c r="BH18" s="38" t="n"/>
      <c r="BI18" s="38" t="n"/>
      <c r="BJ18" s="35" t="n"/>
      <c r="BK18" s="38" t="n"/>
      <c r="BL18" s="33">
        <f>IF(OR(AU18="",AV18=""),"",AV18-AU18)</f>
        <v/>
      </c>
      <c r="BM18" s="33">
        <f>IF(OR(AV18="",AW18=""),"",AW18-AV18)</f>
        <v/>
      </c>
      <c r="BN18" s="33">
        <f>IF(OR(AW18="",AX18=""),"",AX18-AW18)</f>
        <v/>
      </c>
      <c r="BO18" s="33">
        <f>IF(OR(AX18="",BA18=""),"",BA18-AX18)</f>
        <v/>
      </c>
      <c r="BP18" s="33">
        <f>IF(OR(AV18="",BA18=""),"",BA18-AV18)</f>
        <v/>
      </c>
      <c r="BQ18" s="33">
        <f>IF(OR(BB18="",BD18=""),"",BD18-BB18)</f>
        <v/>
      </c>
      <c r="BR18" s="33">
        <f>IF(OR(AX18="",BD18=""),"",BD18-AX18)</f>
        <v/>
      </c>
      <c r="BS18" s="33">
        <f>IF(OR(AW18="",BD18=""),"",BD18-AW18)</f>
        <v/>
      </c>
      <c r="BT18" s="33">
        <f>IF(OR(AV18="",BD18=""),"",BD18-AV18)</f>
        <v/>
      </c>
      <c r="BU18" s="33">
        <f>IF(OR(AU18="",BD18=""),"",BD18-AU18)</f>
        <v/>
      </c>
      <c r="BV18" s="33">
        <f>IF(OR(BB18="",BG18=""),"",BG18-BB18)</f>
        <v/>
      </c>
      <c r="BW18" s="33">
        <f>IF(OR(BG18="",BH18=""),"",BH18-BG18)</f>
        <v/>
      </c>
      <c r="BX18" s="33">
        <f>IF(OR(BG18="",BI18=""),"",BI18-BG18)</f>
        <v/>
      </c>
      <c r="BY18" s="39">
        <f>IF(OR(AX18="",BK18=""),"",ROUND((BK18-AX18)/30.44,1))</f>
        <v/>
      </c>
      <c r="BZ18" s="37">
        <f>IF(BR18="","",IF(BR18&lt;=30,1,0))</f>
        <v/>
      </c>
      <c r="CA18" s="37">
        <f>IF(BR18="","",IF(BR18&gt;40.5,1,0))</f>
        <v/>
      </c>
      <c r="CB18" s="37">
        <f>IF(BR18="","",IF(BR18&gt;60,1,0))</f>
        <v/>
      </c>
      <c r="CC18" s="37">
        <f>IF(BR18="","",IF(BR18&gt;67,1,0))</f>
        <v/>
      </c>
      <c r="CD18" s="37">
        <f>IF(BT18="","",IF(BT18&lt;=30,1,0))</f>
        <v/>
      </c>
      <c r="CE18" s="37">
        <f>IF(BQ18="","",IF(BQ18&lt;=28,1,0))</f>
        <v/>
      </c>
      <c r="CF18" s="37">
        <f>IF(OR(BV18="",BE18&lt;&gt;"ניתוח"),"",IF(BV18&lt;=30,1,0))</f>
        <v/>
      </c>
      <c r="CG18" s="37">
        <f>IF(BU18="","",IF(BU18&lt;=56,1,0))</f>
        <v/>
      </c>
      <c r="CH18" s="37">
        <f>IF(BW18="","",IF(BW18&lt;=42,1,0))</f>
        <v/>
      </c>
      <c r="CI18" s="37">
        <f>IF(BX18="","",IF(BX18&lt;=100,1,0))</f>
        <v/>
      </c>
      <c r="CJ18" s="33">
        <f>IF(A18="","",COUNTIF(Delays!$B$5:$B$404,A18))</f>
        <v/>
      </c>
      <c r="CK18" s="35" t="n"/>
    </row>
    <row r="19">
      <c r="A19" s="33">
        <f>IF(OR(B19="",C19="",D19="",AX19=""),"","RET-"&amp;RIGHT(YEAR(AX19),2)&amp;"-"&amp;TEXT(B19,"000")&amp;"-"&amp;C19&amp;"-"&amp;D19&amp;"-"&amp;TEXT(MONTH(AX19),"00"))</f>
        <v/>
      </c>
      <c r="B19" s="34" t="n">
        <v>14</v>
      </c>
      <c r="C19" s="35" t="n"/>
      <c r="D19" s="35" t="n"/>
      <c r="E19" s="33">
        <f>IF(AX19="","",YEAR(AX19))</f>
        <v/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6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7">
        <f>IF(Y19="","",IF(OR(Y19="III",Y19="IV",Y19="IVA",Y19="IVB",Y19="IVC"),1,0))</f>
        <v/>
      </c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  <c r="BE19" s="35" t="n"/>
      <c r="BF19" s="35" t="n"/>
      <c r="BG19" s="38" t="n"/>
      <c r="BH19" s="38" t="n"/>
      <c r="BI19" s="38" t="n"/>
      <c r="BJ19" s="35" t="n"/>
      <c r="BK19" s="38" t="n"/>
      <c r="BL19" s="33">
        <f>IF(OR(AU19="",AV19=""),"",AV19-AU19)</f>
        <v/>
      </c>
      <c r="BM19" s="33">
        <f>IF(OR(AV19="",AW19=""),"",AW19-AV19)</f>
        <v/>
      </c>
      <c r="BN19" s="33">
        <f>IF(OR(AW19="",AX19=""),"",AX19-AW19)</f>
        <v/>
      </c>
      <c r="BO19" s="33">
        <f>IF(OR(AX19="",BA19=""),"",BA19-AX19)</f>
        <v/>
      </c>
      <c r="BP19" s="33">
        <f>IF(OR(AV19="",BA19=""),"",BA19-AV19)</f>
        <v/>
      </c>
      <c r="BQ19" s="33">
        <f>IF(OR(BB19="",BD19=""),"",BD19-BB19)</f>
        <v/>
      </c>
      <c r="BR19" s="33">
        <f>IF(OR(AX19="",BD19=""),"",BD19-AX19)</f>
        <v/>
      </c>
      <c r="BS19" s="33">
        <f>IF(OR(AW19="",BD19=""),"",BD19-AW19)</f>
        <v/>
      </c>
      <c r="BT19" s="33">
        <f>IF(OR(AV19="",BD19=""),"",BD19-AV19)</f>
        <v/>
      </c>
      <c r="BU19" s="33">
        <f>IF(OR(AU19="",BD19=""),"",BD19-AU19)</f>
        <v/>
      </c>
      <c r="BV19" s="33">
        <f>IF(OR(BB19="",BG19=""),"",BG19-BB19)</f>
        <v/>
      </c>
      <c r="BW19" s="33">
        <f>IF(OR(BG19="",BH19=""),"",BH19-BG19)</f>
        <v/>
      </c>
      <c r="BX19" s="33">
        <f>IF(OR(BG19="",BI19=""),"",BI19-BG19)</f>
        <v/>
      </c>
      <c r="BY19" s="39">
        <f>IF(OR(AX19="",BK19=""),"",ROUND((BK19-AX19)/30.44,1))</f>
        <v/>
      </c>
      <c r="BZ19" s="37">
        <f>IF(BR19="","",IF(BR19&lt;=30,1,0))</f>
        <v/>
      </c>
      <c r="CA19" s="37">
        <f>IF(BR19="","",IF(BR19&gt;40.5,1,0))</f>
        <v/>
      </c>
      <c r="CB19" s="37">
        <f>IF(BR19="","",IF(BR19&gt;60,1,0))</f>
        <v/>
      </c>
      <c r="CC19" s="37">
        <f>IF(BR19="","",IF(BR19&gt;67,1,0))</f>
        <v/>
      </c>
      <c r="CD19" s="37">
        <f>IF(BT19="","",IF(BT19&lt;=30,1,0))</f>
        <v/>
      </c>
      <c r="CE19" s="37">
        <f>IF(BQ19="","",IF(BQ19&lt;=28,1,0))</f>
        <v/>
      </c>
      <c r="CF19" s="37">
        <f>IF(OR(BV19="",BE19&lt;&gt;"ניתוח"),"",IF(BV19&lt;=30,1,0))</f>
        <v/>
      </c>
      <c r="CG19" s="37">
        <f>IF(BU19="","",IF(BU19&lt;=56,1,0))</f>
        <v/>
      </c>
      <c r="CH19" s="37">
        <f>IF(BW19="","",IF(BW19&lt;=42,1,0))</f>
        <v/>
      </c>
      <c r="CI19" s="37">
        <f>IF(BX19="","",IF(BX19&lt;=100,1,0))</f>
        <v/>
      </c>
      <c r="CJ19" s="33">
        <f>IF(A19="","",COUNTIF(Delays!$B$5:$B$404,A19))</f>
        <v/>
      </c>
      <c r="CK19" s="35" t="n"/>
    </row>
    <row r="20">
      <c r="A20" s="33">
        <f>IF(OR(B20="",C20="",D20="",AX20=""),"","RET-"&amp;RIGHT(YEAR(AX20),2)&amp;"-"&amp;TEXT(B20,"000")&amp;"-"&amp;C20&amp;"-"&amp;D20&amp;"-"&amp;TEXT(MONTH(AX20),"00"))</f>
        <v/>
      </c>
      <c r="B20" s="34" t="n">
        <v>15</v>
      </c>
      <c r="C20" s="35" t="n"/>
      <c r="D20" s="35" t="n"/>
      <c r="E20" s="33">
        <f>IF(AX20="","",YEAR(AX20))</f>
        <v/>
      </c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6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7">
        <f>IF(Y20="","",IF(OR(Y20="III",Y20="IV",Y20="IVA",Y20="IVB",Y20="IVC"),1,0))</f>
        <v/>
      </c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  <c r="BE20" s="35" t="n"/>
      <c r="BF20" s="35" t="n"/>
      <c r="BG20" s="38" t="n"/>
      <c r="BH20" s="38" t="n"/>
      <c r="BI20" s="38" t="n"/>
      <c r="BJ20" s="35" t="n"/>
      <c r="BK20" s="38" t="n"/>
      <c r="BL20" s="33">
        <f>IF(OR(AU20="",AV20=""),"",AV20-AU20)</f>
        <v/>
      </c>
      <c r="BM20" s="33">
        <f>IF(OR(AV20="",AW20=""),"",AW20-AV20)</f>
        <v/>
      </c>
      <c r="BN20" s="33">
        <f>IF(OR(AW20="",AX20=""),"",AX20-AW20)</f>
        <v/>
      </c>
      <c r="BO20" s="33">
        <f>IF(OR(AX20="",BA20=""),"",BA20-AX20)</f>
        <v/>
      </c>
      <c r="BP20" s="33">
        <f>IF(OR(AV20="",BA20=""),"",BA20-AV20)</f>
        <v/>
      </c>
      <c r="BQ20" s="33">
        <f>IF(OR(BB20="",BD20=""),"",BD20-BB20)</f>
        <v/>
      </c>
      <c r="BR20" s="33">
        <f>IF(OR(AX20="",BD20=""),"",BD20-AX20)</f>
        <v/>
      </c>
      <c r="BS20" s="33">
        <f>IF(OR(AW20="",BD20=""),"",BD20-AW20)</f>
        <v/>
      </c>
      <c r="BT20" s="33">
        <f>IF(OR(AV20="",BD20=""),"",BD20-AV20)</f>
        <v/>
      </c>
      <c r="BU20" s="33">
        <f>IF(OR(AU20="",BD20=""),"",BD20-AU20)</f>
        <v/>
      </c>
      <c r="BV20" s="33">
        <f>IF(OR(BB20="",BG20=""),"",BG20-BB20)</f>
        <v/>
      </c>
      <c r="BW20" s="33">
        <f>IF(OR(BG20="",BH20=""),"",BH20-BG20)</f>
        <v/>
      </c>
      <c r="BX20" s="33">
        <f>IF(OR(BG20="",BI20=""),"",BI20-BG20)</f>
        <v/>
      </c>
      <c r="BY20" s="39">
        <f>IF(OR(AX20="",BK20=""),"",ROUND((BK20-AX20)/30.44,1))</f>
        <v/>
      </c>
      <c r="BZ20" s="37">
        <f>IF(BR20="","",IF(BR20&lt;=30,1,0))</f>
        <v/>
      </c>
      <c r="CA20" s="37">
        <f>IF(BR20="","",IF(BR20&gt;40.5,1,0))</f>
        <v/>
      </c>
      <c r="CB20" s="37">
        <f>IF(BR20="","",IF(BR20&gt;60,1,0))</f>
        <v/>
      </c>
      <c r="CC20" s="37">
        <f>IF(BR20="","",IF(BR20&gt;67,1,0))</f>
        <v/>
      </c>
      <c r="CD20" s="37">
        <f>IF(BT20="","",IF(BT20&lt;=30,1,0))</f>
        <v/>
      </c>
      <c r="CE20" s="37">
        <f>IF(BQ20="","",IF(BQ20&lt;=28,1,0))</f>
        <v/>
      </c>
      <c r="CF20" s="37">
        <f>IF(OR(BV20="",BE20&lt;&gt;"ניתוח"),"",IF(BV20&lt;=30,1,0))</f>
        <v/>
      </c>
      <c r="CG20" s="37">
        <f>IF(BU20="","",IF(BU20&lt;=56,1,0))</f>
        <v/>
      </c>
      <c r="CH20" s="37">
        <f>IF(BW20="","",IF(BW20&lt;=42,1,0))</f>
        <v/>
      </c>
      <c r="CI20" s="37">
        <f>IF(BX20="","",IF(BX20&lt;=100,1,0))</f>
        <v/>
      </c>
      <c r="CJ20" s="33">
        <f>IF(A20="","",COUNTIF(Delays!$B$5:$B$404,A20))</f>
        <v/>
      </c>
      <c r="CK20" s="35" t="n"/>
    </row>
    <row r="21">
      <c r="A21" s="33">
        <f>IF(OR(B21="",C21="",D21="",AX21=""),"","RET-"&amp;RIGHT(YEAR(AX21),2)&amp;"-"&amp;TEXT(B21,"000")&amp;"-"&amp;C21&amp;"-"&amp;D21&amp;"-"&amp;TEXT(MONTH(AX21),"00"))</f>
        <v/>
      </c>
      <c r="B21" s="34" t="n">
        <v>16</v>
      </c>
      <c r="C21" s="35" t="n"/>
      <c r="D21" s="35" t="n"/>
      <c r="E21" s="33">
        <f>IF(AX21="","",YEAR(AX21))</f>
        <v/>
      </c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6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7">
        <f>IF(Y21="","",IF(OR(Y21="III",Y21="IV",Y21="IVA",Y21="IVB",Y21="IVC"),1,0))</f>
        <v/>
      </c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  <c r="BE21" s="35" t="n"/>
      <c r="BF21" s="35" t="n"/>
      <c r="BG21" s="38" t="n"/>
      <c r="BH21" s="38" t="n"/>
      <c r="BI21" s="38" t="n"/>
      <c r="BJ21" s="35" t="n"/>
      <c r="BK21" s="38" t="n"/>
      <c r="BL21" s="33">
        <f>IF(OR(AU21="",AV21=""),"",AV21-AU21)</f>
        <v/>
      </c>
      <c r="BM21" s="33">
        <f>IF(OR(AV21="",AW21=""),"",AW21-AV21)</f>
        <v/>
      </c>
      <c r="BN21" s="33">
        <f>IF(OR(AW21="",AX21=""),"",AX21-AW21)</f>
        <v/>
      </c>
      <c r="BO21" s="33">
        <f>IF(OR(AX21="",BA21=""),"",BA21-AX21)</f>
        <v/>
      </c>
      <c r="BP21" s="33">
        <f>IF(OR(AV21="",BA21=""),"",BA21-AV21)</f>
        <v/>
      </c>
      <c r="BQ21" s="33">
        <f>IF(OR(BB21="",BD21=""),"",BD21-BB21)</f>
        <v/>
      </c>
      <c r="BR21" s="33">
        <f>IF(OR(AX21="",BD21=""),"",BD21-AX21)</f>
        <v/>
      </c>
      <c r="BS21" s="33">
        <f>IF(OR(AW21="",BD21=""),"",BD21-AW21)</f>
        <v/>
      </c>
      <c r="BT21" s="33">
        <f>IF(OR(AV21="",BD21=""),"",BD21-AV21)</f>
        <v/>
      </c>
      <c r="BU21" s="33">
        <f>IF(OR(AU21="",BD21=""),"",BD21-AU21)</f>
        <v/>
      </c>
      <c r="BV21" s="33">
        <f>IF(OR(BB21="",BG21=""),"",BG21-BB21)</f>
        <v/>
      </c>
      <c r="BW21" s="33">
        <f>IF(OR(BG21="",BH21=""),"",BH21-BG21)</f>
        <v/>
      </c>
      <c r="BX21" s="33">
        <f>IF(OR(BG21="",BI21=""),"",BI21-BG21)</f>
        <v/>
      </c>
      <c r="BY21" s="39">
        <f>IF(OR(AX21="",BK21=""),"",ROUND((BK21-AX21)/30.44,1))</f>
        <v/>
      </c>
      <c r="BZ21" s="37">
        <f>IF(BR21="","",IF(BR21&lt;=30,1,0))</f>
        <v/>
      </c>
      <c r="CA21" s="37">
        <f>IF(BR21="","",IF(BR21&gt;40.5,1,0))</f>
        <v/>
      </c>
      <c r="CB21" s="37">
        <f>IF(BR21="","",IF(BR21&gt;60,1,0))</f>
        <v/>
      </c>
      <c r="CC21" s="37">
        <f>IF(BR21="","",IF(BR21&gt;67,1,0))</f>
        <v/>
      </c>
      <c r="CD21" s="37">
        <f>IF(BT21="","",IF(BT21&lt;=30,1,0))</f>
        <v/>
      </c>
      <c r="CE21" s="37">
        <f>IF(BQ21="","",IF(BQ21&lt;=28,1,0))</f>
        <v/>
      </c>
      <c r="CF21" s="37">
        <f>IF(OR(BV21="",BE21&lt;&gt;"ניתוח"),"",IF(BV21&lt;=30,1,0))</f>
        <v/>
      </c>
      <c r="CG21" s="37">
        <f>IF(BU21="","",IF(BU21&lt;=56,1,0))</f>
        <v/>
      </c>
      <c r="CH21" s="37">
        <f>IF(BW21="","",IF(BW21&lt;=42,1,0))</f>
        <v/>
      </c>
      <c r="CI21" s="37">
        <f>IF(BX21="","",IF(BX21&lt;=100,1,0))</f>
        <v/>
      </c>
      <c r="CJ21" s="33">
        <f>IF(A21="","",COUNTIF(Delays!$B$5:$B$404,A21))</f>
        <v/>
      </c>
      <c r="CK21" s="35" t="n"/>
    </row>
    <row r="22">
      <c r="A22" s="33">
        <f>IF(OR(B22="",C22="",D22="",AX22=""),"","RET-"&amp;RIGHT(YEAR(AX22),2)&amp;"-"&amp;TEXT(B22,"000")&amp;"-"&amp;C22&amp;"-"&amp;D22&amp;"-"&amp;TEXT(MONTH(AX22),"00"))</f>
        <v/>
      </c>
      <c r="B22" s="34" t="n">
        <v>17</v>
      </c>
      <c r="C22" s="35" t="n"/>
      <c r="D22" s="35" t="n"/>
      <c r="E22" s="33">
        <f>IF(AX22="","",YEAR(AX22))</f>
        <v/>
      </c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6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7">
        <f>IF(Y22="","",IF(OR(Y22="III",Y22="IV",Y22="IVA",Y22="IVB",Y22="IVC"),1,0))</f>
        <v/>
      </c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5" t="n"/>
      <c r="BF22" s="35" t="n"/>
      <c r="BG22" s="38" t="n"/>
      <c r="BH22" s="38" t="n"/>
      <c r="BI22" s="38" t="n"/>
      <c r="BJ22" s="35" t="n"/>
      <c r="BK22" s="38" t="n"/>
      <c r="BL22" s="33">
        <f>IF(OR(AU22="",AV22=""),"",AV22-AU22)</f>
        <v/>
      </c>
      <c r="BM22" s="33">
        <f>IF(OR(AV22="",AW22=""),"",AW22-AV22)</f>
        <v/>
      </c>
      <c r="BN22" s="33">
        <f>IF(OR(AW22="",AX22=""),"",AX22-AW22)</f>
        <v/>
      </c>
      <c r="BO22" s="33">
        <f>IF(OR(AX22="",BA22=""),"",BA22-AX22)</f>
        <v/>
      </c>
      <c r="BP22" s="33">
        <f>IF(OR(AV22="",BA22=""),"",BA22-AV22)</f>
        <v/>
      </c>
      <c r="BQ22" s="33">
        <f>IF(OR(BB22="",BD22=""),"",BD22-BB22)</f>
        <v/>
      </c>
      <c r="BR22" s="33">
        <f>IF(OR(AX22="",BD22=""),"",BD22-AX22)</f>
        <v/>
      </c>
      <c r="BS22" s="33">
        <f>IF(OR(AW22="",BD22=""),"",BD22-AW22)</f>
        <v/>
      </c>
      <c r="BT22" s="33">
        <f>IF(OR(AV22="",BD22=""),"",BD22-AV22)</f>
        <v/>
      </c>
      <c r="BU22" s="33">
        <f>IF(OR(AU22="",BD22=""),"",BD22-AU22)</f>
        <v/>
      </c>
      <c r="BV22" s="33">
        <f>IF(OR(BB22="",BG22=""),"",BG22-BB22)</f>
        <v/>
      </c>
      <c r="BW22" s="33">
        <f>IF(OR(BG22="",BH22=""),"",BH22-BG22)</f>
        <v/>
      </c>
      <c r="BX22" s="33">
        <f>IF(OR(BG22="",BI22=""),"",BI22-BG22)</f>
        <v/>
      </c>
      <c r="BY22" s="39">
        <f>IF(OR(AX22="",BK22=""),"",ROUND((BK22-AX22)/30.44,1))</f>
        <v/>
      </c>
      <c r="BZ22" s="37">
        <f>IF(BR22="","",IF(BR22&lt;=30,1,0))</f>
        <v/>
      </c>
      <c r="CA22" s="37">
        <f>IF(BR22="","",IF(BR22&gt;40.5,1,0))</f>
        <v/>
      </c>
      <c r="CB22" s="37">
        <f>IF(BR22="","",IF(BR22&gt;60,1,0))</f>
        <v/>
      </c>
      <c r="CC22" s="37">
        <f>IF(BR22="","",IF(BR22&gt;67,1,0))</f>
        <v/>
      </c>
      <c r="CD22" s="37">
        <f>IF(BT22="","",IF(BT22&lt;=30,1,0))</f>
        <v/>
      </c>
      <c r="CE22" s="37">
        <f>IF(BQ22="","",IF(BQ22&lt;=28,1,0))</f>
        <v/>
      </c>
      <c r="CF22" s="37">
        <f>IF(OR(BV22="",BE22&lt;&gt;"ניתוח"),"",IF(BV22&lt;=30,1,0))</f>
        <v/>
      </c>
      <c r="CG22" s="37">
        <f>IF(BU22="","",IF(BU22&lt;=56,1,0))</f>
        <v/>
      </c>
      <c r="CH22" s="37">
        <f>IF(BW22="","",IF(BW22&lt;=42,1,0))</f>
        <v/>
      </c>
      <c r="CI22" s="37">
        <f>IF(BX22="","",IF(BX22&lt;=100,1,0))</f>
        <v/>
      </c>
      <c r="CJ22" s="33">
        <f>IF(A22="","",COUNTIF(Delays!$B$5:$B$404,A22))</f>
        <v/>
      </c>
      <c r="CK22" s="35" t="n"/>
    </row>
    <row r="23">
      <c r="A23" s="33">
        <f>IF(OR(B23="",C23="",D23="",AX23=""),"","RET-"&amp;RIGHT(YEAR(AX23),2)&amp;"-"&amp;TEXT(B23,"000")&amp;"-"&amp;C23&amp;"-"&amp;D23&amp;"-"&amp;TEXT(MONTH(AX23),"00"))</f>
        <v/>
      </c>
      <c r="B23" s="34" t="n">
        <v>18</v>
      </c>
      <c r="C23" s="35" t="n"/>
      <c r="D23" s="35" t="n"/>
      <c r="E23" s="33">
        <f>IF(AX23="","",YEAR(AX23))</f>
        <v/>
      </c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6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7">
        <f>IF(Y23="","",IF(OR(Y23="III",Y23="IV",Y23="IVA",Y23="IVB",Y23="IVC"),1,0))</f>
        <v/>
      </c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5" t="n"/>
      <c r="BF23" s="35" t="n"/>
      <c r="BG23" s="38" t="n"/>
      <c r="BH23" s="38" t="n"/>
      <c r="BI23" s="38" t="n"/>
      <c r="BJ23" s="35" t="n"/>
      <c r="BK23" s="38" t="n"/>
      <c r="BL23" s="33">
        <f>IF(OR(AU23="",AV23=""),"",AV23-AU23)</f>
        <v/>
      </c>
      <c r="BM23" s="33">
        <f>IF(OR(AV23="",AW23=""),"",AW23-AV23)</f>
        <v/>
      </c>
      <c r="BN23" s="33">
        <f>IF(OR(AW23="",AX23=""),"",AX23-AW23)</f>
        <v/>
      </c>
      <c r="BO23" s="33">
        <f>IF(OR(AX23="",BA23=""),"",BA23-AX23)</f>
        <v/>
      </c>
      <c r="BP23" s="33">
        <f>IF(OR(AV23="",BA23=""),"",BA23-AV23)</f>
        <v/>
      </c>
      <c r="BQ23" s="33">
        <f>IF(OR(BB23="",BD23=""),"",BD23-BB23)</f>
        <v/>
      </c>
      <c r="BR23" s="33">
        <f>IF(OR(AX23="",BD23=""),"",BD23-AX23)</f>
        <v/>
      </c>
      <c r="BS23" s="33">
        <f>IF(OR(AW23="",BD23=""),"",BD23-AW23)</f>
        <v/>
      </c>
      <c r="BT23" s="33">
        <f>IF(OR(AV23="",BD23=""),"",BD23-AV23)</f>
        <v/>
      </c>
      <c r="BU23" s="33">
        <f>IF(OR(AU23="",BD23=""),"",BD23-AU23)</f>
        <v/>
      </c>
      <c r="BV23" s="33">
        <f>IF(OR(BB23="",BG23=""),"",BG23-BB23)</f>
        <v/>
      </c>
      <c r="BW23" s="33">
        <f>IF(OR(BG23="",BH23=""),"",BH23-BG23)</f>
        <v/>
      </c>
      <c r="BX23" s="33">
        <f>IF(OR(BG23="",BI23=""),"",BI23-BG23)</f>
        <v/>
      </c>
      <c r="BY23" s="39">
        <f>IF(OR(AX23="",BK23=""),"",ROUND((BK23-AX23)/30.44,1))</f>
        <v/>
      </c>
      <c r="BZ23" s="37">
        <f>IF(BR23="","",IF(BR23&lt;=30,1,0))</f>
        <v/>
      </c>
      <c r="CA23" s="37">
        <f>IF(BR23="","",IF(BR23&gt;40.5,1,0))</f>
        <v/>
      </c>
      <c r="CB23" s="37">
        <f>IF(BR23="","",IF(BR23&gt;60,1,0))</f>
        <v/>
      </c>
      <c r="CC23" s="37">
        <f>IF(BR23="","",IF(BR23&gt;67,1,0))</f>
        <v/>
      </c>
      <c r="CD23" s="37">
        <f>IF(BT23="","",IF(BT23&lt;=30,1,0))</f>
        <v/>
      </c>
      <c r="CE23" s="37">
        <f>IF(BQ23="","",IF(BQ23&lt;=28,1,0))</f>
        <v/>
      </c>
      <c r="CF23" s="37">
        <f>IF(OR(BV23="",BE23&lt;&gt;"ניתוח"),"",IF(BV23&lt;=30,1,0))</f>
        <v/>
      </c>
      <c r="CG23" s="37">
        <f>IF(BU23="","",IF(BU23&lt;=56,1,0))</f>
        <v/>
      </c>
      <c r="CH23" s="37">
        <f>IF(BW23="","",IF(BW23&lt;=42,1,0))</f>
        <v/>
      </c>
      <c r="CI23" s="37">
        <f>IF(BX23="","",IF(BX23&lt;=100,1,0))</f>
        <v/>
      </c>
      <c r="CJ23" s="33">
        <f>IF(A23="","",COUNTIF(Delays!$B$5:$B$404,A23))</f>
        <v/>
      </c>
      <c r="CK23" s="35" t="n"/>
    </row>
    <row r="24">
      <c r="A24" s="33">
        <f>IF(OR(B24="",C24="",D24="",AX24=""),"","RET-"&amp;RIGHT(YEAR(AX24),2)&amp;"-"&amp;TEXT(B24,"000")&amp;"-"&amp;C24&amp;"-"&amp;D24&amp;"-"&amp;TEXT(MONTH(AX24),"00"))</f>
        <v/>
      </c>
      <c r="B24" s="34" t="n">
        <v>19</v>
      </c>
      <c r="C24" s="35" t="n"/>
      <c r="D24" s="35" t="n"/>
      <c r="E24" s="33">
        <f>IF(AX24="","",YEAR(AX24))</f>
        <v/>
      </c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6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7">
        <f>IF(Y24="","",IF(OR(Y24="III",Y24="IV",Y24="IVA",Y24="IVB",Y24="IVC"),1,0))</f>
        <v/>
      </c>
      <c r="AA24" s="35" t="n"/>
      <c r="AB24" s="35" t="n"/>
      <c r="AC24" s="35" t="n"/>
      <c r="AD24" s="35" t="n"/>
      <c r="AE24" s="35" t="n"/>
      <c r="AF24" s="35" t="n"/>
      <c r="AG24" s="35" t="n"/>
      <c r="AH24" s="35" t="n"/>
      <c r="AI24" s="35" t="n"/>
      <c r="AJ24" s="35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  <c r="BE24" s="35" t="n"/>
      <c r="BF24" s="35" t="n"/>
      <c r="BG24" s="38" t="n"/>
      <c r="BH24" s="38" t="n"/>
      <c r="BI24" s="38" t="n"/>
      <c r="BJ24" s="35" t="n"/>
      <c r="BK24" s="38" t="n"/>
      <c r="BL24" s="33">
        <f>IF(OR(AU24="",AV24=""),"",AV24-AU24)</f>
        <v/>
      </c>
      <c r="BM24" s="33">
        <f>IF(OR(AV24="",AW24=""),"",AW24-AV24)</f>
        <v/>
      </c>
      <c r="BN24" s="33">
        <f>IF(OR(AW24="",AX24=""),"",AX24-AW24)</f>
        <v/>
      </c>
      <c r="BO24" s="33">
        <f>IF(OR(AX24="",BA24=""),"",BA24-AX24)</f>
        <v/>
      </c>
      <c r="BP24" s="33">
        <f>IF(OR(AV24="",BA24=""),"",BA24-AV24)</f>
        <v/>
      </c>
      <c r="BQ24" s="33">
        <f>IF(OR(BB24="",BD24=""),"",BD24-BB24)</f>
        <v/>
      </c>
      <c r="BR24" s="33">
        <f>IF(OR(AX24="",BD24=""),"",BD24-AX24)</f>
        <v/>
      </c>
      <c r="BS24" s="33">
        <f>IF(OR(AW24="",BD24=""),"",BD24-AW24)</f>
        <v/>
      </c>
      <c r="BT24" s="33">
        <f>IF(OR(AV24="",BD24=""),"",BD24-AV24)</f>
        <v/>
      </c>
      <c r="BU24" s="33">
        <f>IF(OR(AU24="",BD24=""),"",BD24-AU24)</f>
        <v/>
      </c>
      <c r="BV24" s="33">
        <f>IF(OR(BB24="",BG24=""),"",BG24-BB24)</f>
        <v/>
      </c>
      <c r="BW24" s="33">
        <f>IF(OR(BG24="",BH24=""),"",BH24-BG24)</f>
        <v/>
      </c>
      <c r="BX24" s="33">
        <f>IF(OR(BG24="",BI24=""),"",BI24-BG24)</f>
        <v/>
      </c>
      <c r="BY24" s="39">
        <f>IF(OR(AX24="",BK24=""),"",ROUND((BK24-AX24)/30.44,1))</f>
        <v/>
      </c>
      <c r="BZ24" s="37">
        <f>IF(BR24="","",IF(BR24&lt;=30,1,0))</f>
        <v/>
      </c>
      <c r="CA24" s="37">
        <f>IF(BR24="","",IF(BR24&gt;40.5,1,0))</f>
        <v/>
      </c>
      <c r="CB24" s="37">
        <f>IF(BR24="","",IF(BR24&gt;60,1,0))</f>
        <v/>
      </c>
      <c r="CC24" s="37">
        <f>IF(BR24="","",IF(BR24&gt;67,1,0))</f>
        <v/>
      </c>
      <c r="CD24" s="37">
        <f>IF(BT24="","",IF(BT24&lt;=30,1,0))</f>
        <v/>
      </c>
      <c r="CE24" s="37">
        <f>IF(BQ24="","",IF(BQ24&lt;=28,1,0))</f>
        <v/>
      </c>
      <c r="CF24" s="37">
        <f>IF(OR(BV24="",BE24&lt;&gt;"ניתוח"),"",IF(BV24&lt;=30,1,0))</f>
        <v/>
      </c>
      <c r="CG24" s="37">
        <f>IF(BU24="","",IF(BU24&lt;=56,1,0))</f>
        <v/>
      </c>
      <c r="CH24" s="37">
        <f>IF(BW24="","",IF(BW24&lt;=42,1,0))</f>
        <v/>
      </c>
      <c r="CI24" s="37">
        <f>IF(BX24="","",IF(BX24&lt;=100,1,0))</f>
        <v/>
      </c>
      <c r="CJ24" s="33">
        <f>IF(A24="","",COUNTIF(Delays!$B$5:$B$404,A24))</f>
        <v/>
      </c>
      <c r="CK24" s="35" t="n"/>
    </row>
    <row r="25">
      <c r="A25" s="33">
        <f>IF(OR(B25="",C25="",D25="",AX25=""),"","RET-"&amp;RIGHT(YEAR(AX25),2)&amp;"-"&amp;TEXT(B25,"000")&amp;"-"&amp;C25&amp;"-"&amp;D25&amp;"-"&amp;TEXT(MONTH(AX25),"00"))</f>
        <v/>
      </c>
      <c r="B25" s="34" t="n">
        <v>20</v>
      </c>
      <c r="C25" s="35" t="n"/>
      <c r="D25" s="35" t="n"/>
      <c r="E25" s="33">
        <f>IF(AX25="","",YEAR(AX25))</f>
        <v/>
      </c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6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7">
        <f>IF(Y25="","",IF(OR(Y25="III",Y25="IV",Y25="IVA",Y25="IVB",Y25="IVC"),1,0))</f>
        <v/>
      </c>
      <c r="AA25" s="35" t="n"/>
      <c r="AB25" s="35" t="n"/>
      <c r="AC25" s="35" t="n"/>
      <c r="AD25" s="35" t="n"/>
      <c r="AE25" s="35" t="n"/>
      <c r="AF25" s="35" t="n"/>
      <c r="AG25" s="35" t="n"/>
      <c r="AH25" s="35" t="n"/>
      <c r="AI25" s="35" t="n"/>
      <c r="AJ25" s="35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5" t="n"/>
      <c r="BF25" s="35" t="n"/>
      <c r="BG25" s="38" t="n"/>
      <c r="BH25" s="38" t="n"/>
      <c r="BI25" s="38" t="n"/>
      <c r="BJ25" s="35" t="n"/>
      <c r="BK25" s="38" t="n"/>
      <c r="BL25" s="33">
        <f>IF(OR(AU25="",AV25=""),"",AV25-AU25)</f>
        <v/>
      </c>
      <c r="BM25" s="33">
        <f>IF(OR(AV25="",AW25=""),"",AW25-AV25)</f>
        <v/>
      </c>
      <c r="BN25" s="33">
        <f>IF(OR(AW25="",AX25=""),"",AX25-AW25)</f>
        <v/>
      </c>
      <c r="BO25" s="33">
        <f>IF(OR(AX25="",BA25=""),"",BA25-AX25)</f>
        <v/>
      </c>
      <c r="BP25" s="33">
        <f>IF(OR(AV25="",BA25=""),"",BA25-AV25)</f>
        <v/>
      </c>
      <c r="BQ25" s="33">
        <f>IF(OR(BB25="",BD25=""),"",BD25-BB25)</f>
        <v/>
      </c>
      <c r="BR25" s="33">
        <f>IF(OR(AX25="",BD25=""),"",BD25-AX25)</f>
        <v/>
      </c>
      <c r="BS25" s="33">
        <f>IF(OR(AW25="",BD25=""),"",BD25-AW25)</f>
        <v/>
      </c>
      <c r="BT25" s="33">
        <f>IF(OR(AV25="",BD25=""),"",BD25-AV25)</f>
        <v/>
      </c>
      <c r="BU25" s="33">
        <f>IF(OR(AU25="",BD25=""),"",BD25-AU25)</f>
        <v/>
      </c>
      <c r="BV25" s="33">
        <f>IF(OR(BB25="",BG25=""),"",BG25-BB25)</f>
        <v/>
      </c>
      <c r="BW25" s="33">
        <f>IF(OR(BG25="",BH25=""),"",BH25-BG25)</f>
        <v/>
      </c>
      <c r="BX25" s="33">
        <f>IF(OR(BG25="",BI25=""),"",BI25-BG25)</f>
        <v/>
      </c>
      <c r="BY25" s="39">
        <f>IF(OR(AX25="",BK25=""),"",ROUND((BK25-AX25)/30.44,1))</f>
        <v/>
      </c>
      <c r="BZ25" s="37">
        <f>IF(BR25="","",IF(BR25&lt;=30,1,0))</f>
        <v/>
      </c>
      <c r="CA25" s="37">
        <f>IF(BR25="","",IF(BR25&gt;40.5,1,0))</f>
        <v/>
      </c>
      <c r="CB25" s="37">
        <f>IF(BR25="","",IF(BR25&gt;60,1,0))</f>
        <v/>
      </c>
      <c r="CC25" s="37">
        <f>IF(BR25="","",IF(BR25&gt;67,1,0))</f>
        <v/>
      </c>
      <c r="CD25" s="37">
        <f>IF(BT25="","",IF(BT25&lt;=30,1,0))</f>
        <v/>
      </c>
      <c r="CE25" s="37">
        <f>IF(BQ25="","",IF(BQ25&lt;=28,1,0))</f>
        <v/>
      </c>
      <c r="CF25" s="37">
        <f>IF(OR(BV25="",BE25&lt;&gt;"ניתוח"),"",IF(BV25&lt;=30,1,0))</f>
        <v/>
      </c>
      <c r="CG25" s="37">
        <f>IF(BU25="","",IF(BU25&lt;=56,1,0))</f>
        <v/>
      </c>
      <c r="CH25" s="37">
        <f>IF(BW25="","",IF(BW25&lt;=42,1,0))</f>
        <v/>
      </c>
      <c r="CI25" s="37">
        <f>IF(BX25="","",IF(BX25&lt;=100,1,0))</f>
        <v/>
      </c>
      <c r="CJ25" s="33">
        <f>IF(A25="","",COUNTIF(Delays!$B$5:$B$404,A25))</f>
        <v/>
      </c>
      <c r="CK25" s="35" t="n"/>
    </row>
    <row r="26">
      <c r="A26" s="33">
        <f>IF(OR(B26="",C26="",D26="",AX26=""),"","RET-"&amp;RIGHT(YEAR(AX26),2)&amp;"-"&amp;TEXT(B26,"000")&amp;"-"&amp;C26&amp;"-"&amp;D26&amp;"-"&amp;TEXT(MONTH(AX26),"00"))</f>
        <v/>
      </c>
      <c r="B26" s="34" t="n">
        <v>21</v>
      </c>
      <c r="C26" s="35" t="n"/>
      <c r="D26" s="35" t="n"/>
      <c r="E26" s="33">
        <f>IF(AX26="","",YEAR(AX26))</f>
        <v/>
      </c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6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7">
        <f>IF(Y26="","",IF(OR(Y26="III",Y26="IV",Y26="IVA",Y26="IVB",Y26="IVC"),1,0))</f>
        <v/>
      </c>
      <c r="AA26" s="35" t="n"/>
      <c r="AB26" s="35" t="n"/>
      <c r="AC26" s="35" t="n"/>
      <c r="AD26" s="35" t="n"/>
      <c r="AE26" s="35" t="n"/>
      <c r="AF26" s="35" t="n"/>
      <c r="AG26" s="35" t="n"/>
      <c r="AH26" s="35" t="n"/>
      <c r="AI26" s="35" t="n"/>
      <c r="AJ26" s="35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5" t="n"/>
      <c r="BF26" s="35" t="n"/>
      <c r="BG26" s="38" t="n"/>
      <c r="BH26" s="38" t="n"/>
      <c r="BI26" s="38" t="n"/>
      <c r="BJ26" s="35" t="n"/>
      <c r="BK26" s="38" t="n"/>
      <c r="BL26" s="33">
        <f>IF(OR(AU26="",AV26=""),"",AV26-AU26)</f>
        <v/>
      </c>
      <c r="BM26" s="33">
        <f>IF(OR(AV26="",AW26=""),"",AW26-AV26)</f>
        <v/>
      </c>
      <c r="BN26" s="33">
        <f>IF(OR(AW26="",AX26=""),"",AX26-AW26)</f>
        <v/>
      </c>
      <c r="BO26" s="33">
        <f>IF(OR(AX26="",BA26=""),"",BA26-AX26)</f>
        <v/>
      </c>
      <c r="BP26" s="33">
        <f>IF(OR(AV26="",BA26=""),"",BA26-AV26)</f>
        <v/>
      </c>
      <c r="BQ26" s="33">
        <f>IF(OR(BB26="",BD26=""),"",BD26-BB26)</f>
        <v/>
      </c>
      <c r="BR26" s="33">
        <f>IF(OR(AX26="",BD26=""),"",BD26-AX26)</f>
        <v/>
      </c>
      <c r="BS26" s="33">
        <f>IF(OR(AW26="",BD26=""),"",BD26-AW26)</f>
        <v/>
      </c>
      <c r="BT26" s="33">
        <f>IF(OR(AV26="",BD26=""),"",BD26-AV26)</f>
        <v/>
      </c>
      <c r="BU26" s="33">
        <f>IF(OR(AU26="",BD26=""),"",BD26-AU26)</f>
        <v/>
      </c>
      <c r="BV26" s="33">
        <f>IF(OR(BB26="",BG26=""),"",BG26-BB26)</f>
        <v/>
      </c>
      <c r="BW26" s="33">
        <f>IF(OR(BG26="",BH26=""),"",BH26-BG26)</f>
        <v/>
      </c>
      <c r="BX26" s="33">
        <f>IF(OR(BG26="",BI26=""),"",BI26-BG26)</f>
        <v/>
      </c>
      <c r="BY26" s="39">
        <f>IF(OR(AX26="",BK26=""),"",ROUND((BK26-AX26)/30.44,1))</f>
        <v/>
      </c>
      <c r="BZ26" s="37">
        <f>IF(BR26="","",IF(BR26&lt;=30,1,0))</f>
        <v/>
      </c>
      <c r="CA26" s="37">
        <f>IF(BR26="","",IF(BR26&gt;40.5,1,0))</f>
        <v/>
      </c>
      <c r="CB26" s="37">
        <f>IF(BR26="","",IF(BR26&gt;60,1,0))</f>
        <v/>
      </c>
      <c r="CC26" s="37">
        <f>IF(BR26="","",IF(BR26&gt;67,1,0))</f>
        <v/>
      </c>
      <c r="CD26" s="37">
        <f>IF(BT26="","",IF(BT26&lt;=30,1,0))</f>
        <v/>
      </c>
      <c r="CE26" s="37">
        <f>IF(BQ26="","",IF(BQ26&lt;=28,1,0))</f>
        <v/>
      </c>
      <c r="CF26" s="37">
        <f>IF(OR(BV26="",BE26&lt;&gt;"ניתוח"),"",IF(BV26&lt;=30,1,0))</f>
        <v/>
      </c>
      <c r="CG26" s="37">
        <f>IF(BU26="","",IF(BU26&lt;=56,1,0))</f>
        <v/>
      </c>
      <c r="CH26" s="37">
        <f>IF(BW26="","",IF(BW26&lt;=42,1,0))</f>
        <v/>
      </c>
      <c r="CI26" s="37">
        <f>IF(BX26="","",IF(BX26&lt;=100,1,0))</f>
        <v/>
      </c>
      <c r="CJ26" s="33">
        <f>IF(A26="","",COUNTIF(Delays!$B$5:$B$404,A26))</f>
        <v/>
      </c>
      <c r="CK26" s="35" t="n"/>
    </row>
    <row r="27">
      <c r="A27" s="33">
        <f>IF(OR(B27="",C27="",D27="",AX27=""),"","RET-"&amp;RIGHT(YEAR(AX27),2)&amp;"-"&amp;TEXT(B27,"000")&amp;"-"&amp;C27&amp;"-"&amp;D27&amp;"-"&amp;TEXT(MONTH(AX27),"00"))</f>
        <v/>
      </c>
      <c r="B27" s="34" t="n">
        <v>22</v>
      </c>
      <c r="C27" s="35" t="n"/>
      <c r="D27" s="35" t="n"/>
      <c r="E27" s="33">
        <f>IF(AX27="","",YEAR(AX27))</f>
        <v/>
      </c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6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7">
        <f>IF(Y27="","",IF(OR(Y27="III",Y27="IV",Y27="IVA",Y27="IVB",Y27="IVC"),1,0))</f>
        <v/>
      </c>
      <c r="AA27" s="35" t="n"/>
      <c r="AB27" s="35" t="n"/>
      <c r="AC27" s="35" t="n"/>
      <c r="AD27" s="35" t="n"/>
      <c r="AE27" s="35" t="n"/>
      <c r="AF27" s="35" t="n"/>
      <c r="AG27" s="35" t="n"/>
      <c r="AH27" s="35" t="n"/>
      <c r="AI27" s="35" t="n"/>
      <c r="AJ27" s="35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  <c r="BE27" s="35" t="n"/>
      <c r="BF27" s="35" t="n"/>
      <c r="BG27" s="38" t="n"/>
      <c r="BH27" s="38" t="n"/>
      <c r="BI27" s="38" t="n"/>
      <c r="BJ27" s="35" t="n"/>
      <c r="BK27" s="38" t="n"/>
      <c r="BL27" s="33">
        <f>IF(OR(AU27="",AV27=""),"",AV27-AU27)</f>
        <v/>
      </c>
      <c r="BM27" s="33">
        <f>IF(OR(AV27="",AW27=""),"",AW27-AV27)</f>
        <v/>
      </c>
      <c r="BN27" s="33">
        <f>IF(OR(AW27="",AX27=""),"",AX27-AW27)</f>
        <v/>
      </c>
      <c r="BO27" s="33">
        <f>IF(OR(AX27="",BA27=""),"",BA27-AX27)</f>
        <v/>
      </c>
      <c r="BP27" s="33">
        <f>IF(OR(AV27="",BA27=""),"",BA27-AV27)</f>
        <v/>
      </c>
      <c r="BQ27" s="33">
        <f>IF(OR(BB27="",BD27=""),"",BD27-BB27)</f>
        <v/>
      </c>
      <c r="BR27" s="33">
        <f>IF(OR(AX27="",BD27=""),"",BD27-AX27)</f>
        <v/>
      </c>
      <c r="BS27" s="33">
        <f>IF(OR(AW27="",BD27=""),"",BD27-AW27)</f>
        <v/>
      </c>
      <c r="BT27" s="33">
        <f>IF(OR(AV27="",BD27=""),"",BD27-AV27)</f>
        <v/>
      </c>
      <c r="BU27" s="33">
        <f>IF(OR(AU27="",BD27=""),"",BD27-AU27)</f>
        <v/>
      </c>
      <c r="BV27" s="33">
        <f>IF(OR(BB27="",BG27=""),"",BG27-BB27)</f>
        <v/>
      </c>
      <c r="BW27" s="33">
        <f>IF(OR(BG27="",BH27=""),"",BH27-BG27)</f>
        <v/>
      </c>
      <c r="BX27" s="33">
        <f>IF(OR(BG27="",BI27=""),"",BI27-BG27)</f>
        <v/>
      </c>
      <c r="BY27" s="39">
        <f>IF(OR(AX27="",BK27=""),"",ROUND((BK27-AX27)/30.44,1))</f>
        <v/>
      </c>
      <c r="BZ27" s="37">
        <f>IF(BR27="","",IF(BR27&lt;=30,1,0))</f>
        <v/>
      </c>
      <c r="CA27" s="37">
        <f>IF(BR27="","",IF(BR27&gt;40.5,1,0))</f>
        <v/>
      </c>
      <c r="CB27" s="37">
        <f>IF(BR27="","",IF(BR27&gt;60,1,0))</f>
        <v/>
      </c>
      <c r="CC27" s="37">
        <f>IF(BR27="","",IF(BR27&gt;67,1,0))</f>
        <v/>
      </c>
      <c r="CD27" s="37">
        <f>IF(BT27="","",IF(BT27&lt;=30,1,0))</f>
        <v/>
      </c>
      <c r="CE27" s="37">
        <f>IF(BQ27="","",IF(BQ27&lt;=28,1,0))</f>
        <v/>
      </c>
      <c r="CF27" s="37">
        <f>IF(OR(BV27="",BE27&lt;&gt;"ניתוח"),"",IF(BV27&lt;=30,1,0))</f>
        <v/>
      </c>
      <c r="CG27" s="37">
        <f>IF(BU27="","",IF(BU27&lt;=56,1,0))</f>
        <v/>
      </c>
      <c r="CH27" s="37">
        <f>IF(BW27="","",IF(BW27&lt;=42,1,0))</f>
        <v/>
      </c>
      <c r="CI27" s="37">
        <f>IF(BX27="","",IF(BX27&lt;=100,1,0))</f>
        <v/>
      </c>
      <c r="CJ27" s="33">
        <f>IF(A27="","",COUNTIF(Delays!$B$5:$B$404,A27))</f>
        <v/>
      </c>
      <c r="CK27" s="35" t="n"/>
    </row>
    <row r="28">
      <c r="A28" s="33">
        <f>IF(OR(B28="",C28="",D28="",AX28=""),"","RET-"&amp;RIGHT(YEAR(AX28),2)&amp;"-"&amp;TEXT(B28,"000")&amp;"-"&amp;C28&amp;"-"&amp;D28&amp;"-"&amp;TEXT(MONTH(AX28),"00"))</f>
        <v/>
      </c>
      <c r="B28" s="34" t="n">
        <v>23</v>
      </c>
      <c r="C28" s="35" t="n"/>
      <c r="D28" s="35" t="n"/>
      <c r="E28" s="33">
        <f>IF(AX28="","",YEAR(AX28))</f>
        <v/>
      </c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6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7">
        <f>IF(Y28="","",IF(OR(Y28="III",Y28="IV",Y28="IVA",Y28="IVB",Y28="IVC"),1,0))</f>
        <v/>
      </c>
      <c r="AA28" s="35" t="n"/>
      <c r="AB28" s="35" t="n"/>
      <c r="AC28" s="35" t="n"/>
      <c r="AD28" s="35" t="n"/>
      <c r="AE28" s="35" t="n"/>
      <c r="AF28" s="35" t="n"/>
      <c r="AG28" s="35" t="n"/>
      <c r="AH28" s="35" t="n"/>
      <c r="AI28" s="35" t="n"/>
      <c r="AJ28" s="35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  <c r="BE28" s="35" t="n"/>
      <c r="BF28" s="35" t="n"/>
      <c r="BG28" s="38" t="n"/>
      <c r="BH28" s="38" t="n"/>
      <c r="BI28" s="38" t="n"/>
      <c r="BJ28" s="35" t="n"/>
      <c r="BK28" s="38" t="n"/>
      <c r="BL28" s="33">
        <f>IF(OR(AU28="",AV28=""),"",AV28-AU28)</f>
        <v/>
      </c>
      <c r="BM28" s="33">
        <f>IF(OR(AV28="",AW28=""),"",AW28-AV28)</f>
        <v/>
      </c>
      <c r="BN28" s="33">
        <f>IF(OR(AW28="",AX28=""),"",AX28-AW28)</f>
        <v/>
      </c>
      <c r="BO28" s="33">
        <f>IF(OR(AX28="",BA28=""),"",BA28-AX28)</f>
        <v/>
      </c>
      <c r="BP28" s="33">
        <f>IF(OR(AV28="",BA28=""),"",BA28-AV28)</f>
        <v/>
      </c>
      <c r="BQ28" s="33">
        <f>IF(OR(BB28="",BD28=""),"",BD28-BB28)</f>
        <v/>
      </c>
      <c r="BR28" s="33">
        <f>IF(OR(AX28="",BD28=""),"",BD28-AX28)</f>
        <v/>
      </c>
      <c r="BS28" s="33">
        <f>IF(OR(AW28="",BD28=""),"",BD28-AW28)</f>
        <v/>
      </c>
      <c r="BT28" s="33">
        <f>IF(OR(AV28="",BD28=""),"",BD28-AV28)</f>
        <v/>
      </c>
      <c r="BU28" s="33">
        <f>IF(OR(AU28="",BD28=""),"",BD28-AU28)</f>
        <v/>
      </c>
      <c r="BV28" s="33">
        <f>IF(OR(BB28="",BG28=""),"",BG28-BB28)</f>
        <v/>
      </c>
      <c r="BW28" s="33">
        <f>IF(OR(BG28="",BH28=""),"",BH28-BG28)</f>
        <v/>
      </c>
      <c r="BX28" s="33">
        <f>IF(OR(BG28="",BI28=""),"",BI28-BG28)</f>
        <v/>
      </c>
      <c r="BY28" s="39">
        <f>IF(OR(AX28="",BK28=""),"",ROUND((BK28-AX28)/30.44,1))</f>
        <v/>
      </c>
      <c r="BZ28" s="37">
        <f>IF(BR28="","",IF(BR28&lt;=30,1,0))</f>
        <v/>
      </c>
      <c r="CA28" s="37">
        <f>IF(BR28="","",IF(BR28&gt;40.5,1,0))</f>
        <v/>
      </c>
      <c r="CB28" s="37">
        <f>IF(BR28="","",IF(BR28&gt;60,1,0))</f>
        <v/>
      </c>
      <c r="CC28" s="37">
        <f>IF(BR28="","",IF(BR28&gt;67,1,0))</f>
        <v/>
      </c>
      <c r="CD28" s="37">
        <f>IF(BT28="","",IF(BT28&lt;=30,1,0))</f>
        <v/>
      </c>
      <c r="CE28" s="37">
        <f>IF(BQ28="","",IF(BQ28&lt;=28,1,0))</f>
        <v/>
      </c>
      <c r="CF28" s="37">
        <f>IF(OR(BV28="",BE28&lt;&gt;"ניתוח"),"",IF(BV28&lt;=30,1,0))</f>
        <v/>
      </c>
      <c r="CG28" s="37">
        <f>IF(BU28="","",IF(BU28&lt;=56,1,0))</f>
        <v/>
      </c>
      <c r="CH28" s="37">
        <f>IF(BW28="","",IF(BW28&lt;=42,1,0))</f>
        <v/>
      </c>
      <c r="CI28" s="37">
        <f>IF(BX28="","",IF(BX28&lt;=100,1,0))</f>
        <v/>
      </c>
      <c r="CJ28" s="33">
        <f>IF(A28="","",COUNTIF(Delays!$B$5:$B$404,A28))</f>
        <v/>
      </c>
      <c r="CK28" s="35" t="n"/>
    </row>
    <row r="29">
      <c r="A29" s="33">
        <f>IF(OR(B29="",C29="",D29="",AX29=""),"","RET-"&amp;RIGHT(YEAR(AX29),2)&amp;"-"&amp;TEXT(B29,"000")&amp;"-"&amp;C29&amp;"-"&amp;D29&amp;"-"&amp;TEXT(MONTH(AX29),"00"))</f>
        <v/>
      </c>
      <c r="B29" s="34" t="n">
        <v>24</v>
      </c>
      <c r="C29" s="35" t="n"/>
      <c r="D29" s="35" t="n"/>
      <c r="E29" s="33">
        <f>IF(AX29="","",YEAR(AX29))</f>
        <v/>
      </c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6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7">
        <f>IF(Y29="","",IF(OR(Y29="III",Y29="IV",Y29="IVA",Y29="IVB",Y29="IVC"),1,0))</f>
        <v/>
      </c>
      <c r="AA29" s="35" t="n"/>
      <c r="AB29" s="35" t="n"/>
      <c r="AC29" s="35" t="n"/>
      <c r="AD29" s="35" t="n"/>
      <c r="AE29" s="35" t="n"/>
      <c r="AF29" s="35" t="n"/>
      <c r="AG29" s="35" t="n"/>
      <c r="AH29" s="35" t="n"/>
      <c r="AI29" s="35" t="n"/>
      <c r="AJ29" s="35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  <c r="BE29" s="35" t="n"/>
      <c r="BF29" s="35" t="n"/>
      <c r="BG29" s="38" t="n"/>
      <c r="BH29" s="38" t="n"/>
      <c r="BI29" s="38" t="n"/>
      <c r="BJ29" s="35" t="n"/>
      <c r="BK29" s="38" t="n"/>
      <c r="BL29" s="33">
        <f>IF(OR(AU29="",AV29=""),"",AV29-AU29)</f>
        <v/>
      </c>
      <c r="BM29" s="33">
        <f>IF(OR(AV29="",AW29=""),"",AW29-AV29)</f>
        <v/>
      </c>
      <c r="BN29" s="33">
        <f>IF(OR(AW29="",AX29=""),"",AX29-AW29)</f>
        <v/>
      </c>
      <c r="BO29" s="33">
        <f>IF(OR(AX29="",BA29=""),"",BA29-AX29)</f>
        <v/>
      </c>
      <c r="BP29" s="33">
        <f>IF(OR(AV29="",BA29=""),"",BA29-AV29)</f>
        <v/>
      </c>
      <c r="BQ29" s="33">
        <f>IF(OR(BB29="",BD29=""),"",BD29-BB29)</f>
        <v/>
      </c>
      <c r="BR29" s="33">
        <f>IF(OR(AX29="",BD29=""),"",BD29-AX29)</f>
        <v/>
      </c>
      <c r="BS29" s="33">
        <f>IF(OR(AW29="",BD29=""),"",BD29-AW29)</f>
        <v/>
      </c>
      <c r="BT29" s="33">
        <f>IF(OR(AV29="",BD29=""),"",BD29-AV29)</f>
        <v/>
      </c>
      <c r="BU29" s="33">
        <f>IF(OR(AU29="",BD29=""),"",BD29-AU29)</f>
        <v/>
      </c>
      <c r="BV29" s="33">
        <f>IF(OR(BB29="",BG29=""),"",BG29-BB29)</f>
        <v/>
      </c>
      <c r="BW29" s="33">
        <f>IF(OR(BG29="",BH29=""),"",BH29-BG29)</f>
        <v/>
      </c>
      <c r="BX29" s="33">
        <f>IF(OR(BG29="",BI29=""),"",BI29-BG29)</f>
        <v/>
      </c>
      <c r="BY29" s="39">
        <f>IF(OR(AX29="",BK29=""),"",ROUND((BK29-AX29)/30.44,1))</f>
        <v/>
      </c>
      <c r="BZ29" s="37">
        <f>IF(BR29="","",IF(BR29&lt;=30,1,0))</f>
        <v/>
      </c>
      <c r="CA29" s="37">
        <f>IF(BR29="","",IF(BR29&gt;40.5,1,0))</f>
        <v/>
      </c>
      <c r="CB29" s="37">
        <f>IF(BR29="","",IF(BR29&gt;60,1,0))</f>
        <v/>
      </c>
      <c r="CC29" s="37">
        <f>IF(BR29="","",IF(BR29&gt;67,1,0))</f>
        <v/>
      </c>
      <c r="CD29" s="37">
        <f>IF(BT29="","",IF(BT29&lt;=30,1,0))</f>
        <v/>
      </c>
      <c r="CE29" s="37">
        <f>IF(BQ29="","",IF(BQ29&lt;=28,1,0))</f>
        <v/>
      </c>
      <c r="CF29" s="37">
        <f>IF(OR(BV29="",BE29&lt;&gt;"ניתוח"),"",IF(BV29&lt;=30,1,0))</f>
        <v/>
      </c>
      <c r="CG29" s="37">
        <f>IF(BU29="","",IF(BU29&lt;=56,1,0))</f>
        <v/>
      </c>
      <c r="CH29" s="37">
        <f>IF(BW29="","",IF(BW29&lt;=42,1,0))</f>
        <v/>
      </c>
      <c r="CI29" s="37">
        <f>IF(BX29="","",IF(BX29&lt;=100,1,0))</f>
        <v/>
      </c>
      <c r="CJ29" s="33">
        <f>IF(A29="","",COUNTIF(Delays!$B$5:$B$404,A29))</f>
        <v/>
      </c>
      <c r="CK29" s="35" t="n"/>
    </row>
    <row r="30">
      <c r="A30" s="33">
        <f>IF(OR(B30="",C30="",D30="",AX30=""),"","RET-"&amp;RIGHT(YEAR(AX30),2)&amp;"-"&amp;TEXT(B30,"000")&amp;"-"&amp;C30&amp;"-"&amp;D30&amp;"-"&amp;TEXT(MONTH(AX30),"00"))</f>
        <v/>
      </c>
      <c r="B30" s="34" t="n">
        <v>25</v>
      </c>
      <c r="C30" s="35" t="n"/>
      <c r="D30" s="35" t="n"/>
      <c r="E30" s="33">
        <f>IF(AX30="","",YEAR(AX30))</f>
        <v/>
      </c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6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7">
        <f>IF(Y30="","",IF(OR(Y30="III",Y30="IV",Y30="IVA",Y30="IVB",Y30="IVC"),1,0))</f>
        <v/>
      </c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  <c r="BE30" s="35" t="n"/>
      <c r="BF30" s="35" t="n"/>
      <c r="BG30" s="38" t="n"/>
      <c r="BH30" s="38" t="n"/>
      <c r="BI30" s="38" t="n"/>
      <c r="BJ30" s="35" t="n"/>
      <c r="BK30" s="38" t="n"/>
      <c r="BL30" s="33">
        <f>IF(OR(AU30="",AV30=""),"",AV30-AU30)</f>
        <v/>
      </c>
      <c r="BM30" s="33">
        <f>IF(OR(AV30="",AW30=""),"",AW30-AV30)</f>
        <v/>
      </c>
      <c r="BN30" s="33">
        <f>IF(OR(AW30="",AX30=""),"",AX30-AW30)</f>
        <v/>
      </c>
      <c r="BO30" s="33">
        <f>IF(OR(AX30="",BA30=""),"",BA30-AX30)</f>
        <v/>
      </c>
      <c r="BP30" s="33">
        <f>IF(OR(AV30="",BA30=""),"",BA30-AV30)</f>
        <v/>
      </c>
      <c r="BQ30" s="33">
        <f>IF(OR(BB30="",BD30=""),"",BD30-BB30)</f>
        <v/>
      </c>
      <c r="BR30" s="33">
        <f>IF(OR(AX30="",BD30=""),"",BD30-AX30)</f>
        <v/>
      </c>
      <c r="BS30" s="33">
        <f>IF(OR(AW30="",BD30=""),"",BD30-AW30)</f>
        <v/>
      </c>
      <c r="BT30" s="33">
        <f>IF(OR(AV30="",BD30=""),"",BD30-AV30)</f>
        <v/>
      </c>
      <c r="BU30" s="33">
        <f>IF(OR(AU30="",BD30=""),"",BD30-AU30)</f>
        <v/>
      </c>
      <c r="BV30" s="33">
        <f>IF(OR(BB30="",BG30=""),"",BG30-BB30)</f>
        <v/>
      </c>
      <c r="BW30" s="33">
        <f>IF(OR(BG30="",BH30=""),"",BH30-BG30)</f>
        <v/>
      </c>
      <c r="BX30" s="33">
        <f>IF(OR(BG30="",BI30=""),"",BI30-BG30)</f>
        <v/>
      </c>
      <c r="BY30" s="39">
        <f>IF(OR(AX30="",BK30=""),"",ROUND((BK30-AX30)/30.44,1))</f>
        <v/>
      </c>
      <c r="BZ30" s="37">
        <f>IF(BR30="","",IF(BR30&lt;=30,1,0))</f>
        <v/>
      </c>
      <c r="CA30" s="37">
        <f>IF(BR30="","",IF(BR30&gt;40.5,1,0))</f>
        <v/>
      </c>
      <c r="CB30" s="37">
        <f>IF(BR30="","",IF(BR30&gt;60,1,0))</f>
        <v/>
      </c>
      <c r="CC30" s="37">
        <f>IF(BR30="","",IF(BR30&gt;67,1,0))</f>
        <v/>
      </c>
      <c r="CD30" s="37">
        <f>IF(BT30="","",IF(BT30&lt;=30,1,0))</f>
        <v/>
      </c>
      <c r="CE30" s="37">
        <f>IF(BQ30="","",IF(BQ30&lt;=28,1,0))</f>
        <v/>
      </c>
      <c r="CF30" s="37">
        <f>IF(OR(BV30="",BE30&lt;&gt;"ניתוח"),"",IF(BV30&lt;=30,1,0))</f>
        <v/>
      </c>
      <c r="CG30" s="37">
        <f>IF(BU30="","",IF(BU30&lt;=56,1,0))</f>
        <v/>
      </c>
      <c r="CH30" s="37">
        <f>IF(BW30="","",IF(BW30&lt;=42,1,0))</f>
        <v/>
      </c>
      <c r="CI30" s="37">
        <f>IF(BX30="","",IF(BX30&lt;=100,1,0))</f>
        <v/>
      </c>
      <c r="CJ30" s="33">
        <f>IF(A30="","",COUNTIF(Delays!$B$5:$B$404,A30))</f>
        <v/>
      </c>
      <c r="CK30" s="35" t="n"/>
    </row>
    <row r="31">
      <c r="A31" s="33">
        <f>IF(OR(B31="",C31="",D31="",AX31=""),"","RET-"&amp;RIGHT(YEAR(AX31),2)&amp;"-"&amp;TEXT(B31,"000")&amp;"-"&amp;C31&amp;"-"&amp;D31&amp;"-"&amp;TEXT(MONTH(AX31),"00"))</f>
        <v/>
      </c>
      <c r="B31" s="34" t="n">
        <v>26</v>
      </c>
      <c r="C31" s="35" t="n"/>
      <c r="D31" s="35" t="n"/>
      <c r="E31" s="33">
        <f>IF(AX31="","",YEAR(AX31))</f>
        <v/>
      </c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6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7">
        <f>IF(Y31="","",IF(OR(Y31="III",Y31="IV",Y31="IVA",Y31="IVB",Y31="IVC"),1,0))</f>
        <v/>
      </c>
      <c r="AA31" s="35" t="n"/>
      <c r="AB31" s="35" t="n"/>
      <c r="AC31" s="35" t="n"/>
      <c r="AD31" s="35" t="n"/>
      <c r="AE31" s="35" t="n"/>
      <c r="AF31" s="35" t="n"/>
      <c r="AG31" s="35" t="n"/>
      <c r="AH31" s="35" t="n"/>
      <c r="AI31" s="35" t="n"/>
      <c r="AJ31" s="35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  <c r="BE31" s="35" t="n"/>
      <c r="BF31" s="35" t="n"/>
      <c r="BG31" s="38" t="n"/>
      <c r="BH31" s="38" t="n"/>
      <c r="BI31" s="38" t="n"/>
      <c r="BJ31" s="35" t="n"/>
      <c r="BK31" s="38" t="n"/>
      <c r="BL31" s="33">
        <f>IF(OR(AU31="",AV31=""),"",AV31-AU31)</f>
        <v/>
      </c>
      <c r="BM31" s="33">
        <f>IF(OR(AV31="",AW31=""),"",AW31-AV31)</f>
        <v/>
      </c>
      <c r="BN31" s="33">
        <f>IF(OR(AW31="",AX31=""),"",AX31-AW31)</f>
        <v/>
      </c>
      <c r="BO31" s="33">
        <f>IF(OR(AX31="",BA31=""),"",BA31-AX31)</f>
        <v/>
      </c>
      <c r="BP31" s="33">
        <f>IF(OR(AV31="",BA31=""),"",BA31-AV31)</f>
        <v/>
      </c>
      <c r="BQ31" s="33">
        <f>IF(OR(BB31="",BD31=""),"",BD31-BB31)</f>
        <v/>
      </c>
      <c r="BR31" s="33">
        <f>IF(OR(AX31="",BD31=""),"",BD31-AX31)</f>
        <v/>
      </c>
      <c r="BS31" s="33">
        <f>IF(OR(AW31="",BD31=""),"",BD31-AW31)</f>
        <v/>
      </c>
      <c r="BT31" s="33">
        <f>IF(OR(AV31="",BD31=""),"",BD31-AV31)</f>
        <v/>
      </c>
      <c r="BU31" s="33">
        <f>IF(OR(AU31="",BD31=""),"",BD31-AU31)</f>
        <v/>
      </c>
      <c r="BV31" s="33">
        <f>IF(OR(BB31="",BG31=""),"",BG31-BB31)</f>
        <v/>
      </c>
      <c r="BW31" s="33">
        <f>IF(OR(BG31="",BH31=""),"",BH31-BG31)</f>
        <v/>
      </c>
      <c r="BX31" s="33">
        <f>IF(OR(BG31="",BI31=""),"",BI31-BG31)</f>
        <v/>
      </c>
      <c r="BY31" s="39">
        <f>IF(OR(AX31="",BK31=""),"",ROUND((BK31-AX31)/30.44,1))</f>
        <v/>
      </c>
      <c r="BZ31" s="37">
        <f>IF(BR31="","",IF(BR31&lt;=30,1,0))</f>
        <v/>
      </c>
      <c r="CA31" s="37">
        <f>IF(BR31="","",IF(BR31&gt;40.5,1,0))</f>
        <v/>
      </c>
      <c r="CB31" s="37">
        <f>IF(BR31="","",IF(BR31&gt;60,1,0))</f>
        <v/>
      </c>
      <c r="CC31" s="37">
        <f>IF(BR31="","",IF(BR31&gt;67,1,0))</f>
        <v/>
      </c>
      <c r="CD31" s="37">
        <f>IF(BT31="","",IF(BT31&lt;=30,1,0))</f>
        <v/>
      </c>
      <c r="CE31" s="37">
        <f>IF(BQ31="","",IF(BQ31&lt;=28,1,0))</f>
        <v/>
      </c>
      <c r="CF31" s="37">
        <f>IF(OR(BV31="",BE31&lt;&gt;"ניתוח"),"",IF(BV31&lt;=30,1,0))</f>
        <v/>
      </c>
      <c r="CG31" s="37">
        <f>IF(BU31="","",IF(BU31&lt;=56,1,0))</f>
        <v/>
      </c>
      <c r="CH31" s="37">
        <f>IF(BW31="","",IF(BW31&lt;=42,1,0))</f>
        <v/>
      </c>
      <c r="CI31" s="37">
        <f>IF(BX31="","",IF(BX31&lt;=100,1,0))</f>
        <v/>
      </c>
      <c r="CJ31" s="33">
        <f>IF(A31="","",COUNTIF(Delays!$B$5:$B$404,A31))</f>
        <v/>
      </c>
      <c r="CK31" s="35" t="n"/>
    </row>
    <row r="32">
      <c r="A32" s="33">
        <f>IF(OR(B32="",C32="",D32="",AX32=""),"","RET-"&amp;RIGHT(YEAR(AX32),2)&amp;"-"&amp;TEXT(B32,"000")&amp;"-"&amp;C32&amp;"-"&amp;D32&amp;"-"&amp;TEXT(MONTH(AX32),"00"))</f>
        <v/>
      </c>
      <c r="B32" s="34" t="n">
        <v>27</v>
      </c>
      <c r="C32" s="35" t="n"/>
      <c r="D32" s="35" t="n"/>
      <c r="E32" s="33">
        <f>IF(AX32="","",YEAR(AX32))</f>
        <v/>
      </c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6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7">
        <f>IF(Y32="","",IF(OR(Y32="III",Y32="IV",Y32="IVA",Y32="IVB",Y32="IVC"),1,0))</f>
        <v/>
      </c>
      <c r="AA32" s="35" t="n"/>
      <c r="AB32" s="35" t="n"/>
      <c r="AC32" s="35" t="n"/>
      <c r="AD32" s="35" t="n"/>
      <c r="AE32" s="35" t="n"/>
      <c r="AF32" s="35" t="n"/>
      <c r="AG32" s="35" t="n"/>
      <c r="AH32" s="35" t="n"/>
      <c r="AI32" s="35" t="n"/>
      <c r="AJ32" s="35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  <c r="BE32" s="35" t="n"/>
      <c r="BF32" s="35" t="n"/>
      <c r="BG32" s="38" t="n"/>
      <c r="BH32" s="38" t="n"/>
      <c r="BI32" s="38" t="n"/>
      <c r="BJ32" s="35" t="n"/>
      <c r="BK32" s="38" t="n"/>
      <c r="BL32" s="33">
        <f>IF(OR(AU32="",AV32=""),"",AV32-AU32)</f>
        <v/>
      </c>
      <c r="BM32" s="33">
        <f>IF(OR(AV32="",AW32=""),"",AW32-AV32)</f>
        <v/>
      </c>
      <c r="BN32" s="33">
        <f>IF(OR(AW32="",AX32=""),"",AX32-AW32)</f>
        <v/>
      </c>
      <c r="BO32" s="33">
        <f>IF(OR(AX32="",BA32=""),"",BA32-AX32)</f>
        <v/>
      </c>
      <c r="BP32" s="33">
        <f>IF(OR(AV32="",BA32=""),"",BA32-AV32)</f>
        <v/>
      </c>
      <c r="BQ32" s="33">
        <f>IF(OR(BB32="",BD32=""),"",BD32-BB32)</f>
        <v/>
      </c>
      <c r="BR32" s="33">
        <f>IF(OR(AX32="",BD32=""),"",BD32-AX32)</f>
        <v/>
      </c>
      <c r="BS32" s="33">
        <f>IF(OR(AW32="",BD32=""),"",BD32-AW32)</f>
        <v/>
      </c>
      <c r="BT32" s="33">
        <f>IF(OR(AV32="",BD32=""),"",BD32-AV32)</f>
        <v/>
      </c>
      <c r="BU32" s="33">
        <f>IF(OR(AU32="",BD32=""),"",BD32-AU32)</f>
        <v/>
      </c>
      <c r="BV32" s="33">
        <f>IF(OR(BB32="",BG32=""),"",BG32-BB32)</f>
        <v/>
      </c>
      <c r="BW32" s="33">
        <f>IF(OR(BG32="",BH32=""),"",BH32-BG32)</f>
        <v/>
      </c>
      <c r="BX32" s="33">
        <f>IF(OR(BG32="",BI32=""),"",BI32-BG32)</f>
        <v/>
      </c>
      <c r="BY32" s="39">
        <f>IF(OR(AX32="",BK32=""),"",ROUND((BK32-AX32)/30.44,1))</f>
        <v/>
      </c>
      <c r="BZ32" s="37">
        <f>IF(BR32="","",IF(BR32&lt;=30,1,0))</f>
        <v/>
      </c>
      <c r="CA32" s="37">
        <f>IF(BR32="","",IF(BR32&gt;40.5,1,0))</f>
        <v/>
      </c>
      <c r="CB32" s="37">
        <f>IF(BR32="","",IF(BR32&gt;60,1,0))</f>
        <v/>
      </c>
      <c r="CC32" s="37">
        <f>IF(BR32="","",IF(BR32&gt;67,1,0))</f>
        <v/>
      </c>
      <c r="CD32" s="37">
        <f>IF(BT32="","",IF(BT32&lt;=30,1,0))</f>
        <v/>
      </c>
      <c r="CE32" s="37">
        <f>IF(BQ32="","",IF(BQ32&lt;=28,1,0))</f>
        <v/>
      </c>
      <c r="CF32" s="37">
        <f>IF(OR(BV32="",BE32&lt;&gt;"ניתוח"),"",IF(BV32&lt;=30,1,0))</f>
        <v/>
      </c>
      <c r="CG32" s="37">
        <f>IF(BU32="","",IF(BU32&lt;=56,1,0))</f>
        <v/>
      </c>
      <c r="CH32" s="37">
        <f>IF(BW32="","",IF(BW32&lt;=42,1,0))</f>
        <v/>
      </c>
      <c r="CI32" s="37">
        <f>IF(BX32="","",IF(BX32&lt;=100,1,0))</f>
        <v/>
      </c>
      <c r="CJ32" s="33">
        <f>IF(A32="","",COUNTIF(Delays!$B$5:$B$404,A32))</f>
        <v/>
      </c>
      <c r="CK32" s="35" t="n"/>
    </row>
    <row r="33">
      <c r="A33" s="33">
        <f>IF(OR(B33="",C33="",D33="",AX33=""),"","RET-"&amp;RIGHT(YEAR(AX33),2)&amp;"-"&amp;TEXT(B33,"000")&amp;"-"&amp;C33&amp;"-"&amp;D33&amp;"-"&amp;TEXT(MONTH(AX33),"00"))</f>
        <v/>
      </c>
      <c r="B33" s="34" t="n">
        <v>28</v>
      </c>
      <c r="C33" s="35" t="n"/>
      <c r="D33" s="35" t="n"/>
      <c r="E33" s="33">
        <f>IF(AX33="","",YEAR(AX33))</f>
        <v/>
      </c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6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7">
        <f>IF(Y33="","",IF(OR(Y33="III",Y33="IV",Y33="IVA",Y33="IVB",Y33="IVC"),1,0))</f>
        <v/>
      </c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  <c r="BE33" s="35" t="n"/>
      <c r="BF33" s="35" t="n"/>
      <c r="BG33" s="38" t="n"/>
      <c r="BH33" s="38" t="n"/>
      <c r="BI33" s="38" t="n"/>
      <c r="BJ33" s="35" t="n"/>
      <c r="BK33" s="38" t="n"/>
      <c r="BL33" s="33">
        <f>IF(OR(AU33="",AV33=""),"",AV33-AU33)</f>
        <v/>
      </c>
      <c r="BM33" s="33">
        <f>IF(OR(AV33="",AW33=""),"",AW33-AV33)</f>
        <v/>
      </c>
      <c r="BN33" s="33">
        <f>IF(OR(AW33="",AX33=""),"",AX33-AW33)</f>
        <v/>
      </c>
      <c r="BO33" s="33">
        <f>IF(OR(AX33="",BA33=""),"",BA33-AX33)</f>
        <v/>
      </c>
      <c r="BP33" s="33">
        <f>IF(OR(AV33="",BA33=""),"",BA33-AV33)</f>
        <v/>
      </c>
      <c r="BQ33" s="33">
        <f>IF(OR(BB33="",BD33=""),"",BD33-BB33)</f>
        <v/>
      </c>
      <c r="BR33" s="33">
        <f>IF(OR(AX33="",BD33=""),"",BD33-AX33)</f>
        <v/>
      </c>
      <c r="BS33" s="33">
        <f>IF(OR(AW33="",BD33=""),"",BD33-AW33)</f>
        <v/>
      </c>
      <c r="BT33" s="33">
        <f>IF(OR(AV33="",BD33=""),"",BD33-AV33)</f>
        <v/>
      </c>
      <c r="BU33" s="33">
        <f>IF(OR(AU33="",BD33=""),"",BD33-AU33)</f>
        <v/>
      </c>
      <c r="BV33" s="33">
        <f>IF(OR(BB33="",BG33=""),"",BG33-BB33)</f>
        <v/>
      </c>
      <c r="BW33" s="33">
        <f>IF(OR(BG33="",BH33=""),"",BH33-BG33)</f>
        <v/>
      </c>
      <c r="BX33" s="33">
        <f>IF(OR(BG33="",BI33=""),"",BI33-BG33)</f>
        <v/>
      </c>
      <c r="BY33" s="39">
        <f>IF(OR(AX33="",BK33=""),"",ROUND((BK33-AX33)/30.44,1))</f>
        <v/>
      </c>
      <c r="BZ33" s="37">
        <f>IF(BR33="","",IF(BR33&lt;=30,1,0))</f>
        <v/>
      </c>
      <c r="CA33" s="37">
        <f>IF(BR33="","",IF(BR33&gt;40.5,1,0))</f>
        <v/>
      </c>
      <c r="CB33" s="37">
        <f>IF(BR33="","",IF(BR33&gt;60,1,0))</f>
        <v/>
      </c>
      <c r="CC33" s="37">
        <f>IF(BR33="","",IF(BR33&gt;67,1,0))</f>
        <v/>
      </c>
      <c r="CD33" s="37">
        <f>IF(BT33="","",IF(BT33&lt;=30,1,0))</f>
        <v/>
      </c>
      <c r="CE33" s="37">
        <f>IF(BQ33="","",IF(BQ33&lt;=28,1,0))</f>
        <v/>
      </c>
      <c r="CF33" s="37">
        <f>IF(OR(BV33="",BE33&lt;&gt;"ניתוח"),"",IF(BV33&lt;=30,1,0))</f>
        <v/>
      </c>
      <c r="CG33" s="37">
        <f>IF(BU33="","",IF(BU33&lt;=56,1,0))</f>
        <v/>
      </c>
      <c r="CH33" s="37">
        <f>IF(BW33="","",IF(BW33&lt;=42,1,0))</f>
        <v/>
      </c>
      <c r="CI33" s="37">
        <f>IF(BX33="","",IF(BX33&lt;=100,1,0))</f>
        <v/>
      </c>
      <c r="CJ33" s="33">
        <f>IF(A33="","",COUNTIF(Delays!$B$5:$B$404,A33))</f>
        <v/>
      </c>
      <c r="CK33" s="35" t="n"/>
    </row>
    <row r="34">
      <c r="A34" s="33">
        <f>IF(OR(B34="",C34="",D34="",AX34=""),"","RET-"&amp;RIGHT(YEAR(AX34),2)&amp;"-"&amp;TEXT(B34,"000")&amp;"-"&amp;C34&amp;"-"&amp;D34&amp;"-"&amp;TEXT(MONTH(AX34),"00"))</f>
        <v/>
      </c>
      <c r="B34" s="34" t="n">
        <v>29</v>
      </c>
      <c r="C34" s="35" t="n"/>
      <c r="D34" s="35" t="n"/>
      <c r="E34" s="33">
        <f>IF(AX34="","",YEAR(AX34))</f>
        <v/>
      </c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6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7">
        <f>IF(Y34="","",IF(OR(Y34="III",Y34="IV",Y34="IVA",Y34="IVB",Y34="IVC"),1,0))</f>
        <v/>
      </c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  <c r="BE34" s="35" t="n"/>
      <c r="BF34" s="35" t="n"/>
      <c r="BG34" s="38" t="n"/>
      <c r="BH34" s="38" t="n"/>
      <c r="BI34" s="38" t="n"/>
      <c r="BJ34" s="35" t="n"/>
      <c r="BK34" s="38" t="n"/>
      <c r="BL34" s="33">
        <f>IF(OR(AU34="",AV34=""),"",AV34-AU34)</f>
        <v/>
      </c>
      <c r="BM34" s="33">
        <f>IF(OR(AV34="",AW34=""),"",AW34-AV34)</f>
        <v/>
      </c>
      <c r="BN34" s="33">
        <f>IF(OR(AW34="",AX34=""),"",AX34-AW34)</f>
        <v/>
      </c>
      <c r="BO34" s="33">
        <f>IF(OR(AX34="",BA34=""),"",BA34-AX34)</f>
        <v/>
      </c>
      <c r="BP34" s="33">
        <f>IF(OR(AV34="",BA34=""),"",BA34-AV34)</f>
        <v/>
      </c>
      <c r="BQ34" s="33">
        <f>IF(OR(BB34="",BD34=""),"",BD34-BB34)</f>
        <v/>
      </c>
      <c r="BR34" s="33">
        <f>IF(OR(AX34="",BD34=""),"",BD34-AX34)</f>
        <v/>
      </c>
      <c r="BS34" s="33">
        <f>IF(OR(AW34="",BD34=""),"",BD34-AW34)</f>
        <v/>
      </c>
      <c r="BT34" s="33">
        <f>IF(OR(AV34="",BD34=""),"",BD34-AV34)</f>
        <v/>
      </c>
      <c r="BU34" s="33">
        <f>IF(OR(AU34="",BD34=""),"",BD34-AU34)</f>
        <v/>
      </c>
      <c r="BV34" s="33">
        <f>IF(OR(BB34="",BG34=""),"",BG34-BB34)</f>
        <v/>
      </c>
      <c r="BW34" s="33">
        <f>IF(OR(BG34="",BH34=""),"",BH34-BG34)</f>
        <v/>
      </c>
      <c r="BX34" s="33">
        <f>IF(OR(BG34="",BI34=""),"",BI34-BG34)</f>
        <v/>
      </c>
      <c r="BY34" s="39">
        <f>IF(OR(AX34="",BK34=""),"",ROUND((BK34-AX34)/30.44,1))</f>
        <v/>
      </c>
      <c r="BZ34" s="37">
        <f>IF(BR34="","",IF(BR34&lt;=30,1,0))</f>
        <v/>
      </c>
      <c r="CA34" s="37">
        <f>IF(BR34="","",IF(BR34&gt;40.5,1,0))</f>
        <v/>
      </c>
      <c r="CB34" s="37">
        <f>IF(BR34="","",IF(BR34&gt;60,1,0))</f>
        <v/>
      </c>
      <c r="CC34" s="37">
        <f>IF(BR34="","",IF(BR34&gt;67,1,0))</f>
        <v/>
      </c>
      <c r="CD34" s="37">
        <f>IF(BT34="","",IF(BT34&lt;=30,1,0))</f>
        <v/>
      </c>
      <c r="CE34" s="37">
        <f>IF(BQ34="","",IF(BQ34&lt;=28,1,0))</f>
        <v/>
      </c>
      <c r="CF34" s="37">
        <f>IF(OR(BV34="",BE34&lt;&gt;"ניתוח"),"",IF(BV34&lt;=30,1,0))</f>
        <v/>
      </c>
      <c r="CG34" s="37">
        <f>IF(BU34="","",IF(BU34&lt;=56,1,0))</f>
        <v/>
      </c>
      <c r="CH34" s="37">
        <f>IF(BW34="","",IF(BW34&lt;=42,1,0))</f>
        <v/>
      </c>
      <c r="CI34" s="37">
        <f>IF(BX34="","",IF(BX34&lt;=100,1,0))</f>
        <v/>
      </c>
      <c r="CJ34" s="33">
        <f>IF(A34="","",COUNTIF(Delays!$B$5:$B$404,A34))</f>
        <v/>
      </c>
      <c r="CK34" s="35" t="n"/>
    </row>
    <row r="35">
      <c r="A35" s="33">
        <f>IF(OR(B35="",C35="",D35="",AX35=""),"","RET-"&amp;RIGHT(YEAR(AX35),2)&amp;"-"&amp;TEXT(B35,"000")&amp;"-"&amp;C35&amp;"-"&amp;D35&amp;"-"&amp;TEXT(MONTH(AX35),"00"))</f>
        <v/>
      </c>
      <c r="B35" s="34" t="n">
        <v>30</v>
      </c>
      <c r="C35" s="35" t="n"/>
      <c r="D35" s="35" t="n"/>
      <c r="E35" s="33">
        <f>IF(AX35="","",YEAR(AX35))</f>
        <v/>
      </c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6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7">
        <f>IF(Y35="","",IF(OR(Y35="III",Y35="IV",Y35="IVA",Y35="IVB",Y35="IVC"),1,0))</f>
        <v/>
      </c>
      <c r="AA35" s="35" t="n"/>
      <c r="AB35" s="35" t="n"/>
      <c r="AC35" s="35" t="n"/>
      <c r="AD35" s="35" t="n"/>
      <c r="AE35" s="35" t="n"/>
      <c r="AF35" s="35" t="n"/>
      <c r="AG35" s="35" t="n"/>
      <c r="AH35" s="35" t="n"/>
      <c r="AI35" s="35" t="n"/>
      <c r="AJ35" s="35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  <c r="BE35" s="35" t="n"/>
      <c r="BF35" s="35" t="n"/>
      <c r="BG35" s="38" t="n"/>
      <c r="BH35" s="38" t="n"/>
      <c r="BI35" s="38" t="n"/>
      <c r="BJ35" s="35" t="n"/>
      <c r="BK35" s="38" t="n"/>
      <c r="BL35" s="33">
        <f>IF(OR(AU35="",AV35=""),"",AV35-AU35)</f>
        <v/>
      </c>
      <c r="BM35" s="33">
        <f>IF(OR(AV35="",AW35=""),"",AW35-AV35)</f>
        <v/>
      </c>
      <c r="BN35" s="33">
        <f>IF(OR(AW35="",AX35=""),"",AX35-AW35)</f>
        <v/>
      </c>
      <c r="BO35" s="33">
        <f>IF(OR(AX35="",BA35=""),"",BA35-AX35)</f>
        <v/>
      </c>
      <c r="BP35" s="33">
        <f>IF(OR(AV35="",BA35=""),"",BA35-AV35)</f>
        <v/>
      </c>
      <c r="BQ35" s="33">
        <f>IF(OR(BB35="",BD35=""),"",BD35-BB35)</f>
        <v/>
      </c>
      <c r="BR35" s="33">
        <f>IF(OR(AX35="",BD35=""),"",BD35-AX35)</f>
        <v/>
      </c>
      <c r="BS35" s="33">
        <f>IF(OR(AW35="",BD35=""),"",BD35-AW35)</f>
        <v/>
      </c>
      <c r="BT35" s="33">
        <f>IF(OR(AV35="",BD35=""),"",BD35-AV35)</f>
        <v/>
      </c>
      <c r="BU35" s="33">
        <f>IF(OR(AU35="",BD35=""),"",BD35-AU35)</f>
        <v/>
      </c>
      <c r="BV35" s="33">
        <f>IF(OR(BB35="",BG35=""),"",BG35-BB35)</f>
        <v/>
      </c>
      <c r="BW35" s="33">
        <f>IF(OR(BG35="",BH35=""),"",BH35-BG35)</f>
        <v/>
      </c>
      <c r="BX35" s="33">
        <f>IF(OR(BG35="",BI35=""),"",BI35-BG35)</f>
        <v/>
      </c>
      <c r="BY35" s="39">
        <f>IF(OR(AX35="",BK35=""),"",ROUND((BK35-AX35)/30.44,1))</f>
        <v/>
      </c>
      <c r="BZ35" s="37">
        <f>IF(BR35="","",IF(BR35&lt;=30,1,0))</f>
        <v/>
      </c>
      <c r="CA35" s="37">
        <f>IF(BR35="","",IF(BR35&gt;40.5,1,0))</f>
        <v/>
      </c>
      <c r="CB35" s="37">
        <f>IF(BR35="","",IF(BR35&gt;60,1,0))</f>
        <v/>
      </c>
      <c r="CC35" s="37">
        <f>IF(BR35="","",IF(BR35&gt;67,1,0))</f>
        <v/>
      </c>
      <c r="CD35" s="37">
        <f>IF(BT35="","",IF(BT35&lt;=30,1,0))</f>
        <v/>
      </c>
      <c r="CE35" s="37">
        <f>IF(BQ35="","",IF(BQ35&lt;=28,1,0))</f>
        <v/>
      </c>
      <c r="CF35" s="37">
        <f>IF(OR(BV35="",BE35&lt;&gt;"ניתוח"),"",IF(BV35&lt;=30,1,0))</f>
        <v/>
      </c>
      <c r="CG35" s="37">
        <f>IF(BU35="","",IF(BU35&lt;=56,1,0))</f>
        <v/>
      </c>
      <c r="CH35" s="37">
        <f>IF(BW35="","",IF(BW35&lt;=42,1,0))</f>
        <v/>
      </c>
      <c r="CI35" s="37">
        <f>IF(BX35="","",IF(BX35&lt;=100,1,0))</f>
        <v/>
      </c>
      <c r="CJ35" s="33">
        <f>IF(A35="","",COUNTIF(Delays!$B$5:$B$404,A35))</f>
        <v/>
      </c>
      <c r="CK35" s="35" t="n"/>
    </row>
    <row r="36">
      <c r="A36" s="33">
        <f>IF(OR(B36="",C36="",D36="",AX36=""),"","RET-"&amp;RIGHT(YEAR(AX36),2)&amp;"-"&amp;TEXT(B36,"000")&amp;"-"&amp;C36&amp;"-"&amp;D36&amp;"-"&amp;TEXT(MONTH(AX36),"00"))</f>
        <v/>
      </c>
      <c r="B36" s="34" t="n">
        <v>31</v>
      </c>
      <c r="C36" s="35" t="n"/>
      <c r="D36" s="35" t="n"/>
      <c r="E36" s="33">
        <f>IF(AX36="","",YEAR(AX36))</f>
        <v/>
      </c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6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7">
        <f>IF(Y36="","",IF(OR(Y36="III",Y36="IV",Y36="IVA",Y36="IVB",Y36="IVC"),1,0))</f>
        <v/>
      </c>
      <c r="AA36" s="35" t="n"/>
      <c r="AB36" s="35" t="n"/>
      <c r="AC36" s="35" t="n"/>
      <c r="AD36" s="35" t="n"/>
      <c r="AE36" s="35" t="n"/>
      <c r="AF36" s="35" t="n"/>
      <c r="AG36" s="35" t="n"/>
      <c r="AH36" s="35" t="n"/>
      <c r="AI36" s="35" t="n"/>
      <c r="AJ36" s="35" t="n"/>
      <c r="AK36" s="35" t="n"/>
      <c r="AL36" s="35" t="n"/>
      <c r="AM36" s="35" t="n"/>
      <c r="AN36" s="35" t="n"/>
      <c r="AO36" s="35" t="n"/>
      <c r="AP36" s="35" t="n"/>
      <c r="AQ36" s="35" t="n"/>
      <c r="AR36" s="35" t="n"/>
      <c r="AS36" s="35" t="n"/>
      <c r="AT36" s="35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  <c r="BE36" s="35" t="n"/>
      <c r="BF36" s="35" t="n"/>
      <c r="BG36" s="38" t="n"/>
      <c r="BH36" s="38" t="n"/>
      <c r="BI36" s="38" t="n"/>
      <c r="BJ36" s="35" t="n"/>
      <c r="BK36" s="38" t="n"/>
      <c r="BL36" s="33">
        <f>IF(OR(AU36="",AV36=""),"",AV36-AU36)</f>
        <v/>
      </c>
      <c r="BM36" s="33">
        <f>IF(OR(AV36="",AW36=""),"",AW36-AV36)</f>
        <v/>
      </c>
      <c r="BN36" s="33">
        <f>IF(OR(AW36="",AX36=""),"",AX36-AW36)</f>
        <v/>
      </c>
      <c r="BO36" s="33">
        <f>IF(OR(AX36="",BA36=""),"",BA36-AX36)</f>
        <v/>
      </c>
      <c r="BP36" s="33">
        <f>IF(OR(AV36="",BA36=""),"",BA36-AV36)</f>
        <v/>
      </c>
      <c r="BQ36" s="33">
        <f>IF(OR(BB36="",BD36=""),"",BD36-BB36)</f>
        <v/>
      </c>
      <c r="BR36" s="33">
        <f>IF(OR(AX36="",BD36=""),"",BD36-AX36)</f>
        <v/>
      </c>
      <c r="BS36" s="33">
        <f>IF(OR(AW36="",BD36=""),"",BD36-AW36)</f>
        <v/>
      </c>
      <c r="BT36" s="33">
        <f>IF(OR(AV36="",BD36=""),"",BD36-AV36)</f>
        <v/>
      </c>
      <c r="BU36" s="33">
        <f>IF(OR(AU36="",BD36=""),"",BD36-AU36)</f>
        <v/>
      </c>
      <c r="BV36" s="33">
        <f>IF(OR(BB36="",BG36=""),"",BG36-BB36)</f>
        <v/>
      </c>
      <c r="BW36" s="33">
        <f>IF(OR(BG36="",BH36=""),"",BH36-BG36)</f>
        <v/>
      </c>
      <c r="BX36" s="33">
        <f>IF(OR(BG36="",BI36=""),"",BI36-BG36)</f>
        <v/>
      </c>
      <c r="BY36" s="39">
        <f>IF(OR(AX36="",BK36=""),"",ROUND((BK36-AX36)/30.44,1))</f>
        <v/>
      </c>
      <c r="BZ36" s="37">
        <f>IF(BR36="","",IF(BR36&lt;=30,1,0))</f>
        <v/>
      </c>
      <c r="CA36" s="37">
        <f>IF(BR36="","",IF(BR36&gt;40.5,1,0))</f>
        <v/>
      </c>
      <c r="CB36" s="37">
        <f>IF(BR36="","",IF(BR36&gt;60,1,0))</f>
        <v/>
      </c>
      <c r="CC36" s="37">
        <f>IF(BR36="","",IF(BR36&gt;67,1,0))</f>
        <v/>
      </c>
      <c r="CD36" s="37">
        <f>IF(BT36="","",IF(BT36&lt;=30,1,0))</f>
        <v/>
      </c>
      <c r="CE36" s="37">
        <f>IF(BQ36="","",IF(BQ36&lt;=28,1,0))</f>
        <v/>
      </c>
      <c r="CF36" s="37">
        <f>IF(OR(BV36="",BE36&lt;&gt;"ניתוח"),"",IF(BV36&lt;=30,1,0))</f>
        <v/>
      </c>
      <c r="CG36" s="37">
        <f>IF(BU36="","",IF(BU36&lt;=56,1,0))</f>
        <v/>
      </c>
      <c r="CH36" s="37">
        <f>IF(BW36="","",IF(BW36&lt;=42,1,0))</f>
        <v/>
      </c>
      <c r="CI36" s="37">
        <f>IF(BX36="","",IF(BX36&lt;=100,1,0))</f>
        <v/>
      </c>
      <c r="CJ36" s="33">
        <f>IF(A36="","",COUNTIF(Delays!$B$5:$B$404,A36))</f>
        <v/>
      </c>
      <c r="CK36" s="35" t="n"/>
    </row>
    <row r="37">
      <c r="A37" s="33">
        <f>IF(OR(B37="",C37="",D37="",AX37=""),"","RET-"&amp;RIGHT(YEAR(AX37),2)&amp;"-"&amp;TEXT(B37,"000")&amp;"-"&amp;C37&amp;"-"&amp;D37&amp;"-"&amp;TEXT(MONTH(AX37),"00"))</f>
        <v/>
      </c>
      <c r="B37" s="34" t="n">
        <v>32</v>
      </c>
      <c r="C37" s="35" t="n"/>
      <c r="D37" s="35" t="n"/>
      <c r="E37" s="33">
        <f>IF(AX37="","",YEAR(AX37))</f>
        <v/>
      </c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6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7">
        <f>IF(Y37="","",IF(OR(Y37="III",Y37="IV",Y37="IVA",Y37="IVB",Y37="IVC"),1,0))</f>
        <v/>
      </c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35" t="n"/>
      <c r="AO37" s="35" t="n"/>
      <c r="AP37" s="35" t="n"/>
      <c r="AQ37" s="35" t="n"/>
      <c r="AR37" s="35" t="n"/>
      <c r="AS37" s="35" t="n"/>
      <c r="AT37" s="35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  <c r="BE37" s="35" t="n"/>
      <c r="BF37" s="35" t="n"/>
      <c r="BG37" s="38" t="n"/>
      <c r="BH37" s="38" t="n"/>
      <c r="BI37" s="38" t="n"/>
      <c r="BJ37" s="35" t="n"/>
      <c r="BK37" s="38" t="n"/>
      <c r="BL37" s="33">
        <f>IF(OR(AU37="",AV37=""),"",AV37-AU37)</f>
        <v/>
      </c>
      <c r="BM37" s="33">
        <f>IF(OR(AV37="",AW37=""),"",AW37-AV37)</f>
        <v/>
      </c>
      <c r="BN37" s="33">
        <f>IF(OR(AW37="",AX37=""),"",AX37-AW37)</f>
        <v/>
      </c>
      <c r="BO37" s="33">
        <f>IF(OR(AX37="",BA37=""),"",BA37-AX37)</f>
        <v/>
      </c>
      <c r="BP37" s="33">
        <f>IF(OR(AV37="",BA37=""),"",BA37-AV37)</f>
        <v/>
      </c>
      <c r="BQ37" s="33">
        <f>IF(OR(BB37="",BD37=""),"",BD37-BB37)</f>
        <v/>
      </c>
      <c r="BR37" s="33">
        <f>IF(OR(AX37="",BD37=""),"",BD37-AX37)</f>
        <v/>
      </c>
      <c r="BS37" s="33">
        <f>IF(OR(AW37="",BD37=""),"",BD37-AW37)</f>
        <v/>
      </c>
      <c r="BT37" s="33">
        <f>IF(OR(AV37="",BD37=""),"",BD37-AV37)</f>
        <v/>
      </c>
      <c r="BU37" s="33">
        <f>IF(OR(AU37="",BD37=""),"",BD37-AU37)</f>
        <v/>
      </c>
      <c r="BV37" s="33">
        <f>IF(OR(BB37="",BG37=""),"",BG37-BB37)</f>
        <v/>
      </c>
      <c r="BW37" s="33">
        <f>IF(OR(BG37="",BH37=""),"",BH37-BG37)</f>
        <v/>
      </c>
      <c r="BX37" s="33">
        <f>IF(OR(BG37="",BI37=""),"",BI37-BG37)</f>
        <v/>
      </c>
      <c r="BY37" s="39">
        <f>IF(OR(AX37="",BK37=""),"",ROUND((BK37-AX37)/30.44,1))</f>
        <v/>
      </c>
      <c r="BZ37" s="37">
        <f>IF(BR37="","",IF(BR37&lt;=30,1,0))</f>
        <v/>
      </c>
      <c r="CA37" s="37">
        <f>IF(BR37="","",IF(BR37&gt;40.5,1,0))</f>
        <v/>
      </c>
      <c r="CB37" s="37">
        <f>IF(BR37="","",IF(BR37&gt;60,1,0))</f>
        <v/>
      </c>
      <c r="CC37" s="37">
        <f>IF(BR37="","",IF(BR37&gt;67,1,0))</f>
        <v/>
      </c>
      <c r="CD37" s="37">
        <f>IF(BT37="","",IF(BT37&lt;=30,1,0))</f>
        <v/>
      </c>
      <c r="CE37" s="37">
        <f>IF(BQ37="","",IF(BQ37&lt;=28,1,0))</f>
        <v/>
      </c>
      <c r="CF37" s="37">
        <f>IF(OR(BV37="",BE37&lt;&gt;"ניתוח"),"",IF(BV37&lt;=30,1,0))</f>
        <v/>
      </c>
      <c r="CG37" s="37">
        <f>IF(BU37="","",IF(BU37&lt;=56,1,0))</f>
        <v/>
      </c>
      <c r="CH37" s="37">
        <f>IF(BW37="","",IF(BW37&lt;=42,1,0))</f>
        <v/>
      </c>
      <c r="CI37" s="37">
        <f>IF(BX37="","",IF(BX37&lt;=100,1,0))</f>
        <v/>
      </c>
      <c r="CJ37" s="33">
        <f>IF(A37="","",COUNTIF(Delays!$B$5:$B$404,A37))</f>
        <v/>
      </c>
      <c r="CK37" s="35" t="n"/>
    </row>
    <row r="38">
      <c r="A38" s="33">
        <f>IF(OR(B38="",C38="",D38="",AX38=""),"","RET-"&amp;RIGHT(YEAR(AX38),2)&amp;"-"&amp;TEXT(B38,"000")&amp;"-"&amp;C38&amp;"-"&amp;D38&amp;"-"&amp;TEXT(MONTH(AX38),"00"))</f>
        <v/>
      </c>
      <c r="B38" s="34" t="n">
        <v>33</v>
      </c>
      <c r="C38" s="35" t="n"/>
      <c r="D38" s="35" t="n"/>
      <c r="E38" s="33">
        <f>IF(AX38="","",YEAR(AX38))</f>
        <v/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6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7">
        <f>IF(Y38="","",IF(OR(Y38="III",Y38="IV",Y38="IVA",Y38="IVB",Y38="IVC"),1,0))</f>
        <v/>
      </c>
      <c r="AA38" s="35" t="n"/>
      <c r="AB38" s="35" t="n"/>
      <c r="AC38" s="35" t="n"/>
      <c r="AD38" s="35" t="n"/>
      <c r="AE38" s="35" t="n"/>
      <c r="AF38" s="35" t="n"/>
      <c r="AG38" s="35" t="n"/>
      <c r="AH38" s="35" t="n"/>
      <c r="AI38" s="35" t="n"/>
      <c r="AJ38" s="35" t="n"/>
      <c r="AK38" s="35" t="n"/>
      <c r="AL38" s="35" t="n"/>
      <c r="AM38" s="35" t="n"/>
      <c r="AN38" s="35" t="n"/>
      <c r="AO38" s="35" t="n"/>
      <c r="AP38" s="35" t="n"/>
      <c r="AQ38" s="35" t="n"/>
      <c r="AR38" s="35" t="n"/>
      <c r="AS38" s="35" t="n"/>
      <c r="AT38" s="35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  <c r="BE38" s="35" t="n"/>
      <c r="BF38" s="35" t="n"/>
      <c r="BG38" s="38" t="n"/>
      <c r="BH38" s="38" t="n"/>
      <c r="BI38" s="38" t="n"/>
      <c r="BJ38" s="35" t="n"/>
      <c r="BK38" s="38" t="n"/>
      <c r="BL38" s="33">
        <f>IF(OR(AU38="",AV38=""),"",AV38-AU38)</f>
        <v/>
      </c>
      <c r="BM38" s="33">
        <f>IF(OR(AV38="",AW38=""),"",AW38-AV38)</f>
        <v/>
      </c>
      <c r="BN38" s="33">
        <f>IF(OR(AW38="",AX38=""),"",AX38-AW38)</f>
        <v/>
      </c>
      <c r="BO38" s="33">
        <f>IF(OR(AX38="",BA38=""),"",BA38-AX38)</f>
        <v/>
      </c>
      <c r="BP38" s="33">
        <f>IF(OR(AV38="",BA38=""),"",BA38-AV38)</f>
        <v/>
      </c>
      <c r="BQ38" s="33">
        <f>IF(OR(BB38="",BD38=""),"",BD38-BB38)</f>
        <v/>
      </c>
      <c r="BR38" s="33">
        <f>IF(OR(AX38="",BD38=""),"",BD38-AX38)</f>
        <v/>
      </c>
      <c r="BS38" s="33">
        <f>IF(OR(AW38="",BD38=""),"",BD38-AW38)</f>
        <v/>
      </c>
      <c r="BT38" s="33">
        <f>IF(OR(AV38="",BD38=""),"",BD38-AV38)</f>
        <v/>
      </c>
      <c r="BU38" s="33">
        <f>IF(OR(AU38="",BD38=""),"",BD38-AU38)</f>
        <v/>
      </c>
      <c r="BV38" s="33">
        <f>IF(OR(BB38="",BG38=""),"",BG38-BB38)</f>
        <v/>
      </c>
      <c r="BW38" s="33">
        <f>IF(OR(BG38="",BH38=""),"",BH38-BG38)</f>
        <v/>
      </c>
      <c r="BX38" s="33">
        <f>IF(OR(BG38="",BI38=""),"",BI38-BG38)</f>
        <v/>
      </c>
      <c r="BY38" s="39">
        <f>IF(OR(AX38="",BK38=""),"",ROUND((BK38-AX38)/30.44,1))</f>
        <v/>
      </c>
      <c r="BZ38" s="37">
        <f>IF(BR38="","",IF(BR38&lt;=30,1,0))</f>
        <v/>
      </c>
      <c r="CA38" s="37">
        <f>IF(BR38="","",IF(BR38&gt;40.5,1,0))</f>
        <v/>
      </c>
      <c r="CB38" s="37">
        <f>IF(BR38="","",IF(BR38&gt;60,1,0))</f>
        <v/>
      </c>
      <c r="CC38" s="37">
        <f>IF(BR38="","",IF(BR38&gt;67,1,0))</f>
        <v/>
      </c>
      <c r="CD38" s="37">
        <f>IF(BT38="","",IF(BT38&lt;=30,1,0))</f>
        <v/>
      </c>
      <c r="CE38" s="37">
        <f>IF(BQ38="","",IF(BQ38&lt;=28,1,0))</f>
        <v/>
      </c>
      <c r="CF38" s="37">
        <f>IF(OR(BV38="",BE38&lt;&gt;"ניתוח"),"",IF(BV38&lt;=30,1,0))</f>
        <v/>
      </c>
      <c r="CG38" s="37">
        <f>IF(BU38="","",IF(BU38&lt;=56,1,0))</f>
        <v/>
      </c>
      <c r="CH38" s="37">
        <f>IF(BW38="","",IF(BW38&lt;=42,1,0))</f>
        <v/>
      </c>
      <c r="CI38" s="37">
        <f>IF(BX38="","",IF(BX38&lt;=100,1,0))</f>
        <v/>
      </c>
      <c r="CJ38" s="33">
        <f>IF(A38="","",COUNTIF(Delays!$B$5:$B$404,A38))</f>
        <v/>
      </c>
      <c r="CK38" s="35" t="n"/>
    </row>
    <row r="39">
      <c r="A39" s="33">
        <f>IF(OR(B39="",C39="",D39="",AX39=""),"","RET-"&amp;RIGHT(YEAR(AX39),2)&amp;"-"&amp;TEXT(B39,"000")&amp;"-"&amp;C39&amp;"-"&amp;D39&amp;"-"&amp;TEXT(MONTH(AX39),"00"))</f>
        <v/>
      </c>
      <c r="B39" s="34" t="n">
        <v>34</v>
      </c>
      <c r="C39" s="35" t="n"/>
      <c r="D39" s="35" t="n"/>
      <c r="E39" s="33">
        <f>IF(AX39="","",YEAR(AX39))</f>
        <v/>
      </c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6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7">
        <f>IF(Y39="","",IF(OR(Y39="III",Y39="IV",Y39="IVA",Y39="IVB",Y39="IVC"),1,0))</f>
        <v/>
      </c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5" t="n"/>
      <c r="AN39" s="35" t="n"/>
      <c r="AO39" s="35" t="n"/>
      <c r="AP39" s="35" t="n"/>
      <c r="AQ39" s="35" t="n"/>
      <c r="AR39" s="35" t="n"/>
      <c r="AS39" s="35" t="n"/>
      <c r="AT39" s="35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  <c r="BE39" s="35" t="n"/>
      <c r="BF39" s="35" t="n"/>
      <c r="BG39" s="38" t="n"/>
      <c r="BH39" s="38" t="n"/>
      <c r="BI39" s="38" t="n"/>
      <c r="BJ39" s="35" t="n"/>
      <c r="BK39" s="38" t="n"/>
      <c r="BL39" s="33">
        <f>IF(OR(AU39="",AV39=""),"",AV39-AU39)</f>
        <v/>
      </c>
      <c r="BM39" s="33">
        <f>IF(OR(AV39="",AW39=""),"",AW39-AV39)</f>
        <v/>
      </c>
      <c r="BN39" s="33">
        <f>IF(OR(AW39="",AX39=""),"",AX39-AW39)</f>
        <v/>
      </c>
      <c r="BO39" s="33">
        <f>IF(OR(AX39="",BA39=""),"",BA39-AX39)</f>
        <v/>
      </c>
      <c r="BP39" s="33">
        <f>IF(OR(AV39="",BA39=""),"",BA39-AV39)</f>
        <v/>
      </c>
      <c r="BQ39" s="33">
        <f>IF(OR(BB39="",BD39=""),"",BD39-BB39)</f>
        <v/>
      </c>
      <c r="BR39" s="33">
        <f>IF(OR(AX39="",BD39=""),"",BD39-AX39)</f>
        <v/>
      </c>
      <c r="BS39" s="33">
        <f>IF(OR(AW39="",BD39=""),"",BD39-AW39)</f>
        <v/>
      </c>
      <c r="BT39" s="33">
        <f>IF(OR(AV39="",BD39=""),"",BD39-AV39)</f>
        <v/>
      </c>
      <c r="BU39" s="33">
        <f>IF(OR(AU39="",BD39=""),"",BD39-AU39)</f>
        <v/>
      </c>
      <c r="BV39" s="33">
        <f>IF(OR(BB39="",BG39=""),"",BG39-BB39)</f>
        <v/>
      </c>
      <c r="BW39" s="33">
        <f>IF(OR(BG39="",BH39=""),"",BH39-BG39)</f>
        <v/>
      </c>
      <c r="BX39" s="33">
        <f>IF(OR(BG39="",BI39=""),"",BI39-BG39)</f>
        <v/>
      </c>
      <c r="BY39" s="39">
        <f>IF(OR(AX39="",BK39=""),"",ROUND((BK39-AX39)/30.44,1))</f>
        <v/>
      </c>
      <c r="BZ39" s="37">
        <f>IF(BR39="","",IF(BR39&lt;=30,1,0))</f>
        <v/>
      </c>
      <c r="CA39" s="37">
        <f>IF(BR39="","",IF(BR39&gt;40.5,1,0))</f>
        <v/>
      </c>
      <c r="CB39" s="37">
        <f>IF(BR39="","",IF(BR39&gt;60,1,0))</f>
        <v/>
      </c>
      <c r="CC39" s="37">
        <f>IF(BR39="","",IF(BR39&gt;67,1,0))</f>
        <v/>
      </c>
      <c r="CD39" s="37">
        <f>IF(BT39="","",IF(BT39&lt;=30,1,0))</f>
        <v/>
      </c>
      <c r="CE39" s="37">
        <f>IF(BQ39="","",IF(BQ39&lt;=28,1,0))</f>
        <v/>
      </c>
      <c r="CF39" s="37">
        <f>IF(OR(BV39="",BE39&lt;&gt;"ניתוח"),"",IF(BV39&lt;=30,1,0))</f>
        <v/>
      </c>
      <c r="CG39" s="37">
        <f>IF(BU39="","",IF(BU39&lt;=56,1,0))</f>
        <v/>
      </c>
      <c r="CH39" s="37">
        <f>IF(BW39="","",IF(BW39&lt;=42,1,0))</f>
        <v/>
      </c>
      <c r="CI39" s="37">
        <f>IF(BX39="","",IF(BX39&lt;=100,1,0))</f>
        <v/>
      </c>
      <c r="CJ39" s="33">
        <f>IF(A39="","",COUNTIF(Delays!$B$5:$B$404,A39))</f>
        <v/>
      </c>
      <c r="CK39" s="35" t="n"/>
    </row>
    <row r="40">
      <c r="A40" s="33">
        <f>IF(OR(B40="",C40="",D40="",AX40=""),"","RET-"&amp;RIGHT(YEAR(AX40),2)&amp;"-"&amp;TEXT(B40,"000")&amp;"-"&amp;C40&amp;"-"&amp;D40&amp;"-"&amp;TEXT(MONTH(AX40),"00"))</f>
        <v/>
      </c>
      <c r="B40" s="34" t="n">
        <v>35</v>
      </c>
      <c r="C40" s="35" t="n"/>
      <c r="D40" s="35" t="n"/>
      <c r="E40" s="33">
        <f>IF(AX40="","",YEAR(AX40))</f>
        <v/>
      </c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6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7">
        <f>IF(Y40="","",IF(OR(Y40="III",Y40="IV",Y40="IVA",Y40="IVB",Y40="IVC"),1,0))</f>
        <v/>
      </c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5" t="n"/>
      <c r="AN40" s="35" t="n"/>
      <c r="AO40" s="35" t="n"/>
      <c r="AP40" s="35" t="n"/>
      <c r="AQ40" s="35" t="n"/>
      <c r="AR40" s="35" t="n"/>
      <c r="AS40" s="35" t="n"/>
      <c r="AT40" s="35" t="n"/>
      <c r="AU40" s="38" t="n"/>
      <c r="AV40" s="38" t="n"/>
      <c r="AW40" s="38" t="n"/>
      <c r="AX40" s="38" t="n"/>
      <c r="AY40" s="38" t="n"/>
      <c r="AZ40" s="38" t="n"/>
      <c r="BA40" s="38" t="n"/>
      <c r="BB40" s="38" t="n"/>
      <c r="BC40" s="38" t="n"/>
      <c r="BD40" s="38" t="n"/>
      <c r="BE40" s="35" t="n"/>
      <c r="BF40" s="35" t="n"/>
      <c r="BG40" s="38" t="n"/>
      <c r="BH40" s="38" t="n"/>
      <c r="BI40" s="38" t="n"/>
      <c r="BJ40" s="35" t="n"/>
      <c r="BK40" s="38" t="n"/>
      <c r="BL40" s="33">
        <f>IF(OR(AU40="",AV40=""),"",AV40-AU40)</f>
        <v/>
      </c>
      <c r="BM40" s="33">
        <f>IF(OR(AV40="",AW40=""),"",AW40-AV40)</f>
        <v/>
      </c>
      <c r="BN40" s="33">
        <f>IF(OR(AW40="",AX40=""),"",AX40-AW40)</f>
        <v/>
      </c>
      <c r="BO40" s="33">
        <f>IF(OR(AX40="",BA40=""),"",BA40-AX40)</f>
        <v/>
      </c>
      <c r="BP40" s="33">
        <f>IF(OR(AV40="",BA40=""),"",BA40-AV40)</f>
        <v/>
      </c>
      <c r="BQ40" s="33">
        <f>IF(OR(BB40="",BD40=""),"",BD40-BB40)</f>
        <v/>
      </c>
      <c r="BR40" s="33">
        <f>IF(OR(AX40="",BD40=""),"",BD40-AX40)</f>
        <v/>
      </c>
      <c r="BS40" s="33">
        <f>IF(OR(AW40="",BD40=""),"",BD40-AW40)</f>
        <v/>
      </c>
      <c r="BT40" s="33">
        <f>IF(OR(AV40="",BD40=""),"",BD40-AV40)</f>
        <v/>
      </c>
      <c r="BU40" s="33">
        <f>IF(OR(AU40="",BD40=""),"",BD40-AU40)</f>
        <v/>
      </c>
      <c r="BV40" s="33">
        <f>IF(OR(BB40="",BG40=""),"",BG40-BB40)</f>
        <v/>
      </c>
      <c r="BW40" s="33">
        <f>IF(OR(BG40="",BH40=""),"",BH40-BG40)</f>
        <v/>
      </c>
      <c r="BX40" s="33">
        <f>IF(OR(BG40="",BI40=""),"",BI40-BG40)</f>
        <v/>
      </c>
      <c r="BY40" s="39">
        <f>IF(OR(AX40="",BK40=""),"",ROUND((BK40-AX40)/30.44,1))</f>
        <v/>
      </c>
      <c r="BZ40" s="37">
        <f>IF(BR40="","",IF(BR40&lt;=30,1,0))</f>
        <v/>
      </c>
      <c r="CA40" s="37">
        <f>IF(BR40="","",IF(BR40&gt;40.5,1,0))</f>
        <v/>
      </c>
      <c r="CB40" s="37">
        <f>IF(BR40="","",IF(BR40&gt;60,1,0))</f>
        <v/>
      </c>
      <c r="CC40" s="37">
        <f>IF(BR40="","",IF(BR40&gt;67,1,0))</f>
        <v/>
      </c>
      <c r="CD40" s="37">
        <f>IF(BT40="","",IF(BT40&lt;=30,1,0))</f>
        <v/>
      </c>
      <c r="CE40" s="37">
        <f>IF(BQ40="","",IF(BQ40&lt;=28,1,0))</f>
        <v/>
      </c>
      <c r="CF40" s="37">
        <f>IF(OR(BV40="",BE40&lt;&gt;"ניתוח"),"",IF(BV40&lt;=30,1,0))</f>
        <v/>
      </c>
      <c r="CG40" s="37">
        <f>IF(BU40="","",IF(BU40&lt;=56,1,0))</f>
        <v/>
      </c>
      <c r="CH40" s="37">
        <f>IF(BW40="","",IF(BW40&lt;=42,1,0))</f>
        <v/>
      </c>
      <c r="CI40" s="37">
        <f>IF(BX40="","",IF(BX40&lt;=100,1,0))</f>
        <v/>
      </c>
      <c r="CJ40" s="33">
        <f>IF(A40="","",COUNTIF(Delays!$B$5:$B$404,A40))</f>
        <v/>
      </c>
      <c r="CK40" s="35" t="n"/>
    </row>
    <row r="41">
      <c r="A41" s="33">
        <f>IF(OR(B41="",C41="",D41="",AX41=""),"","RET-"&amp;RIGHT(YEAR(AX41),2)&amp;"-"&amp;TEXT(B41,"000")&amp;"-"&amp;C41&amp;"-"&amp;D41&amp;"-"&amp;TEXT(MONTH(AX41),"00"))</f>
        <v/>
      </c>
      <c r="B41" s="34" t="n">
        <v>36</v>
      </c>
      <c r="C41" s="35" t="n"/>
      <c r="D41" s="35" t="n"/>
      <c r="E41" s="33">
        <f>IF(AX41="","",YEAR(AX41))</f>
        <v/>
      </c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6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7">
        <f>IF(Y41="","",IF(OR(Y41="III",Y41="IV",Y41="IVA",Y41="IVB",Y41="IVC"),1,0))</f>
        <v/>
      </c>
      <c r="AA41" s="35" t="n"/>
      <c r="AB41" s="35" t="n"/>
      <c r="AC41" s="35" t="n"/>
      <c r="AD41" s="35" t="n"/>
      <c r="AE41" s="35" t="n"/>
      <c r="AF41" s="35" t="n"/>
      <c r="AG41" s="35" t="n"/>
      <c r="AH41" s="35" t="n"/>
      <c r="AI41" s="35" t="n"/>
      <c r="AJ41" s="35" t="n"/>
      <c r="AK41" s="35" t="n"/>
      <c r="AL41" s="35" t="n"/>
      <c r="AM41" s="35" t="n"/>
      <c r="AN41" s="35" t="n"/>
      <c r="AO41" s="35" t="n"/>
      <c r="AP41" s="35" t="n"/>
      <c r="AQ41" s="35" t="n"/>
      <c r="AR41" s="35" t="n"/>
      <c r="AS41" s="35" t="n"/>
      <c r="AT41" s="35" t="n"/>
      <c r="AU41" s="38" t="n"/>
      <c r="AV41" s="38" t="n"/>
      <c r="AW41" s="38" t="n"/>
      <c r="AX41" s="38" t="n"/>
      <c r="AY41" s="38" t="n"/>
      <c r="AZ41" s="38" t="n"/>
      <c r="BA41" s="38" t="n"/>
      <c r="BB41" s="38" t="n"/>
      <c r="BC41" s="38" t="n"/>
      <c r="BD41" s="38" t="n"/>
      <c r="BE41" s="35" t="n"/>
      <c r="BF41" s="35" t="n"/>
      <c r="BG41" s="38" t="n"/>
      <c r="BH41" s="38" t="n"/>
      <c r="BI41" s="38" t="n"/>
      <c r="BJ41" s="35" t="n"/>
      <c r="BK41" s="38" t="n"/>
      <c r="BL41" s="33">
        <f>IF(OR(AU41="",AV41=""),"",AV41-AU41)</f>
        <v/>
      </c>
      <c r="BM41" s="33">
        <f>IF(OR(AV41="",AW41=""),"",AW41-AV41)</f>
        <v/>
      </c>
      <c r="BN41" s="33">
        <f>IF(OR(AW41="",AX41=""),"",AX41-AW41)</f>
        <v/>
      </c>
      <c r="BO41" s="33">
        <f>IF(OR(AX41="",BA41=""),"",BA41-AX41)</f>
        <v/>
      </c>
      <c r="BP41" s="33">
        <f>IF(OR(AV41="",BA41=""),"",BA41-AV41)</f>
        <v/>
      </c>
      <c r="BQ41" s="33">
        <f>IF(OR(BB41="",BD41=""),"",BD41-BB41)</f>
        <v/>
      </c>
      <c r="BR41" s="33">
        <f>IF(OR(AX41="",BD41=""),"",BD41-AX41)</f>
        <v/>
      </c>
      <c r="BS41" s="33">
        <f>IF(OR(AW41="",BD41=""),"",BD41-AW41)</f>
        <v/>
      </c>
      <c r="BT41" s="33">
        <f>IF(OR(AV41="",BD41=""),"",BD41-AV41)</f>
        <v/>
      </c>
      <c r="BU41" s="33">
        <f>IF(OR(AU41="",BD41=""),"",BD41-AU41)</f>
        <v/>
      </c>
      <c r="BV41" s="33">
        <f>IF(OR(BB41="",BG41=""),"",BG41-BB41)</f>
        <v/>
      </c>
      <c r="BW41" s="33">
        <f>IF(OR(BG41="",BH41=""),"",BH41-BG41)</f>
        <v/>
      </c>
      <c r="BX41" s="33">
        <f>IF(OR(BG41="",BI41=""),"",BI41-BG41)</f>
        <v/>
      </c>
      <c r="BY41" s="39">
        <f>IF(OR(AX41="",BK41=""),"",ROUND((BK41-AX41)/30.44,1))</f>
        <v/>
      </c>
      <c r="BZ41" s="37">
        <f>IF(BR41="","",IF(BR41&lt;=30,1,0))</f>
        <v/>
      </c>
      <c r="CA41" s="37">
        <f>IF(BR41="","",IF(BR41&gt;40.5,1,0))</f>
        <v/>
      </c>
      <c r="CB41" s="37">
        <f>IF(BR41="","",IF(BR41&gt;60,1,0))</f>
        <v/>
      </c>
      <c r="CC41" s="37">
        <f>IF(BR41="","",IF(BR41&gt;67,1,0))</f>
        <v/>
      </c>
      <c r="CD41" s="37">
        <f>IF(BT41="","",IF(BT41&lt;=30,1,0))</f>
        <v/>
      </c>
      <c r="CE41" s="37">
        <f>IF(BQ41="","",IF(BQ41&lt;=28,1,0))</f>
        <v/>
      </c>
      <c r="CF41" s="37">
        <f>IF(OR(BV41="",BE41&lt;&gt;"ניתוח"),"",IF(BV41&lt;=30,1,0))</f>
        <v/>
      </c>
      <c r="CG41" s="37">
        <f>IF(BU41="","",IF(BU41&lt;=56,1,0))</f>
        <v/>
      </c>
      <c r="CH41" s="37">
        <f>IF(BW41="","",IF(BW41&lt;=42,1,0))</f>
        <v/>
      </c>
      <c r="CI41" s="37">
        <f>IF(BX41="","",IF(BX41&lt;=100,1,0))</f>
        <v/>
      </c>
      <c r="CJ41" s="33">
        <f>IF(A41="","",COUNTIF(Delays!$B$5:$B$404,A41))</f>
        <v/>
      </c>
      <c r="CK41" s="35" t="n"/>
    </row>
    <row r="42">
      <c r="A42" s="33">
        <f>IF(OR(B42="",C42="",D42="",AX42=""),"","RET-"&amp;RIGHT(YEAR(AX42),2)&amp;"-"&amp;TEXT(B42,"000")&amp;"-"&amp;C42&amp;"-"&amp;D42&amp;"-"&amp;TEXT(MONTH(AX42),"00"))</f>
        <v/>
      </c>
      <c r="B42" s="34" t="n">
        <v>37</v>
      </c>
      <c r="C42" s="35" t="n"/>
      <c r="D42" s="35" t="n"/>
      <c r="E42" s="33">
        <f>IF(AX42="","",YEAR(AX42))</f>
        <v/>
      </c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6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7">
        <f>IF(Y42="","",IF(OR(Y42="III",Y42="IV",Y42="IVA",Y42="IVB",Y42="IVC"),1,0))</f>
        <v/>
      </c>
      <c r="AA42" s="35" t="n"/>
      <c r="AB42" s="35" t="n"/>
      <c r="AC42" s="35" t="n"/>
      <c r="AD42" s="35" t="n"/>
      <c r="AE42" s="35" t="n"/>
      <c r="AF42" s="35" t="n"/>
      <c r="AG42" s="35" t="n"/>
      <c r="AH42" s="35" t="n"/>
      <c r="AI42" s="35" t="n"/>
      <c r="AJ42" s="35" t="n"/>
      <c r="AK42" s="35" t="n"/>
      <c r="AL42" s="35" t="n"/>
      <c r="AM42" s="35" t="n"/>
      <c r="AN42" s="35" t="n"/>
      <c r="AO42" s="35" t="n"/>
      <c r="AP42" s="35" t="n"/>
      <c r="AQ42" s="35" t="n"/>
      <c r="AR42" s="35" t="n"/>
      <c r="AS42" s="35" t="n"/>
      <c r="AT42" s="35" t="n"/>
      <c r="AU42" s="38" t="n"/>
      <c r="AV42" s="38" t="n"/>
      <c r="AW42" s="38" t="n"/>
      <c r="AX42" s="38" t="n"/>
      <c r="AY42" s="38" t="n"/>
      <c r="AZ42" s="38" t="n"/>
      <c r="BA42" s="38" t="n"/>
      <c r="BB42" s="38" t="n"/>
      <c r="BC42" s="38" t="n"/>
      <c r="BD42" s="38" t="n"/>
      <c r="BE42" s="35" t="n"/>
      <c r="BF42" s="35" t="n"/>
      <c r="BG42" s="38" t="n"/>
      <c r="BH42" s="38" t="n"/>
      <c r="BI42" s="38" t="n"/>
      <c r="BJ42" s="35" t="n"/>
      <c r="BK42" s="38" t="n"/>
      <c r="BL42" s="33">
        <f>IF(OR(AU42="",AV42=""),"",AV42-AU42)</f>
        <v/>
      </c>
      <c r="BM42" s="33">
        <f>IF(OR(AV42="",AW42=""),"",AW42-AV42)</f>
        <v/>
      </c>
      <c r="BN42" s="33">
        <f>IF(OR(AW42="",AX42=""),"",AX42-AW42)</f>
        <v/>
      </c>
      <c r="BO42" s="33">
        <f>IF(OR(AX42="",BA42=""),"",BA42-AX42)</f>
        <v/>
      </c>
      <c r="BP42" s="33">
        <f>IF(OR(AV42="",BA42=""),"",BA42-AV42)</f>
        <v/>
      </c>
      <c r="BQ42" s="33">
        <f>IF(OR(BB42="",BD42=""),"",BD42-BB42)</f>
        <v/>
      </c>
      <c r="BR42" s="33">
        <f>IF(OR(AX42="",BD42=""),"",BD42-AX42)</f>
        <v/>
      </c>
      <c r="BS42" s="33">
        <f>IF(OR(AW42="",BD42=""),"",BD42-AW42)</f>
        <v/>
      </c>
      <c r="BT42" s="33">
        <f>IF(OR(AV42="",BD42=""),"",BD42-AV42)</f>
        <v/>
      </c>
      <c r="BU42" s="33">
        <f>IF(OR(AU42="",BD42=""),"",BD42-AU42)</f>
        <v/>
      </c>
      <c r="BV42" s="33">
        <f>IF(OR(BB42="",BG42=""),"",BG42-BB42)</f>
        <v/>
      </c>
      <c r="BW42" s="33">
        <f>IF(OR(BG42="",BH42=""),"",BH42-BG42)</f>
        <v/>
      </c>
      <c r="BX42" s="33">
        <f>IF(OR(BG42="",BI42=""),"",BI42-BG42)</f>
        <v/>
      </c>
      <c r="BY42" s="39">
        <f>IF(OR(AX42="",BK42=""),"",ROUND((BK42-AX42)/30.44,1))</f>
        <v/>
      </c>
      <c r="BZ42" s="37">
        <f>IF(BR42="","",IF(BR42&lt;=30,1,0))</f>
        <v/>
      </c>
      <c r="CA42" s="37">
        <f>IF(BR42="","",IF(BR42&gt;40.5,1,0))</f>
        <v/>
      </c>
      <c r="CB42" s="37">
        <f>IF(BR42="","",IF(BR42&gt;60,1,0))</f>
        <v/>
      </c>
      <c r="CC42" s="37">
        <f>IF(BR42="","",IF(BR42&gt;67,1,0))</f>
        <v/>
      </c>
      <c r="CD42" s="37">
        <f>IF(BT42="","",IF(BT42&lt;=30,1,0))</f>
        <v/>
      </c>
      <c r="CE42" s="37">
        <f>IF(BQ42="","",IF(BQ42&lt;=28,1,0))</f>
        <v/>
      </c>
      <c r="CF42" s="37">
        <f>IF(OR(BV42="",BE42&lt;&gt;"ניתוח"),"",IF(BV42&lt;=30,1,0))</f>
        <v/>
      </c>
      <c r="CG42" s="37">
        <f>IF(BU42="","",IF(BU42&lt;=56,1,0))</f>
        <v/>
      </c>
      <c r="CH42" s="37">
        <f>IF(BW42="","",IF(BW42&lt;=42,1,0))</f>
        <v/>
      </c>
      <c r="CI42" s="37">
        <f>IF(BX42="","",IF(BX42&lt;=100,1,0))</f>
        <v/>
      </c>
      <c r="CJ42" s="33">
        <f>IF(A42="","",COUNTIF(Delays!$B$5:$B$404,A42))</f>
        <v/>
      </c>
      <c r="CK42" s="35" t="n"/>
    </row>
    <row r="43">
      <c r="A43" s="33">
        <f>IF(OR(B43="",C43="",D43="",AX43=""),"","RET-"&amp;RIGHT(YEAR(AX43),2)&amp;"-"&amp;TEXT(B43,"000")&amp;"-"&amp;C43&amp;"-"&amp;D43&amp;"-"&amp;TEXT(MONTH(AX43),"00"))</f>
        <v/>
      </c>
      <c r="B43" s="34" t="n">
        <v>38</v>
      </c>
      <c r="C43" s="35" t="n"/>
      <c r="D43" s="35" t="n"/>
      <c r="E43" s="33">
        <f>IF(AX43="","",YEAR(AX43))</f>
        <v/>
      </c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6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7">
        <f>IF(Y43="","",IF(OR(Y43="III",Y43="IV",Y43="IVA",Y43="IVB",Y43="IVC"),1,0))</f>
        <v/>
      </c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5" t="n"/>
      <c r="AN43" s="35" t="n"/>
      <c r="AO43" s="35" t="n"/>
      <c r="AP43" s="35" t="n"/>
      <c r="AQ43" s="35" t="n"/>
      <c r="AR43" s="35" t="n"/>
      <c r="AS43" s="35" t="n"/>
      <c r="AT43" s="35" t="n"/>
      <c r="AU43" s="38" t="n"/>
      <c r="AV43" s="38" t="n"/>
      <c r="AW43" s="38" t="n"/>
      <c r="AX43" s="38" t="n"/>
      <c r="AY43" s="38" t="n"/>
      <c r="AZ43" s="38" t="n"/>
      <c r="BA43" s="38" t="n"/>
      <c r="BB43" s="38" t="n"/>
      <c r="BC43" s="38" t="n"/>
      <c r="BD43" s="38" t="n"/>
      <c r="BE43" s="35" t="n"/>
      <c r="BF43" s="35" t="n"/>
      <c r="BG43" s="38" t="n"/>
      <c r="BH43" s="38" t="n"/>
      <c r="BI43" s="38" t="n"/>
      <c r="BJ43" s="35" t="n"/>
      <c r="BK43" s="38" t="n"/>
      <c r="BL43" s="33">
        <f>IF(OR(AU43="",AV43=""),"",AV43-AU43)</f>
        <v/>
      </c>
      <c r="BM43" s="33">
        <f>IF(OR(AV43="",AW43=""),"",AW43-AV43)</f>
        <v/>
      </c>
      <c r="BN43" s="33">
        <f>IF(OR(AW43="",AX43=""),"",AX43-AW43)</f>
        <v/>
      </c>
      <c r="BO43" s="33">
        <f>IF(OR(AX43="",BA43=""),"",BA43-AX43)</f>
        <v/>
      </c>
      <c r="BP43" s="33">
        <f>IF(OR(AV43="",BA43=""),"",BA43-AV43)</f>
        <v/>
      </c>
      <c r="BQ43" s="33">
        <f>IF(OR(BB43="",BD43=""),"",BD43-BB43)</f>
        <v/>
      </c>
      <c r="BR43" s="33">
        <f>IF(OR(AX43="",BD43=""),"",BD43-AX43)</f>
        <v/>
      </c>
      <c r="BS43" s="33">
        <f>IF(OR(AW43="",BD43=""),"",BD43-AW43)</f>
        <v/>
      </c>
      <c r="BT43" s="33">
        <f>IF(OR(AV43="",BD43=""),"",BD43-AV43)</f>
        <v/>
      </c>
      <c r="BU43" s="33">
        <f>IF(OR(AU43="",BD43=""),"",BD43-AU43)</f>
        <v/>
      </c>
      <c r="BV43" s="33">
        <f>IF(OR(BB43="",BG43=""),"",BG43-BB43)</f>
        <v/>
      </c>
      <c r="BW43" s="33">
        <f>IF(OR(BG43="",BH43=""),"",BH43-BG43)</f>
        <v/>
      </c>
      <c r="BX43" s="33">
        <f>IF(OR(BG43="",BI43=""),"",BI43-BG43)</f>
        <v/>
      </c>
      <c r="BY43" s="39">
        <f>IF(OR(AX43="",BK43=""),"",ROUND((BK43-AX43)/30.44,1))</f>
        <v/>
      </c>
      <c r="BZ43" s="37">
        <f>IF(BR43="","",IF(BR43&lt;=30,1,0))</f>
        <v/>
      </c>
      <c r="CA43" s="37">
        <f>IF(BR43="","",IF(BR43&gt;40.5,1,0))</f>
        <v/>
      </c>
      <c r="CB43" s="37">
        <f>IF(BR43="","",IF(BR43&gt;60,1,0))</f>
        <v/>
      </c>
      <c r="CC43" s="37">
        <f>IF(BR43="","",IF(BR43&gt;67,1,0))</f>
        <v/>
      </c>
      <c r="CD43" s="37">
        <f>IF(BT43="","",IF(BT43&lt;=30,1,0))</f>
        <v/>
      </c>
      <c r="CE43" s="37">
        <f>IF(BQ43="","",IF(BQ43&lt;=28,1,0))</f>
        <v/>
      </c>
      <c r="CF43" s="37">
        <f>IF(OR(BV43="",BE43&lt;&gt;"ניתוח"),"",IF(BV43&lt;=30,1,0))</f>
        <v/>
      </c>
      <c r="CG43" s="37">
        <f>IF(BU43="","",IF(BU43&lt;=56,1,0))</f>
        <v/>
      </c>
      <c r="CH43" s="37">
        <f>IF(BW43="","",IF(BW43&lt;=42,1,0))</f>
        <v/>
      </c>
      <c r="CI43" s="37">
        <f>IF(BX43="","",IF(BX43&lt;=100,1,0))</f>
        <v/>
      </c>
      <c r="CJ43" s="33">
        <f>IF(A43="","",COUNTIF(Delays!$B$5:$B$404,A43))</f>
        <v/>
      </c>
      <c r="CK43" s="35" t="n"/>
    </row>
    <row r="44">
      <c r="A44" s="33">
        <f>IF(OR(B44="",C44="",D44="",AX44=""),"","RET-"&amp;RIGHT(YEAR(AX44),2)&amp;"-"&amp;TEXT(B44,"000")&amp;"-"&amp;C44&amp;"-"&amp;D44&amp;"-"&amp;TEXT(MONTH(AX44),"00"))</f>
        <v/>
      </c>
      <c r="B44" s="34" t="n">
        <v>39</v>
      </c>
      <c r="C44" s="35" t="n"/>
      <c r="D44" s="35" t="n"/>
      <c r="E44" s="33">
        <f>IF(AX44="","",YEAR(AX44))</f>
        <v/>
      </c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6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7">
        <f>IF(Y44="","",IF(OR(Y44="III",Y44="IV",Y44="IVA",Y44="IVB",Y44="IVC"),1,0))</f>
        <v/>
      </c>
      <c r="AA44" s="35" t="n"/>
      <c r="AB44" s="35" t="n"/>
      <c r="AC44" s="35" t="n"/>
      <c r="AD44" s="35" t="n"/>
      <c r="AE44" s="35" t="n"/>
      <c r="AF44" s="35" t="n"/>
      <c r="AG44" s="35" t="n"/>
      <c r="AH44" s="35" t="n"/>
      <c r="AI44" s="35" t="n"/>
      <c r="AJ44" s="35" t="n"/>
      <c r="AK44" s="35" t="n"/>
      <c r="AL44" s="35" t="n"/>
      <c r="AM44" s="35" t="n"/>
      <c r="AN44" s="35" t="n"/>
      <c r="AO44" s="35" t="n"/>
      <c r="AP44" s="35" t="n"/>
      <c r="AQ44" s="35" t="n"/>
      <c r="AR44" s="35" t="n"/>
      <c r="AS44" s="35" t="n"/>
      <c r="AT44" s="35" t="n"/>
      <c r="AU44" s="38" t="n"/>
      <c r="AV44" s="38" t="n"/>
      <c r="AW44" s="38" t="n"/>
      <c r="AX44" s="38" t="n"/>
      <c r="AY44" s="38" t="n"/>
      <c r="AZ44" s="38" t="n"/>
      <c r="BA44" s="38" t="n"/>
      <c r="BB44" s="38" t="n"/>
      <c r="BC44" s="38" t="n"/>
      <c r="BD44" s="38" t="n"/>
      <c r="BE44" s="35" t="n"/>
      <c r="BF44" s="35" t="n"/>
      <c r="BG44" s="38" t="n"/>
      <c r="BH44" s="38" t="n"/>
      <c r="BI44" s="38" t="n"/>
      <c r="BJ44" s="35" t="n"/>
      <c r="BK44" s="38" t="n"/>
      <c r="BL44" s="33">
        <f>IF(OR(AU44="",AV44=""),"",AV44-AU44)</f>
        <v/>
      </c>
      <c r="BM44" s="33">
        <f>IF(OR(AV44="",AW44=""),"",AW44-AV44)</f>
        <v/>
      </c>
      <c r="BN44" s="33">
        <f>IF(OR(AW44="",AX44=""),"",AX44-AW44)</f>
        <v/>
      </c>
      <c r="BO44" s="33">
        <f>IF(OR(AX44="",BA44=""),"",BA44-AX44)</f>
        <v/>
      </c>
      <c r="BP44" s="33">
        <f>IF(OR(AV44="",BA44=""),"",BA44-AV44)</f>
        <v/>
      </c>
      <c r="BQ44" s="33">
        <f>IF(OR(BB44="",BD44=""),"",BD44-BB44)</f>
        <v/>
      </c>
      <c r="BR44" s="33">
        <f>IF(OR(AX44="",BD44=""),"",BD44-AX44)</f>
        <v/>
      </c>
      <c r="BS44" s="33">
        <f>IF(OR(AW44="",BD44=""),"",BD44-AW44)</f>
        <v/>
      </c>
      <c r="BT44" s="33">
        <f>IF(OR(AV44="",BD44=""),"",BD44-AV44)</f>
        <v/>
      </c>
      <c r="BU44" s="33">
        <f>IF(OR(AU44="",BD44=""),"",BD44-AU44)</f>
        <v/>
      </c>
      <c r="BV44" s="33">
        <f>IF(OR(BB44="",BG44=""),"",BG44-BB44)</f>
        <v/>
      </c>
      <c r="BW44" s="33">
        <f>IF(OR(BG44="",BH44=""),"",BH44-BG44)</f>
        <v/>
      </c>
      <c r="BX44" s="33">
        <f>IF(OR(BG44="",BI44=""),"",BI44-BG44)</f>
        <v/>
      </c>
      <c r="BY44" s="39">
        <f>IF(OR(AX44="",BK44=""),"",ROUND((BK44-AX44)/30.44,1))</f>
        <v/>
      </c>
      <c r="BZ44" s="37">
        <f>IF(BR44="","",IF(BR44&lt;=30,1,0))</f>
        <v/>
      </c>
      <c r="CA44" s="37">
        <f>IF(BR44="","",IF(BR44&gt;40.5,1,0))</f>
        <v/>
      </c>
      <c r="CB44" s="37">
        <f>IF(BR44="","",IF(BR44&gt;60,1,0))</f>
        <v/>
      </c>
      <c r="CC44" s="37">
        <f>IF(BR44="","",IF(BR44&gt;67,1,0))</f>
        <v/>
      </c>
      <c r="CD44" s="37">
        <f>IF(BT44="","",IF(BT44&lt;=30,1,0))</f>
        <v/>
      </c>
      <c r="CE44" s="37">
        <f>IF(BQ44="","",IF(BQ44&lt;=28,1,0))</f>
        <v/>
      </c>
      <c r="CF44" s="37">
        <f>IF(OR(BV44="",BE44&lt;&gt;"ניתוח"),"",IF(BV44&lt;=30,1,0))</f>
        <v/>
      </c>
      <c r="CG44" s="37">
        <f>IF(BU44="","",IF(BU44&lt;=56,1,0))</f>
        <v/>
      </c>
      <c r="CH44" s="37">
        <f>IF(BW44="","",IF(BW44&lt;=42,1,0))</f>
        <v/>
      </c>
      <c r="CI44" s="37">
        <f>IF(BX44="","",IF(BX44&lt;=100,1,0))</f>
        <v/>
      </c>
      <c r="CJ44" s="33">
        <f>IF(A44="","",COUNTIF(Delays!$B$5:$B$404,A44))</f>
        <v/>
      </c>
      <c r="CK44" s="35" t="n"/>
    </row>
    <row r="45">
      <c r="A45" s="33">
        <f>IF(OR(B45="",C45="",D45="",AX45=""),"","RET-"&amp;RIGHT(YEAR(AX45),2)&amp;"-"&amp;TEXT(B45,"000")&amp;"-"&amp;C45&amp;"-"&amp;D45&amp;"-"&amp;TEXT(MONTH(AX45),"00"))</f>
        <v/>
      </c>
      <c r="B45" s="34" t="n">
        <v>40</v>
      </c>
      <c r="C45" s="35" t="n"/>
      <c r="D45" s="35" t="n"/>
      <c r="E45" s="33">
        <f>IF(AX45="","",YEAR(AX45))</f>
        <v/>
      </c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6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7">
        <f>IF(Y45="","",IF(OR(Y45="III",Y45="IV",Y45="IVA",Y45="IVB",Y45="IVC"),1,0))</f>
        <v/>
      </c>
      <c r="AA45" s="35" t="n"/>
      <c r="AB45" s="35" t="n"/>
      <c r="AC45" s="35" t="n"/>
      <c r="AD45" s="35" t="n"/>
      <c r="AE45" s="35" t="n"/>
      <c r="AF45" s="35" t="n"/>
      <c r="AG45" s="35" t="n"/>
      <c r="AH45" s="35" t="n"/>
      <c r="AI45" s="35" t="n"/>
      <c r="AJ45" s="35" t="n"/>
      <c r="AK45" s="35" t="n"/>
      <c r="AL45" s="35" t="n"/>
      <c r="AM45" s="35" t="n"/>
      <c r="AN45" s="35" t="n"/>
      <c r="AO45" s="35" t="n"/>
      <c r="AP45" s="35" t="n"/>
      <c r="AQ45" s="35" t="n"/>
      <c r="AR45" s="35" t="n"/>
      <c r="AS45" s="35" t="n"/>
      <c r="AT45" s="35" t="n"/>
      <c r="AU45" s="38" t="n"/>
      <c r="AV45" s="38" t="n"/>
      <c r="AW45" s="38" t="n"/>
      <c r="AX45" s="38" t="n"/>
      <c r="AY45" s="38" t="n"/>
      <c r="AZ45" s="38" t="n"/>
      <c r="BA45" s="38" t="n"/>
      <c r="BB45" s="38" t="n"/>
      <c r="BC45" s="38" t="n"/>
      <c r="BD45" s="38" t="n"/>
      <c r="BE45" s="35" t="n"/>
      <c r="BF45" s="35" t="n"/>
      <c r="BG45" s="38" t="n"/>
      <c r="BH45" s="38" t="n"/>
      <c r="BI45" s="38" t="n"/>
      <c r="BJ45" s="35" t="n"/>
      <c r="BK45" s="38" t="n"/>
      <c r="BL45" s="33">
        <f>IF(OR(AU45="",AV45=""),"",AV45-AU45)</f>
        <v/>
      </c>
      <c r="BM45" s="33">
        <f>IF(OR(AV45="",AW45=""),"",AW45-AV45)</f>
        <v/>
      </c>
      <c r="BN45" s="33">
        <f>IF(OR(AW45="",AX45=""),"",AX45-AW45)</f>
        <v/>
      </c>
      <c r="BO45" s="33">
        <f>IF(OR(AX45="",BA45=""),"",BA45-AX45)</f>
        <v/>
      </c>
      <c r="BP45" s="33">
        <f>IF(OR(AV45="",BA45=""),"",BA45-AV45)</f>
        <v/>
      </c>
      <c r="BQ45" s="33">
        <f>IF(OR(BB45="",BD45=""),"",BD45-BB45)</f>
        <v/>
      </c>
      <c r="BR45" s="33">
        <f>IF(OR(AX45="",BD45=""),"",BD45-AX45)</f>
        <v/>
      </c>
      <c r="BS45" s="33">
        <f>IF(OR(AW45="",BD45=""),"",BD45-AW45)</f>
        <v/>
      </c>
      <c r="BT45" s="33">
        <f>IF(OR(AV45="",BD45=""),"",BD45-AV45)</f>
        <v/>
      </c>
      <c r="BU45" s="33">
        <f>IF(OR(AU45="",BD45=""),"",BD45-AU45)</f>
        <v/>
      </c>
      <c r="BV45" s="33">
        <f>IF(OR(BB45="",BG45=""),"",BG45-BB45)</f>
        <v/>
      </c>
      <c r="BW45" s="33">
        <f>IF(OR(BG45="",BH45=""),"",BH45-BG45)</f>
        <v/>
      </c>
      <c r="BX45" s="33">
        <f>IF(OR(BG45="",BI45=""),"",BI45-BG45)</f>
        <v/>
      </c>
      <c r="BY45" s="39">
        <f>IF(OR(AX45="",BK45=""),"",ROUND((BK45-AX45)/30.44,1))</f>
        <v/>
      </c>
      <c r="BZ45" s="37">
        <f>IF(BR45="","",IF(BR45&lt;=30,1,0))</f>
        <v/>
      </c>
      <c r="CA45" s="37">
        <f>IF(BR45="","",IF(BR45&gt;40.5,1,0))</f>
        <v/>
      </c>
      <c r="CB45" s="37">
        <f>IF(BR45="","",IF(BR45&gt;60,1,0))</f>
        <v/>
      </c>
      <c r="CC45" s="37">
        <f>IF(BR45="","",IF(BR45&gt;67,1,0))</f>
        <v/>
      </c>
      <c r="CD45" s="37">
        <f>IF(BT45="","",IF(BT45&lt;=30,1,0))</f>
        <v/>
      </c>
      <c r="CE45" s="37">
        <f>IF(BQ45="","",IF(BQ45&lt;=28,1,0))</f>
        <v/>
      </c>
      <c r="CF45" s="37">
        <f>IF(OR(BV45="",BE45&lt;&gt;"ניתוח"),"",IF(BV45&lt;=30,1,0))</f>
        <v/>
      </c>
      <c r="CG45" s="37">
        <f>IF(BU45="","",IF(BU45&lt;=56,1,0))</f>
        <v/>
      </c>
      <c r="CH45" s="37">
        <f>IF(BW45="","",IF(BW45&lt;=42,1,0))</f>
        <v/>
      </c>
      <c r="CI45" s="37">
        <f>IF(BX45="","",IF(BX45&lt;=100,1,0))</f>
        <v/>
      </c>
      <c r="CJ45" s="33">
        <f>IF(A45="","",COUNTIF(Delays!$B$5:$B$404,A45))</f>
        <v/>
      </c>
      <c r="CK45" s="35" t="n"/>
    </row>
    <row r="46">
      <c r="A46" s="33">
        <f>IF(OR(B46="",C46="",D46="",AX46=""),"","RET-"&amp;RIGHT(YEAR(AX46),2)&amp;"-"&amp;TEXT(B46,"000")&amp;"-"&amp;C46&amp;"-"&amp;D46&amp;"-"&amp;TEXT(MONTH(AX46),"00"))</f>
        <v/>
      </c>
      <c r="B46" s="34" t="n">
        <v>41</v>
      </c>
      <c r="C46" s="35" t="n"/>
      <c r="D46" s="35" t="n"/>
      <c r="E46" s="33">
        <f>IF(AX46="","",YEAR(AX46))</f>
        <v/>
      </c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6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7">
        <f>IF(Y46="","",IF(OR(Y46="III",Y46="IV",Y46="IVA",Y46="IVB",Y46="IVC"),1,0))</f>
        <v/>
      </c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5" t="n"/>
      <c r="AN46" s="35" t="n"/>
      <c r="AO46" s="35" t="n"/>
      <c r="AP46" s="35" t="n"/>
      <c r="AQ46" s="35" t="n"/>
      <c r="AR46" s="35" t="n"/>
      <c r="AS46" s="35" t="n"/>
      <c r="AT46" s="35" t="n"/>
      <c r="AU46" s="38" t="n"/>
      <c r="AV46" s="38" t="n"/>
      <c r="AW46" s="38" t="n"/>
      <c r="AX46" s="38" t="n"/>
      <c r="AY46" s="38" t="n"/>
      <c r="AZ46" s="38" t="n"/>
      <c r="BA46" s="38" t="n"/>
      <c r="BB46" s="38" t="n"/>
      <c r="BC46" s="38" t="n"/>
      <c r="BD46" s="38" t="n"/>
      <c r="BE46" s="35" t="n"/>
      <c r="BF46" s="35" t="n"/>
      <c r="BG46" s="38" t="n"/>
      <c r="BH46" s="38" t="n"/>
      <c r="BI46" s="38" t="n"/>
      <c r="BJ46" s="35" t="n"/>
      <c r="BK46" s="38" t="n"/>
      <c r="BL46" s="33">
        <f>IF(OR(AU46="",AV46=""),"",AV46-AU46)</f>
        <v/>
      </c>
      <c r="BM46" s="33">
        <f>IF(OR(AV46="",AW46=""),"",AW46-AV46)</f>
        <v/>
      </c>
      <c r="BN46" s="33">
        <f>IF(OR(AW46="",AX46=""),"",AX46-AW46)</f>
        <v/>
      </c>
      <c r="BO46" s="33">
        <f>IF(OR(AX46="",BA46=""),"",BA46-AX46)</f>
        <v/>
      </c>
      <c r="BP46" s="33">
        <f>IF(OR(AV46="",BA46=""),"",BA46-AV46)</f>
        <v/>
      </c>
      <c r="BQ46" s="33">
        <f>IF(OR(BB46="",BD46=""),"",BD46-BB46)</f>
        <v/>
      </c>
      <c r="BR46" s="33">
        <f>IF(OR(AX46="",BD46=""),"",BD46-AX46)</f>
        <v/>
      </c>
      <c r="BS46" s="33">
        <f>IF(OR(AW46="",BD46=""),"",BD46-AW46)</f>
        <v/>
      </c>
      <c r="BT46" s="33">
        <f>IF(OR(AV46="",BD46=""),"",BD46-AV46)</f>
        <v/>
      </c>
      <c r="BU46" s="33">
        <f>IF(OR(AU46="",BD46=""),"",BD46-AU46)</f>
        <v/>
      </c>
      <c r="BV46" s="33">
        <f>IF(OR(BB46="",BG46=""),"",BG46-BB46)</f>
        <v/>
      </c>
      <c r="BW46" s="33">
        <f>IF(OR(BG46="",BH46=""),"",BH46-BG46)</f>
        <v/>
      </c>
      <c r="BX46" s="33">
        <f>IF(OR(BG46="",BI46=""),"",BI46-BG46)</f>
        <v/>
      </c>
      <c r="BY46" s="39">
        <f>IF(OR(AX46="",BK46=""),"",ROUND((BK46-AX46)/30.44,1))</f>
        <v/>
      </c>
      <c r="BZ46" s="37">
        <f>IF(BR46="","",IF(BR46&lt;=30,1,0))</f>
        <v/>
      </c>
      <c r="CA46" s="37">
        <f>IF(BR46="","",IF(BR46&gt;40.5,1,0))</f>
        <v/>
      </c>
      <c r="CB46" s="37">
        <f>IF(BR46="","",IF(BR46&gt;60,1,0))</f>
        <v/>
      </c>
      <c r="CC46" s="37">
        <f>IF(BR46="","",IF(BR46&gt;67,1,0))</f>
        <v/>
      </c>
      <c r="CD46" s="37">
        <f>IF(BT46="","",IF(BT46&lt;=30,1,0))</f>
        <v/>
      </c>
      <c r="CE46" s="37">
        <f>IF(BQ46="","",IF(BQ46&lt;=28,1,0))</f>
        <v/>
      </c>
      <c r="CF46" s="37">
        <f>IF(OR(BV46="",BE46&lt;&gt;"ניתוח"),"",IF(BV46&lt;=30,1,0))</f>
        <v/>
      </c>
      <c r="CG46" s="37">
        <f>IF(BU46="","",IF(BU46&lt;=56,1,0))</f>
        <v/>
      </c>
      <c r="CH46" s="37">
        <f>IF(BW46="","",IF(BW46&lt;=42,1,0))</f>
        <v/>
      </c>
      <c r="CI46" s="37">
        <f>IF(BX46="","",IF(BX46&lt;=100,1,0))</f>
        <v/>
      </c>
      <c r="CJ46" s="33">
        <f>IF(A46="","",COUNTIF(Delays!$B$5:$B$404,A46))</f>
        <v/>
      </c>
      <c r="CK46" s="35" t="n"/>
    </row>
    <row r="47">
      <c r="A47" s="33">
        <f>IF(OR(B47="",C47="",D47="",AX47=""),"","RET-"&amp;RIGHT(YEAR(AX47),2)&amp;"-"&amp;TEXT(B47,"000")&amp;"-"&amp;C47&amp;"-"&amp;D47&amp;"-"&amp;TEXT(MONTH(AX47),"00"))</f>
        <v/>
      </c>
      <c r="B47" s="34" t="n">
        <v>42</v>
      </c>
      <c r="C47" s="35" t="n"/>
      <c r="D47" s="35" t="n"/>
      <c r="E47" s="33">
        <f>IF(AX47="","",YEAR(AX47))</f>
        <v/>
      </c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6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7">
        <f>IF(Y47="","",IF(OR(Y47="III",Y47="IV",Y47="IVA",Y47="IVB",Y47="IVC"),1,0))</f>
        <v/>
      </c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35" t="n"/>
      <c r="AR47" s="35" t="n"/>
      <c r="AS47" s="35" t="n"/>
      <c r="AT47" s="35" t="n"/>
      <c r="AU47" s="38" t="n"/>
      <c r="AV47" s="38" t="n"/>
      <c r="AW47" s="38" t="n"/>
      <c r="AX47" s="38" t="n"/>
      <c r="AY47" s="38" t="n"/>
      <c r="AZ47" s="38" t="n"/>
      <c r="BA47" s="38" t="n"/>
      <c r="BB47" s="38" t="n"/>
      <c r="BC47" s="38" t="n"/>
      <c r="BD47" s="38" t="n"/>
      <c r="BE47" s="35" t="n"/>
      <c r="BF47" s="35" t="n"/>
      <c r="BG47" s="38" t="n"/>
      <c r="BH47" s="38" t="n"/>
      <c r="BI47" s="38" t="n"/>
      <c r="BJ47" s="35" t="n"/>
      <c r="BK47" s="38" t="n"/>
      <c r="BL47" s="33">
        <f>IF(OR(AU47="",AV47=""),"",AV47-AU47)</f>
        <v/>
      </c>
      <c r="BM47" s="33">
        <f>IF(OR(AV47="",AW47=""),"",AW47-AV47)</f>
        <v/>
      </c>
      <c r="BN47" s="33">
        <f>IF(OR(AW47="",AX47=""),"",AX47-AW47)</f>
        <v/>
      </c>
      <c r="BO47" s="33">
        <f>IF(OR(AX47="",BA47=""),"",BA47-AX47)</f>
        <v/>
      </c>
      <c r="BP47" s="33">
        <f>IF(OR(AV47="",BA47=""),"",BA47-AV47)</f>
        <v/>
      </c>
      <c r="BQ47" s="33">
        <f>IF(OR(BB47="",BD47=""),"",BD47-BB47)</f>
        <v/>
      </c>
      <c r="BR47" s="33">
        <f>IF(OR(AX47="",BD47=""),"",BD47-AX47)</f>
        <v/>
      </c>
      <c r="BS47" s="33">
        <f>IF(OR(AW47="",BD47=""),"",BD47-AW47)</f>
        <v/>
      </c>
      <c r="BT47" s="33">
        <f>IF(OR(AV47="",BD47=""),"",BD47-AV47)</f>
        <v/>
      </c>
      <c r="BU47" s="33">
        <f>IF(OR(AU47="",BD47=""),"",BD47-AU47)</f>
        <v/>
      </c>
      <c r="BV47" s="33">
        <f>IF(OR(BB47="",BG47=""),"",BG47-BB47)</f>
        <v/>
      </c>
      <c r="BW47" s="33">
        <f>IF(OR(BG47="",BH47=""),"",BH47-BG47)</f>
        <v/>
      </c>
      <c r="BX47" s="33">
        <f>IF(OR(BG47="",BI47=""),"",BI47-BG47)</f>
        <v/>
      </c>
      <c r="BY47" s="39">
        <f>IF(OR(AX47="",BK47=""),"",ROUND((BK47-AX47)/30.44,1))</f>
        <v/>
      </c>
      <c r="BZ47" s="37">
        <f>IF(BR47="","",IF(BR47&lt;=30,1,0))</f>
        <v/>
      </c>
      <c r="CA47" s="37">
        <f>IF(BR47="","",IF(BR47&gt;40.5,1,0))</f>
        <v/>
      </c>
      <c r="CB47" s="37">
        <f>IF(BR47="","",IF(BR47&gt;60,1,0))</f>
        <v/>
      </c>
      <c r="CC47" s="37">
        <f>IF(BR47="","",IF(BR47&gt;67,1,0))</f>
        <v/>
      </c>
      <c r="CD47" s="37">
        <f>IF(BT47="","",IF(BT47&lt;=30,1,0))</f>
        <v/>
      </c>
      <c r="CE47" s="37">
        <f>IF(BQ47="","",IF(BQ47&lt;=28,1,0))</f>
        <v/>
      </c>
      <c r="CF47" s="37">
        <f>IF(OR(BV47="",BE47&lt;&gt;"ניתוח"),"",IF(BV47&lt;=30,1,0))</f>
        <v/>
      </c>
      <c r="CG47" s="37">
        <f>IF(BU47="","",IF(BU47&lt;=56,1,0))</f>
        <v/>
      </c>
      <c r="CH47" s="37">
        <f>IF(BW47="","",IF(BW47&lt;=42,1,0))</f>
        <v/>
      </c>
      <c r="CI47" s="37">
        <f>IF(BX47="","",IF(BX47&lt;=100,1,0))</f>
        <v/>
      </c>
      <c r="CJ47" s="33">
        <f>IF(A47="","",COUNTIF(Delays!$B$5:$B$404,A47))</f>
        <v/>
      </c>
      <c r="CK47" s="35" t="n"/>
    </row>
    <row r="48">
      <c r="A48" s="33">
        <f>IF(OR(B48="",C48="",D48="",AX48=""),"","RET-"&amp;RIGHT(YEAR(AX48),2)&amp;"-"&amp;TEXT(B48,"000")&amp;"-"&amp;C48&amp;"-"&amp;D48&amp;"-"&amp;TEXT(MONTH(AX48),"00"))</f>
        <v/>
      </c>
      <c r="B48" s="34" t="n">
        <v>43</v>
      </c>
      <c r="C48" s="35" t="n"/>
      <c r="D48" s="35" t="n"/>
      <c r="E48" s="33">
        <f>IF(AX48="","",YEAR(AX48))</f>
        <v/>
      </c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6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7">
        <f>IF(Y48="","",IF(OR(Y48="III",Y48="IV",Y48="IVA",Y48="IVB",Y48="IVC"),1,0))</f>
        <v/>
      </c>
      <c r="AA48" s="35" t="n"/>
      <c r="AB48" s="35" t="n"/>
      <c r="AC48" s="35" t="n"/>
      <c r="AD48" s="35" t="n"/>
      <c r="AE48" s="35" t="n"/>
      <c r="AF48" s="35" t="n"/>
      <c r="AG48" s="35" t="n"/>
      <c r="AH48" s="35" t="n"/>
      <c r="AI48" s="35" t="n"/>
      <c r="AJ48" s="35" t="n"/>
      <c r="AK48" s="35" t="n"/>
      <c r="AL48" s="35" t="n"/>
      <c r="AM48" s="35" t="n"/>
      <c r="AN48" s="35" t="n"/>
      <c r="AO48" s="35" t="n"/>
      <c r="AP48" s="35" t="n"/>
      <c r="AQ48" s="35" t="n"/>
      <c r="AR48" s="35" t="n"/>
      <c r="AS48" s="35" t="n"/>
      <c r="AT48" s="35" t="n"/>
      <c r="AU48" s="38" t="n"/>
      <c r="AV48" s="38" t="n"/>
      <c r="AW48" s="38" t="n"/>
      <c r="AX48" s="38" t="n"/>
      <c r="AY48" s="38" t="n"/>
      <c r="AZ48" s="38" t="n"/>
      <c r="BA48" s="38" t="n"/>
      <c r="BB48" s="38" t="n"/>
      <c r="BC48" s="38" t="n"/>
      <c r="BD48" s="38" t="n"/>
      <c r="BE48" s="35" t="n"/>
      <c r="BF48" s="35" t="n"/>
      <c r="BG48" s="38" t="n"/>
      <c r="BH48" s="38" t="n"/>
      <c r="BI48" s="38" t="n"/>
      <c r="BJ48" s="35" t="n"/>
      <c r="BK48" s="38" t="n"/>
      <c r="BL48" s="33">
        <f>IF(OR(AU48="",AV48=""),"",AV48-AU48)</f>
        <v/>
      </c>
      <c r="BM48" s="33">
        <f>IF(OR(AV48="",AW48=""),"",AW48-AV48)</f>
        <v/>
      </c>
      <c r="BN48" s="33">
        <f>IF(OR(AW48="",AX48=""),"",AX48-AW48)</f>
        <v/>
      </c>
      <c r="BO48" s="33">
        <f>IF(OR(AX48="",BA48=""),"",BA48-AX48)</f>
        <v/>
      </c>
      <c r="BP48" s="33">
        <f>IF(OR(AV48="",BA48=""),"",BA48-AV48)</f>
        <v/>
      </c>
      <c r="BQ48" s="33">
        <f>IF(OR(BB48="",BD48=""),"",BD48-BB48)</f>
        <v/>
      </c>
      <c r="BR48" s="33">
        <f>IF(OR(AX48="",BD48=""),"",BD48-AX48)</f>
        <v/>
      </c>
      <c r="BS48" s="33">
        <f>IF(OR(AW48="",BD48=""),"",BD48-AW48)</f>
        <v/>
      </c>
      <c r="BT48" s="33">
        <f>IF(OR(AV48="",BD48=""),"",BD48-AV48)</f>
        <v/>
      </c>
      <c r="BU48" s="33">
        <f>IF(OR(AU48="",BD48=""),"",BD48-AU48)</f>
        <v/>
      </c>
      <c r="BV48" s="33">
        <f>IF(OR(BB48="",BG48=""),"",BG48-BB48)</f>
        <v/>
      </c>
      <c r="BW48" s="33">
        <f>IF(OR(BG48="",BH48=""),"",BH48-BG48)</f>
        <v/>
      </c>
      <c r="BX48" s="33">
        <f>IF(OR(BG48="",BI48=""),"",BI48-BG48)</f>
        <v/>
      </c>
      <c r="BY48" s="39">
        <f>IF(OR(AX48="",BK48=""),"",ROUND((BK48-AX48)/30.44,1))</f>
        <v/>
      </c>
      <c r="BZ48" s="37">
        <f>IF(BR48="","",IF(BR48&lt;=30,1,0))</f>
        <v/>
      </c>
      <c r="CA48" s="37">
        <f>IF(BR48="","",IF(BR48&gt;40.5,1,0))</f>
        <v/>
      </c>
      <c r="CB48" s="37">
        <f>IF(BR48="","",IF(BR48&gt;60,1,0))</f>
        <v/>
      </c>
      <c r="CC48" s="37">
        <f>IF(BR48="","",IF(BR48&gt;67,1,0))</f>
        <v/>
      </c>
      <c r="CD48" s="37">
        <f>IF(BT48="","",IF(BT48&lt;=30,1,0))</f>
        <v/>
      </c>
      <c r="CE48" s="37">
        <f>IF(BQ48="","",IF(BQ48&lt;=28,1,0))</f>
        <v/>
      </c>
      <c r="CF48" s="37">
        <f>IF(OR(BV48="",BE48&lt;&gt;"ניתוח"),"",IF(BV48&lt;=30,1,0))</f>
        <v/>
      </c>
      <c r="CG48" s="37">
        <f>IF(BU48="","",IF(BU48&lt;=56,1,0))</f>
        <v/>
      </c>
      <c r="CH48" s="37">
        <f>IF(BW48="","",IF(BW48&lt;=42,1,0))</f>
        <v/>
      </c>
      <c r="CI48" s="37">
        <f>IF(BX48="","",IF(BX48&lt;=100,1,0))</f>
        <v/>
      </c>
      <c r="CJ48" s="33">
        <f>IF(A48="","",COUNTIF(Delays!$B$5:$B$404,A48))</f>
        <v/>
      </c>
      <c r="CK48" s="35" t="n"/>
    </row>
    <row r="49">
      <c r="A49" s="33">
        <f>IF(OR(B49="",C49="",D49="",AX49=""),"","RET-"&amp;RIGHT(YEAR(AX49),2)&amp;"-"&amp;TEXT(B49,"000")&amp;"-"&amp;C49&amp;"-"&amp;D49&amp;"-"&amp;TEXT(MONTH(AX49),"00"))</f>
        <v/>
      </c>
      <c r="B49" s="34" t="n">
        <v>44</v>
      </c>
      <c r="C49" s="35" t="n"/>
      <c r="D49" s="35" t="n"/>
      <c r="E49" s="33">
        <f>IF(AX49="","",YEAR(AX49))</f>
        <v/>
      </c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6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7">
        <f>IF(Y49="","",IF(OR(Y49="III",Y49="IV",Y49="IVA",Y49="IVB",Y49="IVC"),1,0))</f>
        <v/>
      </c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5" t="n"/>
      <c r="AN49" s="35" t="n"/>
      <c r="AO49" s="35" t="n"/>
      <c r="AP49" s="35" t="n"/>
      <c r="AQ49" s="35" t="n"/>
      <c r="AR49" s="35" t="n"/>
      <c r="AS49" s="35" t="n"/>
      <c r="AT49" s="35" t="n"/>
      <c r="AU49" s="38" t="n"/>
      <c r="AV49" s="38" t="n"/>
      <c r="AW49" s="38" t="n"/>
      <c r="AX49" s="38" t="n"/>
      <c r="AY49" s="38" t="n"/>
      <c r="AZ49" s="38" t="n"/>
      <c r="BA49" s="38" t="n"/>
      <c r="BB49" s="38" t="n"/>
      <c r="BC49" s="38" t="n"/>
      <c r="BD49" s="38" t="n"/>
      <c r="BE49" s="35" t="n"/>
      <c r="BF49" s="35" t="n"/>
      <c r="BG49" s="38" t="n"/>
      <c r="BH49" s="38" t="n"/>
      <c r="BI49" s="38" t="n"/>
      <c r="BJ49" s="35" t="n"/>
      <c r="BK49" s="38" t="n"/>
      <c r="BL49" s="33">
        <f>IF(OR(AU49="",AV49=""),"",AV49-AU49)</f>
        <v/>
      </c>
      <c r="BM49" s="33">
        <f>IF(OR(AV49="",AW49=""),"",AW49-AV49)</f>
        <v/>
      </c>
      <c r="BN49" s="33">
        <f>IF(OR(AW49="",AX49=""),"",AX49-AW49)</f>
        <v/>
      </c>
      <c r="BO49" s="33">
        <f>IF(OR(AX49="",BA49=""),"",BA49-AX49)</f>
        <v/>
      </c>
      <c r="BP49" s="33">
        <f>IF(OR(AV49="",BA49=""),"",BA49-AV49)</f>
        <v/>
      </c>
      <c r="BQ49" s="33">
        <f>IF(OR(BB49="",BD49=""),"",BD49-BB49)</f>
        <v/>
      </c>
      <c r="BR49" s="33">
        <f>IF(OR(AX49="",BD49=""),"",BD49-AX49)</f>
        <v/>
      </c>
      <c r="BS49" s="33">
        <f>IF(OR(AW49="",BD49=""),"",BD49-AW49)</f>
        <v/>
      </c>
      <c r="BT49" s="33">
        <f>IF(OR(AV49="",BD49=""),"",BD49-AV49)</f>
        <v/>
      </c>
      <c r="BU49" s="33">
        <f>IF(OR(AU49="",BD49=""),"",BD49-AU49)</f>
        <v/>
      </c>
      <c r="BV49" s="33">
        <f>IF(OR(BB49="",BG49=""),"",BG49-BB49)</f>
        <v/>
      </c>
      <c r="BW49" s="33">
        <f>IF(OR(BG49="",BH49=""),"",BH49-BG49)</f>
        <v/>
      </c>
      <c r="BX49" s="33">
        <f>IF(OR(BG49="",BI49=""),"",BI49-BG49)</f>
        <v/>
      </c>
      <c r="BY49" s="39">
        <f>IF(OR(AX49="",BK49=""),"",ROUND((BK49-AX49)/30.44,1))</f>
        <v/>
      </c>
      <c r="BZ49" s="37">
        <f>IF(BR49="","",IF(BR49&lt;=30,1,0))</f>
        <v/>
      </c>
      <c r="CA49" s="37">
        <f>IF(BR49="","",IF(BR49&gt;40.5,1,0))</f>
        <v/>
      </c>
      <c r="CB49" s="37">
        <f>IF(BR49="","",IF(BR49&gt;60,1,0))</f>
        <v/>
      </c>
      <c r="CC49" s="37">
        <f>IF(BR49="","",IF(BR49&gt;67,1,0))</f>
        <v/>
      </c>
      <c r="CD49" s="37">
        <f>IF(BT49="","",IF(BT49&lt;=30,1,0))</f>
        <v/>
      </c>
      <c r="CE49" s="37">
        <f>IF(BQ49="","",IF(BQ49&lt;=28,1,0))</f>
        <v/>
      </c>
      <c r="CF49" s="37">
        <f>IF(OR(BV49="",BE49&lt;&gt;"ניתוח"),"",IF(BV49&lt;=30,1,0))</f>
        <v/>
      </c>
      <c r="CG49" s="37">
        <f>IF(BU49="","",IF(BU49&lt;=56,1,0))</f>
        <v/>
      </c>
      <c r="CH49" s="37">
        <f>IF(BW49="","",IF(BW49&lt;=42,1,0))</f>
        <v/>
      </c>
      <c r="CI49" s="37">
        <f>IF(BX49="","",IF(BX49&lt;=100,1,0))</f>
        <v/>
      </c>
      <c r="CJ49" s="33">
        <f>IF(A49="","",COUNTIF(Delays!$B$5:$B$404,A49))</f>
        <v/>
      </c>
      <c r="CK49" s="35" t="n"/>
    </row>
    <row r="50">
      <c r="A50" s="33">
        <f>IF(OR(B50="",C50="",D50="",AX50=""),"","RET-"&amp;RIGHT(YEAR(AX50),2)&amp;"-"&amp;TEXT(B50,"000")&amp;"-"&amp;C50&amp;"-"&amp;D50&amp;"-"&amp;TEXT(MONTH(AX50),"00"))</f>
        <v/>
      </c>
      <c r="B50" s="34" t="n">
        <v>45</v>
      </c>
      <c r="C50" s="35" t="n"/>
      <c r="D50" s="35" t="n"/>
      <c r="E50" s="33">
        <f>IF(AX50="","",YEAR(AX50))</f>
        <v/>
      </c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6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7">
        <f>IF(Y50="","",IF(OR(Y50="III",Y50="IV",Y50="IVA",Y50="IVB",Y50="IVC"),1,0))</f>
        <v/>
      </c>
      <c r="AA50" s="35" t="n"/>
      <c r="AB50" s="35" t="n"/>
      <c r="AC50" s="35" t="n"/>
      <c r="AD50" s="35" t="n"/>
      <c r="AE50" s="35" t="n"/>
      <c r="AF50" s="35" t="n"/>
      <c r="AG50" s="35" t="n"/>
      <c r="AH50" s="35" t="n"/>
      <c r="AI50" s="35" t="n"/>
      <c r="AJ50" s="35" t="n"/>
      <c r="AK50" s="35" t="n"/>
      <c r="AL50" s="35" t="n"/>
      <c r="AM50" s="35" t="n"/>
      <c r="AN50" s="35" t="n"/>
      <c r="AO50" s="35" t="n"/>
      <c r="AP50" s="35" t="n"/>
      <c r="AQ50" s="35" t="n"/>
      <c r="AR50" s="35" t="n"/>
      <c r="AS50" s="35" t="n"/>
      <c r="AT50" s="35" t="n"/>
      <c r="AU50" s="38" t="n"/>
      <c r="AV50" s="38" t="n"/>
      <c r="AW50" s="38" t="n"/>
      <c r="AX50" s="38" t="n"/>
      <c r="AY50" s="38" t="n"/>
      <c r="AZ50" s="38" t="n"/>
      <c r="BA50" s="38" t="n"/>
      <c r="BB50" s="38" t="n"/>
      <c r="BC50" s="38" t="n"/>
      <c r="BD50" s="38" t="n"/>
      <c r="BE50" s="35" t="n"/>
      <c r="BF50" s="35" t="n"/>
      <c r="BG50" s="38" t="n"/>
      <c r="BH50" s="38" t="n"/>
      <c r="BI50" s="38" t="n"/>
      <c r="BJ50" s="35" t="n"/>
      <c r="BK50" s="38" t="n"/>
      <c r="BL50" s="33">
        <f>IF(OR(AU50="",AV50=""),"",AV50-AU50)</f>
        <v/>
      </c>
      <c r="BM50" s="33">
        <f>IF(OR(AV50="",AW50=""),"",AW50-AV50)</f>
        <v/>
      </c>
      <c r="BN50" s="33">
        <f>IF(OR(AW50="",AX50=""),"",AX50-AW50)</f>
        <v/>
      </c>
      <c r="BO50" s="33">
        <f>IF(OR(AX50="",BA50=""),"",BA50-AX50)</f>
        <v/>
      </c>
      <c r="BP50" s="33">
        <f>IF(OR(AV50="",BA50=""),"",BA50-AV50)</f>
        <v/>
      </c>
      <c r="BQ50" s="33">
        <f>IF(OR(BB50="",BD50=""),"",BD50-BB50)</f>
        <v/>
      </c>
      <c r="BR50" s="33">
        <f>IF(OR(AX50="",BD50=""),"",BD50-AX50)</f>
        <v/>
      </c>
      <c r="BS50" s="33">
        <f>IF(OR(AW50="",BD50=""),"",BD50-AW50)</f>
        <v/>
      </c>
      <c r="BT50" s="33">
        <f>IF(OR(AV50="",BD50=""),"",BD50-AV50)</f>
        <v/>
      </c>
      <c r="BU50" s="33">
        <f>IF(OR(AU50="",BD50=""),"",BD50-AU50)</f>
        <v/>
      </c>
      <c r="BV50" s="33">
        <f>IF(OR(BB50="",BG50=""),"",BG50-BB50)</f>
        <v/>
      </c>
      <c r="BW50" s="33">
        <f>IF(OR(BG50="",BH50=""),"",BH50-BG50)</f>
        <v/>
      </c>
      <c r="BX50" s="33">
        <f>IF(OR(BG50="",BI50=""),"",BI50-BG50)</f>
        <v/>
      </c>
      <c r="BY50" s="39">
        <f>IF(OR(AX50="",BK50=""),"",ROUND((BK50-AX50)/30.44,1))</f>
        <v/>
      </c>
      <c r="BZ50" s="37">
        <f>IF(BR50="","",IF(BR50&lt;=30,1,0))</f>
        <v/>
      </c>
      <c r="CA50" s="37">
        <f>IF(BR50="","",IF(BR50&gt;40.5,1,0))</f>
        <v/>
      </c>
      <c r="CB50" s="37">
        <f>IF(BR50="","",IF(BR50&gt;60,1,0))</f>
        <v/>
      </c>
      <c r="CC50" s="37">
        <f>IF(BR50="","",IF(BR50&gt;67,1,0))</f>
        <v/>
      </c>
      <c r="CD50" s="37">
        <f>IF(BT50="","",IF(BT50&lt;=30,1,0))</f>
        <v/>
      </c>
      <c r="CE50" s="37">
        <f>IF(BQ50="","",IF(BQ50&lt;=28,1,0))</f>
        <v/>
      </c>
      <c r="CF50" s="37">
        <f>IF(OR(BV50="",BE50&lt;&gt;"ניתוח"),"",IF(BV50&lt;=30,1,0))</f>
        <v/>
      </c>
      <c r="CG50" s="37">
        <f>IF(BU50="","",IF(BU50&lt;=56,1,0))</f>
        <v/>
      </c>
      <c r="CH50" s="37">
        <f>IF(BW50="","",IF(BW50&lt;=42,1,0))</f>
        <v/>
      </c>
      <c r="CI50" s="37">
        <f>IF(BX50="","",IF(BX50&lt;=100,1,0))</f>
        <v/>
      </c>
      <c r="CJ50" s="33">
        <f>IF(A50="","",COUNTIF(Delays!$B$5:$B$404,A50))</f>
        <v/>
      </c>
      <c r="CK50" s="35" t="n"/>
    </row>
    <row r="51">
      <c r="A51" s="33">
        <f>IF(OR(B51="",C51="",D51="",AX51=""),"","RET-"&amp;RIGHT(YEAR(AX51),2)&amp;"-"&amp;TEXT(B51,"000")&amp;"-"&amp;C51&amp;"-"&amp;D51&amp;"-"&amp;TEXT(MONTH(AX51),"00"))</f>
        <v/>
      </c>
      <c r="B51" s="34" t="n">
        <v>46</v>
      </c>
      <c r="C51" s="35" t="n"/>
      <c r="D51" s="35" t="n"/>
      <c r="E51" s="33">
        <f>IF(AX51="","",YEAR(AX51))</f>
        <v/>
      </c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6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7">
        <f>IF(Y51="","",IF(OR(Y51="III",Y51="IV",Y51="IVA",Y51="IVB",Y51="IVC"),1,0))</f>
        <v/>
      </c>
      <c r="AA51" s="35" t="n"/>
      <c r="AB51" s="35" t="n"/>
      <c r="AC51" s="35" t="n"/>
      <c r="AD51" s="35" t="n"/>
      <c r="AE51" s="35" t="n"/>
      <c r="AF51" s="35" t="n"/>
      <c r="AG51" s="35" t="n"/>
      <c r="AH51" s="35" t="n"/>
      <c r="AI51" s="35" t="n"/>
      <c r="AJ51" s="35" t="n"/>
      <c r="AK51" s="35" t="n"/>
      <c r="AL51" s="35" t="n"/>
      <c r="AM51" s="35" t="n"/>
      <c r="AN51" s="35" t="n"/>
      <c r="AO51" s="35" t="n"/>
      <c r="AP51" s="35" t="n"/>
      <c r="AQ51" s="35" t="n"/>
      <c r="AR51" s="35" t="n"/>
      <c r="AS51" s="35" t="n"/>
      <c r="AT51" s="35" t="n"/>
      <c r="AU51" s="38" t="n"/>
      <c r="AV51" s="38" t="n"/>
      <c r="AW51" s="38" t="n"/>
      <c r="AX51" s="38" t="n"/>
      <c r="AY51" s="38" t="n"/>
      <c r="AZ51" s="38" t="n"/>
      <c r="BA51" s="38" t="n"/>
      <c r="BB51" s="38" t="n"/>
      <c r="BC51" s="38" t="n"/>
      <c r="BD51" s="38" t="n"/>
      <c r="BE51" s="35" t="n"/>
      <c r="BF51" s="35" t="n"/>
      <c r="BG51" s="38" t="n"/>
      <c r="BH51" s="38" t="n"/>
      <c r="BI51" s="38" t="n"/>
      <c r="BJ51" s="35" t="n"/>
      <c r="BK51" s="38" t="n"/>
      <c r="BL51" s="33">
        <f>IF(OR(AU51="",AV51=""),"",AV51-AU51)</f>
        <v/>
      </c>
      <c r="BM51" s="33">
        <f>IF(OR(AV51="",AW51=""),"",AW51-AV51)</f>
        <v/>
      </c>
      <c r="BN51" s="33">
        <f>IF(OR(AW51="",AX51=""),"",AX51-AW51)</f>
        <v/>
      </c>
      <c r="BO51" s="33">
        <f>IF(OR(AX51="",BA51=""),"",BA51-AX51)</f>
        <v/>
      </c>
      <c r="BP51" s="33">
        <f>IF(OR(AV51="",BA51=""),"",BA51-AV51)</f>
        <v/>
      </c>
      <c r="BQ51" s="33">
        <f>IF(OR(BB51="",BD51=""),"",BD51-BB51)</f>
        <v/>
      </c>
      <c r="BR51" s="33">
        <f>IF(OR(AX51="",BD51=""),"",BD51-AX51)</f>
        <v/>
      </c>
      <c r="BS51" s="33">
        <f>IF(OR(AW51="",BD51=""),"",BD51-AW51)</f>
        <v/>
      </c>
      <c r="BT51" s="33">
        <f>IF(OR(AV51="",BD51=""),"",BD51-AV51)</f>
        <v/>
      </c>
      <c r="BU51" s="33">
        <f>IF(OR(AU51="",BD51=""),"",BD51-AU51)</f>
        <v/>
      </c>
      <c r="BV51" s="33">
        <f>IF(OR(BB51="",BG51=""),"",BG51-BB51)</f>
        <v/>
      </c>
      <c r="BW51" s="33">
        <f>IF(OR(BG51="",BH51=""),"",BH51-BG51)</f>
        <v/>
      </c>
      <c r="BX51" s="33">
        <f>IF(OR(BG51="",BI51=""),"",BI51-BG51)</f>
        <v/>
      </c>
      <c r="BY51" s="39">
        <f>IF(OR(AX51="",BK51=""),"",ROUND((BK51-AX51)/30.44,1))</f>
        <v/>
      </c>
      <c r="BZ51" s="37">
        <f>IF(BR51="","",IF(BR51&lt;=30,1,0))</f>
        <v/>
      </c>
      <c r="CA51" s="37">
        <f>IF(BR51="","",IF(BR51&gt;40.5,1,0))</f>
        <v/>
      </c>
      <c r="CB51" s="37">
        <f>IF(BR51="","",IF(BR51&gt;60,1,0))</f>
        <v/>
      </c>
      <c r="CC51" s="37">
        <f>IF(BR51="","",IF(BR51&gt;67,1,0))</f>
        <v/>
      </c>
      <c r="CD51" s="37">
        <f>IF(BT51="","",IF(BT51&lt;=30,1,0))</f>
        <v/>
      </c>
      <c r="CE51" s="37">
        <f>IF(BQ51="","",IF(BQ51&lt;=28,1,0))</f>
        <v/>
      </c>
      <c r="CF51" s="37">
        <f>IF(OR(BV51="",BE51&lt;&gt;"ניתוח"),"",IF(BV51&lt;=30,1,0))</f>
        <v/>
      </c>
      <c r="CG51" s="37">
        <f>IF(BU51="","",IF(BU51&lt;=56,1,0))</f>
        <v/>
      </c>
      <c r="CH51" s="37">
        <f>IF(BW51="","",IF(BW51&lt;=42,1,0))</f>
        <v/>
      </c>
      <c r="CI51" s="37">
        <f>IF(BX51="","",IF(BX51&lt;=100,1,0))</f>
        <v/>
      </c>
      <c r="CJ51" s="33">
        <f>IF(A51="","",COUNTIF(Delays!$B$5:$B$404,A51))</f>
        <v/>
      </c>
      <c r="CK51" s="35" t="n"/>
    </row>
    <row r="52">
      <c r="A52" s="33">
        <f>IF(OR(B52="",C52="",D52="",AX52=""),"","RET-"&amp;RIGHT(YEAR(AX52),2)&amp;"-"&amp;TEXT(B52,"000")&amp;"-"&amp;C52&amp;"-"&amp;D52&amp;"-"&amp;TEXT(MONTH(AX52),"00"))</f>
        <v/>
      </c>
      <c r="B52" s="34" t="n">
        <v>47</v>
      </c>
      <c r="C52" s="35" t="n"/>
      <c r="D52" s="35" t="n"/>
      <c r="E52" s="33">
        <f>IF(AX52="","",YEAR(AX52))</f>
        <v/>
      </c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6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7">
        <f>IF(Y52="","",IF(OR(Y52="III",Y52="IV",Y52="IVA",Y52="IVB",Y52="IVC"),1,0))</f>
        <v/>
      </c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5" t="n"/>
      <c r="AN52" s="35" t="n"/>
      <c r="AO52" s="35" t="n"/>
      <c r="AP52" s="35" t="n"/>
      <c r="AQ52" s="35" t="n"/>
      <c r="AR52" s="35" t="n"/>
      <c r="AS52" s="35" t="n"/>
      <c r="AT52" s="35" t="n"/>
      <c r="AU52" s="38" t="n"/>
      <c r="AV52" s="38" t="n"/>
      <c r="AW52" s="38" t="n"/>
      <c r="AX52" s="38" t="n"/>
      <c r="AY52" s="38" t="n"/>
      <c r="AZ52" s="38" t="n"/>
      <c r="BA52" s="38" t="n"/>
      <c r="BB52" s="38" t="n"/>
      <c r="BC52" s="38" t="n"/>
      <c r="BD52" s="38" t="n"/>
      <c r="BE52" s="35" t="n"/>
      <c r="BF52" s="35" t="n"/>
      <c r="BG52" s="38" t="n"/>
      <c r="BH52" s="38" t="n"/>
      <c r="BI52" s="38" t="n"/>
      <c r="BJ52" s="35" t="n"/>
      <c r="BK52" s="38" t="n"/>
      <c r="BL52" s="33">
        <f>IF(OR(AU52="",AV52=""),"",AV52-AU52)</f>
        <v/>
      </c>
      <c r="BM52" s="33">
        <f>IF(OR(AV52="",AW52=""),"",AW52-AV52)</f>
        <v/>
      </c>
      <c r="BN52" s="33">
        <f>IF(OR(AW52="",AX52=""),"",AX52-AW52)</f>
        <v/>
      </c>
      <c r="BO52" s="33">
        <f>IF(OR(AX52="",BA52=""),"",BA52-AX52)</f>
        <v/>
      </c>
      <c r="BP52" s="33">
        <f>IF(OR(AV52="",BA52=""),"",BA52-AV52)</f>
        <v/>
      </c>
      <c r="BQ52" s="33">
        <f>IF(OR(BB52="",BD52=""),"",BD52-BB52)</f>
        <v/>
      </c>
      <c r="BR52" s="33">
        <f>IF(OR(AX52="",BD52=""),"",BD52-AX52)</f>
        <v/>
      </c>
      <c r="BS52" s="33">
        <f>IF(OR(AW52="",BD52=""),"",BD52-AW52)</f>
        <v/>
      </c>
      <c r="BT52" s="33">
        <f>IF(OR(AV52="",BD52=""),"",BD52-AV52)</f>
        <v/>
      </c>
      <c r="BU52" s="33">
        <f>IF(OR(AU52="",BD52=""),"",BD52-AU52)</f>
        <v/>
      </c>
      <c r="BV52" s="33">
        <f>IF(OR(BB52="",BG52=""),"",BG52-BB52)</f>
        <v/>
      </c>
      <c r="BW52" s="33">
        <f>IF(OR(BG52="",BH52=""),"",BH52-BG52)</f>
        <v/>
      </c>
      <c r="BX52" s="33">
        <f>IF(OR(BG52="",BI52=""),"",BI52-BG52)</f>
        <v/>
      </c>
      <c r="BY52" s="39">
        <f>IF(OR(AX52="",BK52=""),"",ROUND((BK52-AX52)/30.44,1))</f>
        <v/>
      </c>
      <c r="BZ52" s="37">
        <f>IF(BR52="","",IF(BR52&lt;=30,1,0))</f>
        <v/>
      </c>
      <c r="CA52" s="37">
        <f>IF(BR52="","",IF(BR52&gt;40.5,1,0))</f>
        <v/>
      </c>
      <c r="CB52" s="37">
        <f>IF(BR52="","",IF(BR52&gt;60,1,0))</f>
        <v/>
      </c>
      <c r="CC52" s="37">
        <f>IF(BR52="","",IF(BR52&gt;67,1,0))</f>
        <v/>
      </c>
      <c r="CD52" s="37">
        <f>IF(BT52="","",IF(BT52&lt;=30,1,0))</f>
        <v/>
      </c>
      <c r="CE52" s="37">
        <f>IF(BQ52="","",IF(BQ52&lt;=28,1,0))</f>
        <v/>
      </c>
      <c r="CF52" s="37">
        <f>IF(OR(BV52="",BE52&lt;&gt;"ניתוח"),"",IF(BV52&lt;=30,1,0))</f>
        <v/>
      </c>
      <c r="CG52" s="37">
        <f>IF(BU52="","",IF(BU52&lt;=56,1,0))</f>
        <v/>
      </c>
      <c r="CH52" s="37">
        <f>IF(BW52="","",IF(BW52&lt;=42,1,0))</f>
        <v/>
      </c>
      <c r="CI52" s="37">
        <f>IF(BX52="","",IF(BX52&lt;=100,1,0))</f>
        <v/>
      </c>
      <c r="CJ52" s="33">
        <f>IF(A52="","",COUNTIF(Delays!$B$5:$B$404,A52))</f>
        <v/>
      </c>
      <c r="CK52" s="35" t="n"/>
    </row>
    <row r="53">
      <c r="A53" s="33">
        <f>IF(OR(B53="",C53="",D53="",AX53=""),"","RET-"&amp;RIGHT(YEAR(AX53),2)&amp;"-"&amp;TEXT(B53,"000")&amp;"-"&amp;C53&amp;"-"&amp;D53&amp;"-"&amp;TEXT(MONTH(AX53),"00"))</f>
        <v/>
      </c>
      <c r="B53" s="34" t="n">
        <v>48</v>
      </c>
      <c r="C53" s="35" t="n"/>
      <c r="D53" s="35" t="n"/>
      <c r="E53" s="33">
        <f>IF(AX53="","",YEAR(AX53))</f>
        <v/>
      </c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6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7">
        <f>IF(Y53="","",IF(OR(Y53="III",Y53="IV",Y53="IVA",Y53="IVB",Y53="IVC"),1,0))</f>
        <v/>
      </c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35" t="n"/>
      <c r="AR53" s="35" t="n"/>
      <c r="AS53" s="35" t="n"/>
      <c r="AT53" s="35" t="n"/>
      <c r="AU53" s="38" t="n"/>
      <c r="AV53" s="38" t="n"/>
      <c r="AW53" s="38" t="n"/>
      <c r="AX53" s="38" t="n"/>
      <c r="AY53" s="38" t="n"/>
      <c r="AZ53" s="38" t="n"/>
      <c r="BA53" s="38" t="n"/>
      <c r="BB53" s="38" t="n"/>
      <c r="BC53" s="38" t="n"/>
      <c r="BD53" s="38" t="n"/>
      <c r="BE53" s="35" t="n"/>
      <c r="BF53" s="35" t="n"/>
      <c r="BG53" s="38" t="n"/>
      <c r="BH53" s="38" t="n"/>
      <c r="BI53" s="38" t="n"/>
      <c r="BJ53" s="35" t="n"/>
      <c r="BK53" s="38" t="n"/>
      <c r="BL53" s="33">
        <f>IF(OR(AU53="",AV53=""),"",AV53-AU53)</f>
        <v/>
      </c>
      <c r="BM53" s="33">
        <f>IF(OR(AV53="",AW53=""),"",AW53-AV53)</f>
        <v/>
      </c>
      <c r="BN53" s="33">
        <f>IF(OR(AW53="",AX53=""),"",AX53-AW53)</f>
        <v/>
      </c>
      <c r="BO53" s="33">
        <f>IF(OR(AX53="",BA53=""),"",BA53-AX53)</f>
        <v/>
      </c>
      <c r="BP53" s="33">
        <f>IF(OR(AV53="",BA53=""),"",BA53-AV53)</f>
        <v/>
      </c>
      <c r="BQ53" s="33">
        <f>IF(OR(BB53="",BD53=""),"",BD53-BB53)</f>
        <v/>
      </c>
      <c r="BR53" s="33">
        <f>IF(OR(AX53="",BD53=""),"",BD53-AX53)</f>
        <v/>
      </c>
      <c r="BS53" s="33">
        <f>IF(OR(AW53="",BD53=""),"",BD53-AW53)</f>
        <v/>
      </c>
      <c r="BT53" s="33">
        <f>IF(OR(AV53="",BD53=""),"",BD53-AV53)</f>
        <v/>
      </c>
      <c r="BU53" s="33">
        <f>IF(OR(AU53="",BD53=""),"",BD53-AU53)</f>
        <v/>
      </c>
      <c r="BV53" s="33">
        <f>IF(OR(BB53="",BG53=""),"",BG53-BB53)</f>
        <v/>
      </c>
      <c r="BW53" s="33">
        <f>IF(OR(BG53="",BH53=""),"",BH53-BG53)</f>
        <v/>
      </c>
      <c r="BX53" s="33">
        <f>IF(OR(BG53="",BI53=""),"",BI53-BG53)</f>
        <v/>
      </c>
      <c r="BY53" s="39">
        <f>IF(OR(AX53="",BK53=""),"",ROUND((BK53-AX53)/30.44,1))</f>
        <v/>
      </c>
      <c r="BZ53" s="37">
        <f>IF(BR53="","",IF(BR53&lt;=30,1,0))</f>
        <v/>
      </c>
      <c r="CA53" s="37">
        <f>IF(BR53="","",IF(BR53&gt;40.5,1,0))</f>
        <v/>
      </c>
      <c r="CB53" s="37">
        <f>IF(BR53="","",IF(BR53&gt;60,1,0))</f>
        <v/>
      </c>
      <c r="CC53" s="37">
        <f>IF(BR53="","",IF(BR53&gt;67,1,0))</f>
        <v/>
      </c>
      <c r="CD53" s="37">
        <f>IF(BT53="","",IF(BT53&lt;=30,1,0))</f>
        <v/>
      </c>
      <c r="CE53" s="37">
        <f>IF(BQ53="","",IF(BQ53&lt;=28,1,0))</f>
        <v/>
      </c>
      <c r="CF53" s="37">
        <f>IF(OR(BV53="",BE53&lt;&gt;"ניתוח"),"",IF(BV53&lt;=30,1,0))</f>
        <v/>
      </c>
      <c r="CG53" s="37">
        <f>IF(BU53="","",IF(BU53&lt;=56,1,0))</f>
        <v/>
      </c>
      <c r="CH53" s="37">
        <f>IF(BW53="","",IF(BW53&lt;=42,1,0))</f>
        <v/>
      </c>
      <c r="CI53" s="37">
        <f>IF(BX53="","",IF(BX53&lt;=100,1,0))</f>
        <v/>
      </c>
      <c r="CJ53" s="33">
        <f>IF(A53="","",COUNTIF(Delays!$B$5:$B$404,A53))</f>
        <v/>
      </c>
      <c r="CK53" s="35" t="n"/>
    </row>
    <row r="54">
      <c r="A54" s="33">
        <f>IF(OR(B54="",C54="",D54="",AX54=""),"","RET-"&amp;RIGHT(YEAR(AX54),2)&amp;"-"&amp;TEXT(B54,"000")&amp;"-"&amp;C54&amp;"-"&amp;D54&amp;"-"&amp;TEXT(MONTH(AX54),"00"))</f>
        <v/>
      </c>
      <c r="B54" s="34" t="n">
        <v>49</v>
      </c>
      <c r="C54" s="35" t="n"/>
      <c r="D54" s="35" t="n"/>
      <c r="E54" s="33">
        <f>IF(AX54="","",YEAR(AX54))</f>
        <v/>
      </c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6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7">
        <f>IF(Y54="","",IF(OR(Y54="III",Y54="IV",Y54="IVA",Y54="IVB",Y54="IVC"),1,0))</f>
        <v/>
      </c>
      <c r="AA54" s="35" t="n"/>
      <c r="AB54" s="35" t="n"/>
      <c r="AC54" s="35" t="n"/>
      <c r="AD54" s="35" t="n"/>
      <c r="AE54" s="35" t="n"/>
      <c r="AF54" s="35" t="n"/>
      <c r="AG54" s="35" t="n"/>
      <c r="AH54" s="35" t="n"/>
      <c r="AI54" s="35" t="n"/>
      <c r="AJ54" s="35" t="n"/>
      <c r="AK54" s="35" t="n"/>
      <c r="AL54" s="35" t="n"/>
      <c r="AM54" s="35" t="n"/>
      <c r="AN54" s="35" t="n"/>
      <c r="AO54" s="35" t="n"/>
      <c r="AP54" s="35" t="n"/>
      <c r="AQ54" s="35" t="n"/>
      <c r="AR54" s="35" t="n"/>
      <c r="AS54" s="35" t="n"/>
      <c r="AT54" s="35" t="n"/>
      <c r="AU54" s="38" t="n"/>
      <c r="AV54" s="38" t="n"/>
      <c r="AW54" s="38" t="n"/>
      <c r="AX54" s="38" t="n"/>
      <c r="AY54" s="38" t="n"/>
      <c r="AZ54" s="38" t="n"/>
      <c r="BA54" s="38" t="n"/>
      <c r="BB54" s="38" t="n"/>
      <c r="BC54" s="38" t="n"/>
      <c r="BD54" s="38" t="n"/>
      <c r="BE54" s="35" t="n"/>
      <c r="BF54" s="35" t="n"/>
      <c r="BG54" s="38" t="n"/>
      <c r="BH54" s="38" t="n"/>
      <c r="BI54" s="38" t="n"/>
      <c r="BJ54" s="35" t="n"/>
      <c r="BK54" s="38" t="n"/>
      <c r="BL54" s="33">
        <f>IF(OR(AU54="",AV54=""),"",AV54-AU54)</f>
        <v/>
      </c>
      <c r="BM54" s="33">
        <f>IF(OR(AV54="",AW54=""),"",AW54-AV54)</f>
        <v/>
      </c>
      <c r="BN54" s="33">
        <f>IF(OR(AW54="",AX54=""),"",AX54-AW54)</f>
        <v/>
      </c>
      <c r="BO54" s="33">
        <f>IF(OR(AX54="",BA54=""),"",BA54-AX54)</f>
        <v/>
      </c>
      <c r="BP54" s="33">
        <f>IF(OR(AV54="",BA54=""),"",BA54-AV54)</f>
        <v/>
      </c>
      <c r="BQ54" s="33">
        <f>IF(OR(BB54="",BD54=""),"",BD54-BB54)</f>
        <v/>
      </c>
      <c r="BR54" s="33">
        <f>IF(OR(AX54="",BD54=""),"",BD54-AX54)</f>
        <v/>
      </c>
      <c r="BS54" s="33">
        <f>IF(OR(AW54="",BD54=""),"",BD54-AW54)</f>
        <v/>
      </c>
      <c r="BT54" s="33">
        <f>IF(OR(AV54="",BD54=""),"",BD54-AV54)</f>
        <v/>
      </c>
      <c r="BU54" s="33">
        <f>IF(OR(AU54="",BD54=""),"",BD54-AU54)</f>
        <v/>
      </c>
      <c r="BV54" s="33">
        <f>IF(OR(BB54="",BG54=""),"",BG54-BB54)</f>
        <v/>
      </c>
      <c r="BW54" s="33">
        <f>IF(OR(BG54="",BH54=""),"",BH54-BG54)</f>
        <v/>
      </c>
      <c r="BX54" s="33">
        <f>IF(OR(BG54="",BI54=""),"",BI54-BG54)</f>
        <v/>
      </c>
      <c r="BY54" s="39">
        <f>IF(OR(AX54="",BK54=""),"",ROUND((BK54-AX54)/30.44,1))</f>
        <v/>
      </c>
      <c r="BZ54" s="37">
        <f>IF(BR54="","",IF(BR54&lt;=30,1,0))</f>
        <v/>
      </c>
      <c r="CA54" s="37">
        <f>IF(BR54="","",IF(BR54&gt;40.5,1,0))</f>
        <v/>
      </c>
      <c r="CB54" s="37">
        <f>IF(BR54="","",IF(BR54&gt;60,1,0))</f>
        <v/>
      </c>
      <c r="CC54" s="37">
        <f>IF(BR54="","",IF(BR54&gt;67,1,0))</f>
        <v/>
      </c>
      <c r="CD54" s="37">
        <f>IF(BT54="","",IF(BT54&lt;=30,1,0))</f>
        <v/>
      </c>
      <c r="CE54" s="37">
        <f>IF(BQ54="","",IF(BQ54&lt;=28,1,0))</f>
        <v/>
      </c>
      <c r="CF54" s="37">
        <f>IF(OR(BV54="",BE54&lt;&gt;"ניתוח"),"",IF(BV54&lt;=30,1,0))</f>
        <v/>
      </c>
      <c r="CG54" s="37">
        <f>IF(BU54="","",IF(BU54&lt;=56,1,0))</f>
        <v/>
      </c>
      <c r="CH54" s="37">
        <f>IF(BW54="","",IF(BW54&lt;=42,1,0))</f>
        <v/>
      </c>
      <c r="CI54" s="37">
        <f>IF(BX54="","",IF(BX54&lt;=100,1,0))</f>
        <v/>
      </c>
      <c r="CJ54" s="33">
        <f>IF(A54="","",COUNTIF(Delays!$B$5:$B$404,A54))</f>
        <v/>
      </c>
      <c r="CK54" s="35" t="n"/>
    </row>
    <row r="55">
      <c r="A55" s="33">
        <f>IF(OR(B55="",C55="",D55="",AX55=""),"","RET-"&amp;RIGHT(YEAR(AX55),2)&amp;"-"&amp;TEXT(B55,"000")&amp;"-"&amp;C55&amp;"-"&amp;D55&amp;"-"&amp;TEXT(MONTH(AX55),"00"))</f>
        <v/>
      </c>
      <c r="B55" s="34" t="n">
        <v>50</v>
      </c>
      <c r="C55" s="35" t="n"/>
      <c r="D55" s="35" t="n"/>
      <c r="E55" s="33">
        <f>IF(AX55="","",YEAR(AX55))</f>
        <v/>
      </c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6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7">
        <f>IF(Y55="","",IF(OR(Y55="III",Y55="IV",Y55="IVA",Y55="IVB",Y55="IVC"),1,0))</f>
        <v/>
      </c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5" t="n"/>
      <c r="AN55" s="35" t="n"/>
      <c r="AO55" s="35" t="n"/>
      <c r="AP55" s="35" t="n"/>
      <c r="AQ55" s="35" t="n"/>
      <c r="AR55" s="35" t="n"/>
      <c r="AS55" s="35" t="n"/>
      <c r="AT55" s="35" t="n"/>
      <c r="AU55" s="38" t="n"/>
      <c r="AV55" s="38" t="n"/>
      <c r="AW55" s="38" t="n"/>
      <c r="AX55" s="38" t="n"/>
      <c r="AY55" s="38" t="n"/>
      <c r="AZ55" s="38" t="n"/>
      <c r="BA55" s="38" t="n"/>
      <c r="BB55" s="38" t="n"/>
      <c r="BC55" s="38" t="n"/>
      <c r="BD55" s="38" t="n"/>
      <c r="BE55" s="35" t="n"/>
      <c r="BF55" s="35" t="n"/>
      <c r="BG55" s="38" t="n"/>
      <c r="BH55" s="38" t="n"/>
      <c r="BI55" s="38" t="n"/>
      <c r="BJ55" s="35" t="n"/>
      <c r="BK55" s="38" t="n"/>
      <c r="BL55" s="33">
        <f>IF(OR(AU55="",AV55=""),"",AV55-AU55)</f>
        <v/>
      </c>
      <c r="BM55" s="33">
        <f>IF(OR(AV55="",AW55=""),"",AW55-AV55)</f>
        <v/>
      </c>
      <c r="BN55" s="33">
        <f>IF(OR(AW55="",AX55=""),"",AX55-AW55)</f>
        <v/>
      </c>
      <c r="BO55" s="33">
        <f>IF(OR(AX55="",BA55=""),"",BA55-AX55)</f>
        <v/>
      </c>
      <c r="BP55" s="33">
        <f>IF(OR(AV55="",BA55=""),"",BA55-AV55)</f>
        <v/>
      </c>
      <c r="BQ55" s="33">
        <f>IF(OR(BB55="",BD55=""),"",BD55-BB55)</f>
        <v/>
      </c>
      <c r="BR55" s="33">
        <f>IF(OR(AX55="",BD55=""),"",BD55-AX55)</f>
        <v/>
      </c>
      <c r="BS55" s="33">
        <f>IF(OR(AW55="",BD55=""),"",BD55-AW55)</f>
        <v/>
      </c>
      <c r="BT55" s="33">
        <f>IF(OR(AV55="",BD55=""),"",BD55-AV55)</f>
        <v/>
      </c>
      <c r="BU55" s="33">
        <f>IF(OR(AU55="",BD55=""),"",BD55-AU55)</f>
        <v/>
      </c>
      <c r="BV55" s="33">
        <f>IF(OR(BB55="",BG55=""),"",BG55-BB55)</f>
        <v/>
      </c>
      <c r="BW55" s="33">
        <f>IF(OR(BG55="",BH55=""),"",BH55-BG55)</f>
        <v/>
      </c>
      <c r="BX55" s="33">
        <f>IF(OR(BG55="",BI55=""),"",BI55-BG55)</f>
        <v/>
      </c>
      <c r="BY55" s="39">
        <f>IF(OR(AX55="",BK55=""),"",ROUND((BK55-AX55)/30.44,1))</f>
        <v/>
      </c>
      <c r="BZ55" s="37">
        <f>IF(BR55="","",IF(BR55&lt;=30,1,0))</f>
        <v/>
      </c>
      <c r="CA55" s="37">
        <f>IF(BR55="","",IF(BR55&gt;40.5,1,0))</f>
        <v/>
      </c>
      <c r="CB55" s="37">
        <f>IF(BR55="","",IF(BR55&gt;60,1,0))</f>
        <v/>
      </c>
      <c r="CC55" s="37">
        <f>IF(BR55="","",IF(BR55&gt;67,1,0))</f>
        <v/>
      </c>
      <c r="CD55" s="37">
        <f>IF(BT55="","",IF(BT55&lt;=30,1,0))</f>
        <v/>
      </c>
      <c r="CE55" s="37">
        <f>IF(BQ55="","",IF(BQ55&lt;=28,1,0))</f>
        <v/>
      </c>
      <c r="CF55" s="37">
        <f>IF(OR(BV55="",BE55&lt;&gt;"ניתוח"),"",IF(BV55&lt;=30,1,0))</f>
        <v/>
      </c>
      <c r="CG55" s="37">
        <f>IF(BU55="","",IF(BU55&lt;=56,1,0))</f>
        <v/>
      </c>
      <c r="CH55" s="37">
        <f>IF(BW55="","",IF(BW55&lt;=42,1,0))</f>
        <v/>
      </c>
      <c r="CI55" s="37">
        <f>IF(BX55="","",IF(BX55&lt;=100,1,0))</f>
        <v/>
      </c>
      <c r="CJ55" s="33">
        <f>IF(A55="","",COUNTIF(Delays!$B$5:$B$404,A55))</f>
        <v/>
      </c>
      <c r="CK55" s="35" t="n"/>
    </row>
    <row r="56">
      <c r="A56" s="33">
        <f>IF(OR(B56="",C56="",D56="",AX56=""),"","RET-"&amp;RIGHT(YEAR(AX56),2)&amp;"-"&amp;TEXT(B56,"000")&amp;"-"&amp;C56&amp;"-"&amp;D56&amp;"-"&amp;TEXT(MONTH(AX56),"00"))</f>
        <v/>
      </c>
      <c r="B56" s="34" t="n">
        <v>51</v>
      </c>
      <c r="C56" s="35" t="n"/>
      <c r="D56" s="35" t="n"/>
      <c r="E56" s="33">
        <f>IF(AX56="","",YEAR(AX56))</f>
        <v/>
      </c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6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7">
        <f>IF(Y56="","",IF(OR(Y56="III",Y56="IV",Y56="IVA",Y56="IVB",Y56="IVC"),1,0))</f>
        <v/>
      </c>
      <c r="AA56" s="35" t="n"/>
      <c r="AB56" s="35" t="n"/>
      <c r="AC56" s="35" t="n"/>
      <c r="AD56" s="35" t="n"/>
      <c r="AE56" s="35" t="n"/>
      <c r="AF56" s="35" t="n"/>
      <c r="AG56" s="35" t="n"/>
      <c r="AH56" s="35" t="n"/>
      <c r="AI56" s="35" t="n"/>
      <c r="AJ56" s="35" t="n"/>
      <c r="AK56" s="35" t="n"/>
      <c r="AL56" s="35" t="n"/>
      <c r="AM56" s="35" t="n"/>
      <c r="AN56" s="35" t="n"/>
      <c r="AO56" s="35" t="n"/>
      <c r="AP56" s="35" t="n"/>
      <c r="AQ56" s="35" t="n"/>
      <c r="AR56" s="35" t="n"/>
      <c r="AS56" s="35" t="n"/>
      <c r="AT56" s="35" t="n"/>
      <c r="AU56" s="38" t="n"/>
      <c r="AV56" s="38" t="n"/>
      <c r="AW56" s="38" t="n"/>
      <c r="AX56" s="38" t="n"/>
      <c r="AY56" s="38" t="n"/>
      <c r="AZ56" s="38" t="n"/>
      <c r="BA56" s="38" t="n"/>
      <c r="BB56" s="38" t="n"/>
      <c r="BC56" s="38" t="n"/>
      <c r="BD56" s="38" t="n"/>
      <c r="BE56" s="35" t="n"/>
      <c r="BF56" s="35" t="n"/>
      <c r="BG56" s="38" t="n"/>
      <c r="BH56" s="38" t="n"/>
      <c r="BI56" s="38" t="n"/>
      <c r="BJ56" s="35" t="n"/>
      <c r="BK56" s="38" t="n"/>
      <c r="BL56" s="33">
        <f>IF(OR(AU56="",AV56=""),"",AV56-AU56)</f>
        <v/>
      </c>
      <c r="BM56" s="33">
        <f>IF(OR(AV56="",AW56=""),"",AW56-AV56)</f>
        <v/>
      </c>
      <c r="BN56" s="33">
        <f>IF(OR(AW56="",AX56=""),"",AX56-AW56)</f>
        <v/>
      </c>
      <c r="BO56" s="33">
        <f>IF(OR(AX56="",BA56=""),"",BA56-AX56)</f>
        <v/>
      </c>
      <c r="BP56" s="33">
        <f>IF(OR(AV56="",BA56=""),"",BA56-AV56)</f>
        <v/>
      </c>
      <c r="BQ56" s="33">
        <f>IF(OR(BB56="",BD56=""),"",BD56-BB56)</f>
        <v/>
      </c>
      <c r="BR56" s="33">
        <f>IF(OR(AX56="",BD56=""),"",BD56-AX56)</f>
        <v/>
      </c>
      <c r="BS56" s="33">
        <f>IF(OR(AW56="",BD56=""),"",BD56-AW56)</f>
        <v/>
      </c>
      <c r="BT56" s="33">
        <f>IF(OR(AV56="",BD56=""),"",BD56-AV56)</f>
        <v/>
      </c>
      <c r="BU56" s="33">
        <f>IF(OR(AU56="",BD56=""),"",BD56-AU56)</f>
        <v/>
      </c>
      <c r="BV56" s="33">
        <f>IF(OR(BB56="",BG56=""),"",BG56-BB56)</f>
        <v/>
      </c>
      <c r="BW56" s="33">
        <f>IF(OR(BG56="",BH56=""),"",BH56-BG56)</f>
        <v/>
      </c>
      <c r="BX56" s="33">
        <f>IF(OR(BG56="",BI56=""),"",BI56-BG56)</f>
        <v/>
      </c>
      <c r="BY56" s="39">
        <f>IF(OR(AX56="",BK56=""),"",ROUND((BK56-AX56)/30.44,1))</f>
        <v/>
      </c>
      <c r="BZ56" s="37">
        <f>IF(BR56="","",IF(BR56&lt;=30,1,0))</f>
        <v/>
      </c>
      <c r="CA56" s="37">
        <f>IF(BR56="","",IF(BR56&gt;40.5,1,0))</f>
        <v/>
      </c>
      <c r="CB56" s="37">
        <f>IF(BR56="","",IF(BR56&gt;60,1,0))</f>
        <v/>
      </c>
      <c r="CC56" s="37">
        <f>IF(BR56="","",IF(BR56&gt;67,1,0))</f>
        <v/>
      </c>
      <c r="CD56" s="37">
        <f>IF(BT56="","",IF(BT56&lt;=30,1,0))</f>
        <v/>
      </c>
      <c r="CE56" s="37">
        <f>IF(BQ56="","",IF(BQ56&lt;=28,1,0))</f>
        <v/>
      </c>
      <c r="CF56" s="37">
        <f>IF(OR(BV56="",BE56&lt;&gt;"ניתוח"),"",IF(BV56&lt;=30,1,0))</f>
        <v/>
      </c>
      <c r="CG56" s="37">
        <f>IF(BU56="","",IF(BU56&lt;=56,1,0))</f>
        <v/>
      </c>
      <c r="CH56" s="37">
        <f>IF(BW56="","",IF(BW56&lt;=42,1,0))</f>
        <v/>
      </c>
      <c r="CI56" s="37">
        <f>IF(BX56="","",IF(BX56&lt;=100,1,0))</f>
        <v/>
      </c>
      <c r="CJ56" s="33">
        <f>IF(A56="","",COUNTIF(Delays!$B$5:$B$404,A56))</f>
        <v/>
      </c>
      <c r="CK56" s="35" t="n"/>
    </row>
    <row r="57">
      <c r="A57" s="33">
        <f>IF(OR(B57="",C57="",D57="",AX57=""),"","RET-"&amp;RIGHT(YEAR(AX57),2)&amp;"-"&amp;TEXT(B57,"000")&amp;"-"&amp;C57&amp;"-"&amp;D57&amp;"-"&amp;TEXT(MONTH(AX57),"00"))</f>
        <v/>
      </c>
      <c r="B57" s="34" t="n">
        <v>52</v>
      </c>
      <c r="C57" s="35" t="n"/>
      <c r="D57" s="35" t="n"/>
      <c r="E57" s="33">
        <f>IF(AX57="","",YEAR(AX57))</f>
        <v/>
      </c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6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7">
        <f>IF(Y57="","",IF(OR(Y57="III",Y57="IV",Y57="IVA",Y57="IVB",Y57="IVC"),1,0))</f>
        <v/>
      </c>
      <c r="AA57" s="35" t="n"/>
      <c r="AB57" s="35" t="n"/>
      <c r="AC57" s="35" t="n"/>
      <c r="AD57" s="35" t="n"/>
      <c r="AE57" s="35" t="n"/>
      <c r="AF57" s="35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  <c r="AR57" s="35" t="n"/>
      <c r="AS57" s="35" t="n"/>
      <c r="AT57" s="35" t="n"/>
      <c r="AU57" s="38" t="n"/>
      <c r="AV57" s="38" t="n"/>
      <c r="AW57" s="38" t="n"/>
      <c r="AX57" s="38" t="n"/>
      <c r="AY57" s="38" t="n"/>
      <c r="AZ57" s="38" t="n"/>
      <c r="BA57" s="38" t="n"/>
      <c r="BB57" s="38" t="n"/>
      <c r="BC57" s="38" t="n"/>
      <c r="BD57" s="38" t="n"/>
      <c r="BE57" s="35" t="n"/>
      <c r="BF57" s="35" t="n"/>
      <c r="BG57" s="38" t="n"/>
      <c r="BH57" s="38" t="n"/>
      <c r="BI57" s="38" t="n"/>
      <c r="BJ57" s="35" t="n"/>
      <c r="BK57" s="38" t="n"/>
      <c r="BL57" s="33">
        <f>IF(OR(AU57="",AV57=""),"",AV57-AU57)</f>
        <v/>
      </c>
      <c r="BM57" s="33">
        <f>IF(OR(AV57="",AW57=""),"",AW57-AV57)</f>
        <v/>
      </c>
      <c r="BN57" s="33">
        <f>IF(OR(AW57="",AX57=""),"",AX57-AW57)</f>
        <v/>
      </c>
      <c r="BO57" s="33">
        <f>IF(OR(AX57="",BA57=""),"",BA57-AX57)</f>
        <v/>
      </c>
      <c r="BP57" s="33">
        <f>IF(OR(AV57="",BA57=""),"",BA57-AV57)</f>
        <v/>
      </c>
      <c r="BQ57" s="33">
        <f>IF(OR(BB57="",BD57=""),"",BD57-BB57)</f>
        <v/>
      </c>
      <c r="BR57" s="33">
        <f>IF(OR(AX57="",BD57=""),"",BD57-AX57)</f>
        <v/>
      </c>
      <c r="BS57" s="33">
        <f>IF(OR(AW57="",BD57=""),"",BD57-AW57)</f>
        <v/>
      </c>
      <c r="BT57" s="33">
        <f>IF(OR(AV57="",BD57=""),"",BD57-AV57)</f>
        <v/>
      </c>
      <c r="BU57" s="33">
        <f>IF(OR(AU57="",BD57=""),"",BD57-AU57)</f>
        <v/>
      </c>
      <c r="BV57" s="33">
        <f>IF(OR(BB57="",BG57=""),"",BG57-BB57)</f>
        <v/>
      </c>
      <c r="BW57" s="33">
        <f>IF(OR(BG57="",BH57=""),"",BH57-BG57)</f>
        <v/>
      </c>
      <c r="BX57" s="33">
        <f>IF(OR(BG57="",BI57=""),"",BI57-BG57)</f>
        <v/>
      </c>
      <c r="BY57" s="39">
        <f>IF(OR(AX57="",BK57=""),"",ROUND((BK57-AX57)/30.44,1))</f>
        <v/>
      </c>
      <c r="BZ57" s="37">
        <f>IF(BR57="","",IF(BR57&lt;=30,1,0))</f>
        <v/>
      </c>
      <c r="CA57" s="37">
        <f>IF(BR57="","",IF(BR57&gt;40.5,1,0))</f>
        <v/>
      </c>
      <c r="CB57" s="37">
        <f>IF(BR57="","",IF(BR57&gt;60,1,0))</f>
        <v/>
      </c>
      <c r="CC57" s="37">
        <f>IF(BR57="","",IF(BR57&gt;67,1,0))</f>
        <v/>
      </c>
      <c r="CD57" s="37">
        <f>IF(BT57="","",IF(BT57&lt;=30,1,0))</f>
        <v/>
      </c>
      <c r="CE57" s="37">
        <f>IF(BQ57="","",IF(BQ57&lt;=28,1,0))</f>
        <v/>
      </c>
      <c r="CF57" s="37">
        <f>IF(OR(BV57="",BE57&lt;&gt;"ניתוח"),"",IF(BV57&lt;=30,1,0))</f>
        <v/>
      </c>
      <c r="CG57" s="37">
        <f>IF(BU57="","",IF(BU57&lt;=56,1,0))</f>
        <v/>
      </c>
      <c r="CH57" s="37">
        <f>IF(BW57="","",IF(BW57&lt;=42,1,0))</f>
        <v/>
      </c>
      <c r="CI57" s="37">
        <f>IF(BX57="","",IF(BX57&lt;=100,1,0))</f>
        <v/>
      </c>
      <c r="CJ57" s="33">
        <f>IF(A57="","",COUNTIF(Delays!$B$5:$B$404,A57))</f>
        <v/>
      </c>
      <c r="CK57" s="35" t="n"/>
    </row>
    <row r="58">
      <c r="A58" s="33">
        <f>IF(OR(B58="",C58="",D58="",AX58=""),"","RET-"&amp;RIGHT(YEAR(AX58),2)&amp;"-"&amp;TEXT(B58,"000")&amp;"-"&amp;C58&amp;"-"&amp;D58&amp;"-"&amp;TEXT(MONTH(AX58),"00"))</f>
        <v/>
      </c>
      <c r="B58" s="34" t="n">
        <v>53</v>
      </c>
      <c r="C58" s="35" t="n"/>
      <c r="D58" s="35" t="n"/>
      <c r="E58" s="33">
        <f>IF(AX58="","",YEAR(AX58))</f>
        <v/>
      </c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6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7">
        <f>IF(Y58="","",IF(OR(Y58="III",Y58="IV",Y58="IVA",Y58="IVB",Y58="IVC"),1,0))</f>
        <v/>
      </c>
      <c r="AA58" s="35" t="n"/>
      <c r="AB58" s="35" t="n"/>
      <c r="AC58" s="35" t="n"/>
      <c r="AD58" s="35" t="n"/>
      <c r="AE58" s="35" t="n"/>
      <c r="AF58" s="35" t="n"/>
      <c r="AG58" s="35" t="n"/>
      <c r="AH58" s="35" t="n"/>
      <c r="AI58" s="35" t="n"/>
      <c r="AJ58" s="35" t="n"/>
      <c r="AK58" s="35" t="n"/>
      <c r="AL58" s="35" t="n"/>
      <c r="AM58" s="35" t="n"/>
      <c r="AN58" s="35" t="n"/>
      <c r="AO58" s="35" t="n"/>
      <c r="AP58" s="35" t="n"/>
      <c r="AQ58" s="35" t="n"/>
      <c r="AR58" s="35" t="n"/>
      <c r="AS58" s="35" t="n"/>
      <c r="AT58" s="35" t="n"/>
      <c r="AU58" s="38" t="n"/>
      <c r="AV58" s="38" t="n"/>
      <c r="AW58" s="38" t="n"/>
      <c r="AX58" s="38" t="n"/>
      <c r="AY58" s="38" t="n"/>
      <c r="AZ58" s="38" t="n"/>
      <c r="BA58" s="38" t="n"/>
      <c r="BB58" s="38" t="n"/>
      <c r="BC58" s="38" t="n"/>
      <c r="BD58" s="38" t="n"/>
      <c r="BE58" s="35" t="n"/>
      <c r="BF58" s="35" t="n"/>
      <c r="BG58" s="38" t="n"/>
      <c r="BH58" s="38" t="n"/>
      <c r="BI58" s="38" t="n"/>
      <c r="BJ58" s="35" t="n"/>
      <c r="BK58" s="38" t="n"/>
      <c r="BL58" s="33">
        <f>IF(OR(AU58="",AV58=""),"",AV58-AU58)</f>
        <v/>
      </c>
      <c r="BM58" s="33">
        <f>IF(OR(AV58="",AW58=""),"",AW58-AV58)</f>
        <v/>
      </c>
      <c r="BN58" s="33">
        <f>IF(OR(AW58="",AX58=""),"",AX58-AW58)</f>
        <v/>
      </c>
      <c r="BO58" s="33">
        <f>IF(OR(AX58="",BA58=""),"",BA58-AX58)</f>
        <v/>
      </c>
      <c r="BP58" s="33">
        <f>IF(OR(AV58="",BA58=""),"",BA58-AV58)</f>
        <v/>
      </c>
      <c r="BQ58" s="33">
        <f>IF(OR(BB58="",BD58=""),"",BD58-BB58)</f>
        <v/>
      </c>
      <c r="BR58" s="33">
        <f>IF(OR(AX58="",BD58=""),"",BD58-AX58)</f>
        <v/>
      </c>
      <c r="BS58" s="33">
        <f>IF(OR(AW58="",BD58=""),"",BD58-AW58)</f>
        <v/>
      </c>
      <c r="BT58" s="33">
        <f>IF(OR(AV58="",BD58=""),"",BD58-AV58)</f>
        <v/>
      </c>
      <c r="BU58" s="33">
        <f>IF(OR(AU58="",BD58=""),"",BD58-AU58)</f>
        <v/>
      </c>
      <c r="BV58" s="33">
        <f>IF(OR(BB58="",BG58=""),"",BG58-BB58)</f>
        <v/>
      </c>
      <c r="BW58" s="33">
        <f>IF(OR(BG58="",BH58=""),"",BH58-BG58)</f>
        <v/>
      </c>
      <c r="BX58" s="33">
        <f>IF(OR(BG58="",BI58=""),"",BI58-BG58)</f>
        <v/>
      </c>
      <c r="BY58" s="39">
        <f>IF(OR(AX58="",BK58=""),"",ROUND((BK58-AX58)/30.44,1))</f>
        <v/>
      </c>
      <c r="BZ58" s="37">
        <f>IF(BR58="","",IF(BR58&lt;=30,1,0))</f>
        <v/>
      </c>
      <c r="CA58" s="37">
        <f>IF(BR58="","",IF(BR58&gt;40.5,1,0))</f>
        <v/>
      </c>
      <c r="CB58" s="37">
        <f>IF(BR58="","",IF(BR58&gt;60,1,0))</f>
        <v/>
      </c>
      <c r="CC58" s="37">
        <f>IF(BR58="","",IF(BR58&gt;67,1,0))</f>
        <v/>
      </c>
      <c r="CD58" s="37">
        <f>IF(BT58="","",IF(BT58&lt;=30,1,0))</f>
        <v/>
      </c>
      <c r="CE58" s="37">
        <f>IF(BQ58="","",IF(BQ58&lt;=28,1,0))</f>
        <v/>
      </c>
      <c r="CF58" s="37">
        <f>IF(OR(BV58="",BE58&lt;&gt;"ניתוח"),"",IF(BV58&lt;=30,1,0))</f>
        <v/>
      </c>
      <c r="CG58" s="37">
        <f>IF(BU58="","",IF(BU58&lt;=56,1,0))</f>
        <v/>
      </c>
      <c r="CH58" s="37">
        <f>IF(BW58="","",IF(BW58&lt;=42,1,0))</f>
        <v/>
      </c>
      <c r="CI58" s="37">
        <f>IF(BX58="","",IF(BX58&lt;=100,1,0))</f>
        <v/>
      </c>
      <c r="CJ58" s="33">
        <f>IF(A58="","",COUNTIF(Delays!$B$5:$B$404,A58))</f>
        <v/>
      </c>
      <c r="CK58" s="35" t="n"/>
    </row>
    <row r="59">
      <c r="A59" s="33">
        <f>IF(OR(B59="",C59="",D59="",AX59=""),"","RET-"&amp;RIGHT(YEAR(AX59),2)&amp;"-"&amp;TEXT(B59,"000")&amp;"-"&amp;C59&amp;"-"&amp;D59&amp;"-"&amp;TEXT(MONTH(AX59),"00"))</f>
        <v/>
      </c>
      <c r="B59" s="34" t="n">
        <v>54</v>
      </c>
      <c r="C59" s="35" t="n"/>
      <c r="D59" s="35" t="n"/>
      <c r="E59" s="33">
        <f>IF(AX59="","",YEAR(AX59))</f>
        <v/>
      </c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6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7">
        <f>IF(Y59="","",IF(OR(Y59="III",Y59="IV",Y59="IVA",Y59="IVB",Y59="IVC"),1,0))</f>
        <v/>
      </c>
      <c r="AA59" s="35" t="n"/>
      <c r="AB59" s="35" t="n"/>
      <c r="AC59" s="35" t="n"/>
      <c r="AD59" s="35" t="n"/>
      <c r="AE59" s="35" t="n"/>
      <c r="AF59" s="35" t="n"/>
      <c r="AG59" s="35" t="n"/>
      <c r="AH59" s="35" t="n"/>
      <c r="AI59" s="35" t="n"/>
      <c r="AJ59" s="35" t="n"/>
      <c r="AK59" s="35" t="n"/>
      <c r="AL59" s="35" t="n"/>
      <c r="AM59" s="35" t="n"/>
      <c r="AN59" s="35" t="n"/>
      <c r="AO59" s="35" t="n"/>
      <c r="AP59" s="35" t="n"/>
      <c r="AQ59" s="35" t="n"/>
      <c r="AR59" s="35" t="n"/>
      <c r="AS59" s="35" t="n"/>
      <c r="AT59" s="35" t="n"/>
      <c r="AU59" s="38" t="n"/>
      <c r="AV59" s="38" t="n"/>
      <c r="AW59" s="38" t="n"/>
      <c r="AX59" s="38" t="n"/>
      <c r="AY59" s="38" t="n"/>
      <c r="AZ59" s="38" t="n"/>
      <c r="BA59" s="38" t="n"/>
      <c r="BB59" s="38" t="n"/>
      <c r="BC59" s="38" t="n"/>
      <c r="BD59" s="38" t="n"/>
      <c r="BE59" s="35" t="n"/>
      <c r="BF59" s="35" t="n"/>
      <c r="BG59" s="38" t="n"/>
      <c r="BH59" s="38" t="n"/>
      <c r="BI59" s="38" t="n"/>
      <c r="BJ59" s="35" t="n"/>
      <c r="BK59" s="38" t="n"/>
      <c r="BL59" s="33">
        <f>IF(OR(AU59="",AV59=""),"",AV59-AU59)</f>
        <v/>
      </c>
      <c r="BM59" s="33">
        <f>IF(OR(AV59="",AW59=""),"",AW59-AV59)</f>
        <v/>
      </c>
      <c r="BN59" s="33">
        <f>IF(OR(AW59="",AX59=""),"",AX59-AW59)</f>
        <v/>
      </c>
      <c r="BO59" s="33">
        <f>IF(OR(AX59="",BA59=""),"",BA59-AX59)</f>
        <v/>
      </c>
      <c r="BP59" s="33">
        <f>IF(OR(AV59="",BA59=""),"",BA59-AV59)</f>
        <v/>
      </c>
      <c r="BQ59" s="33">
        <f>IF(OR(BB59="",BD59=""),"",BD59-BB59)</f>
        <v/>
      </c>
      <c r="BR59" s="33">
        <f>IF(OR(AX59="",BD59=""),"",BD59-AX59)</f>
        <v/>
      </c>
      <c r="BS59" s="33">
        <f>IF(OR(AW59="",BD59=""),"",BD59-AW59)</f>
        <v/>
      </c>
      <c r="BT59" s="33">
        <f>IF(OR(AV59="",BD59=""),"",BD59-AV59)</f>
        <v/>
      </c>
      <c r="BU59" s="33">
        <f>IF(OR(AU59="",BD59=""),"",BD59-AU59)</f>
        <v/>
      </c>
      <c r="BV59" s="33">
        <f>IF(OR(BB59="",BG59=""),"",BG59-BB59)</f>
        <v/>
      </c>
      <c r="BW59" s="33">
        <f>IF(OR(BG59="",BH59=""),"",BH59-BG59)</f>
        <v/>
      </c>
      <c r="BX59" s="33">
        <f>IF(OR(BG59="",BI59=""),"",BI59-BG59)</f>
        <v/>
      </c>
      <c r="BY59" s="39">
        <f>IF(OR(AX59="",BK59=""),"",ROUND((BK59-AX59)/30.44,1))</f>
        <v/>
      </c>
      <c r="BZ59" s="37">
        <f>IF(BR59="","",IF(BR59&lt;=30,1,0))</f>
        <v/>
      </c>
      <c r="CA59" s="37">
        <f>IF(BR59="","",IF(BR59&gt;40.5,1,0))</f>
        <v/>
      </c>
      <c r="CB59" s="37">
        <f>IF(BR59="","",IF(BR59&gt;60,1,0))</f>
        <v/>
      </c>
      <c r="CC59" s="37">
        <f>IF(BR59="","",IF(BR59&gt;67,1,0))</f>
        <v/>
      </c>
      <c r="CD59" s="37">
        <f>IF(BT59="","",IF(BT59&lt;=30,1,0))</f>
        <v/>
      </c>
      <c r="CE59" s="37">
        <f>IF(BQ59="","",IF(BQ59&lt;=28,1,0))</f>
        <v/>
      </c>
      <c r="CF59" s="37">
        <f>IF(OR(BV59="",BE59&lt;&gt;"ניתוח"),"",IF(BV59&lt;=30,1,0))</f>
        <v/>
      </c>
      <c r="CG59" s="37">
        <f>IF(BU59="","",IF(BU59&lt;=56,1,0))</f>
        <v/>
      </c>
      <c r="CH59" s="37">
        <f>IF(BW59="","",IF(BW59&lt;=42,1,0))</f>
        <v/>
      </c>
      <c r="CI59" s="37">
        <f>IF(BX59="","",IF(BX59&lt;=100,1,0))</f>
        <v/>
      </c>
      <c r="CJ59" s="33">
        <f>IF(A59="","",COUNTIF(Delays!$B$5:$B$404,A59))</f>
        <v/>
      </c>
      <c r="CK59" s="35" t="n"/>
    </row>
    <row r="60">
      <c r="A60" s="33">
        <f>IF(OR(B60="",C60="",D60="",AX60=""),"","RET-"&amp;RIGHT(YEAR(AX60),2)&amp;"-"&amp;TEXT(B60,"000")&amp;"-"&amp;C60&amp;"-"&amp;D60&amp;"-"&amp;TEXT(MONTH(AX60),"00"))</f>
        <v/>
      </c>
      <c r="B60" s="34" t="n">
        <v>55</v>
      </c>
      <c r="C60" s="35" t="n"/>
      <c r="D60" s="35" t="n"/>
      <c r="E60" s="33">
        <f>IF(AX60="","",YEAR(AX60))</f>
        <v/>
      </c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6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7">
        <f>IF(Y60="","",IF(OR(Y60="III",Y60="IV",Y60="IVA",Y60="IVB",Y60="IVC"),1,0))</f>
        <v/>
      </c>
      <c r="AA60" s="35" t="n"/>
      <c r="AB60" s="35" t="n"/>
      <c r="AC60" s="35" t="n"/>
      <c r="AD60" s="35" t="n"/>
      <c r="AE60" s="35" t="n"/>
      <c r="AF60" s="35" t="n"/>
      <c r="AG60" s="35" t="n"/>
      <c r="AH60" s="35" t="n"/>
      <c r="AI60" s="35" t="n"/>
      <c r="AJ60" s="35" t="n"/>
      <c r="AK60" s="35" t="n"/>
      <c r="AL60" s="35" t="n"/>
      <c r="AM60" s="35" t="n"/>
      <c r="AN60" s="35" t="n"/>
      <c r="AO60" s="35" t="n"/>
      <c r="AP60" s="35" t="n"/>
      <c r="AQ60" s="35" t="n"/>
      <c r="AR60" s="35" t="n"/>
      <c r="AS60" s="35" t="n"/>
      <c r="AT60" s="35" t="n"/>
      <c r="AU60" s="38" t="n"/>
      <c r="AV60" s="38" t="n"/>
      <c r="AW60" s="38" t="n"/>
      <c r="AX60" s="38" t="n"/>
      <c r="AY60" s="38" t="n"/>
      <c r="AZ60" s="38" t="n"/>
      <c r="BA60" s="38" t="n"/>
      <c r="BB60" s="38" t="n"/>
      <c r="BC60" s="38" t="n"/>
      <c r="BD60" s="38" t="n"/>
      <c r="BE60" s="35" t="n"/>
      <c r="BF60" s="35" t="n"/>
      <c r="BG60" s="38" t="n"/>
      <c r="BH60" s="38" t="n"/>
      <c r="BI60" s="38" t="n"/>
      <c r="BJ60" s="35" t="n"/>
      <c r="BK60" s="38" t="n"/>
      <c r="BL60" s="33">
        <f>IF(OR(AU60="",AV60=""),"",AV60-AU60)</f>
        <v/>
      </c>
      <c r="BM60" s="33">
        <f>IF(OR(AV60="",AW60=""),"",AW60-AV60)</f>
        <v/>
      </c>
      <c r="BN60" s="33">
        <f>IF(OR(AW60="",AX60=""),"",AX60-AW60)</f>
        <v/>
      </c>
      <c r="BO60" s="33">
        <f>IF(OR(AX60="",BA60=""),"",BA60-AX60)</f>
        <v/>
      </c>
      <c r="BP60" s="33">
        <f>IF(OR(AV60="",BA60=""),"",BA60-AV60)</f>
        <v/>
      </c>
      <c r="BQ60" s="33">
        <f>IF(OR(BB60="",BD60=""),"",BD60-BB60)</f>
        <v/>
      </c>
      <c r="BR60" s="33">
        <f>IF(OR(AX60="",BD60=""),"",BD60-AX60)</f>
        <v/>
      </c>
      <c r="BS60" s="33">
        <f>IF(OR(AW60="",BD60=""),"",BD60-AW60)</f>
        <v/>
      </c>
      <c r="BT60" s="33">
        <f>IF(OR(AV60="",BD60=""),"",BD60-AV60)</f>
        <v/>
      </c>
      <c r="BU60" s="33">
        <f>IF(OR(AU60="",BD60=""),"",BD60-AU60)</f>
        <v/>
      </c>
      <c r="BV60" s="33">
        <f>IF(OR(BB60="",BG60=""),"",BG60-BB60)</f>
        <v/>
      </c>
      <c r="BW60" s="33">
        <f>IF(OR(BG60="",BH60=""),"",BH60-BG60)</f>
        <v/>
      </c>
      <c r="BX60" s="33">
        <f>IF(OR(BG60="",BI60=""),"",BI60-BG60)</f>
        <v/>
      </c>
      <c r="BY60" s="39">
        <f>IF(OR(AX60="",BK60=""),"",ROUND((BK60-AX60)/30.44,1))</f>
        <v/>
      </c>
      <c r="BZ60" s="37">
        <f>IF(BR60="","",IF(BR60&lt;=30,1,0))</f>
        <v/>
      </c>
      <c r="CA60" s="37">
        <f>IF(BR60="","",IF(BR60&gt;40.5,1,0))</f>
        <v/>
      </c>
      <c r="CB60" s="37">
        <f>IF(BR60="","",IF(BR60&gt;60,1,0))</f>
        <v/>
      </c>
      <c r="CC60" s="37">
        <f>IF(BR60="","",IF(BR60&gt;67,1,0))</f>
        <v/>
      </c>
      <c r="CD60" s="37">
        <f>IF(BT60="","",IF(BT60&lt;=30,1,0))</f>
        <v/>
      </c>
      <c r="CE60" s="37">
        <f>IF(BQ60="","",IF(BQ60&lt;=28,1,0))</f>
        <v/>
      </c>
      <c r="CF60" s="37">
        <f>IF(OR(BV60="",BE60&lt;&gt;"ניתוח"),"",IF(BV60&lt;=30,1,0))</f>
        <v/>
      </c>
      <c r="CG60" s="37">
        <f>IF(BU60="","",IF(BU60&lt;=56,1,0))</f>
        <v/>
      </c>
      <c r="CH60" s="37">
        <f>IF(BW60="","",IF(BW60&lt;=42,1,0))</f>
        <v/>
      </c>
      <c r="CI60" s="37">
        <f>IF(BX60="","",IF(BX60&lt;=100,1,0))</f>
        <v/>
      </c>
      <c r="CJ60" s="33">
        <f>IF(A60="","",COUNTIF(Delays!$B$5:$B$404,A60))</f>
        <v/>
      </c>
      <c r="CK60" s="35" t="n"/>
    </row>
    <row r="61">
      <c r="A61" s="33">
        <f>IF(OR(B61="",C61="",D61="",AX61=""),"","RET-"&amp;RIGHT(YEAR(AX61),2)&amp;"-"&amp;TEXT(B61,"000")&amp;"-"&amp;C61&amp;"-"&amp;D61&amp;"-"&amp;TEXT(MONTH(AX61),"00"))</f>
        <v/>
      </c>
      <c r="B61" s="34" t="n">
        <v>56</v>
      </c>
      <c r="C61" s="35" t="n"/>
      <c r="D61" s="35" t="n"/>
      <c r="E61" s="33">
        <f>IF(AX61="","",YEAR(AX61))</f>
        <v/>
      </c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6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7">
        <f>IF(Y61="","",IF(OR(Y61="III",Y61="IV",Y61="IVA",Y61="IVB",Y61="IVC"),1,0))</f>
        <v/>
      </c>
      <c r="AA61" s="35" t="n"/>
      <c r="AB61" s="35" t="n"/>
      <c r="AC61" s="35" t="n"/>
      <c r="AD61" s="35" t="n"/>
      <c r="AE61" s="35" t="n"/>
      <c r="AF61" s="35" t="n"/>
      <c r="AG61" s="35" t="n"/>
      <c r="AH61" s="35" t="n"/>
      <c r="AI61" s="35" t="n"/>
      <c r="AJ61" s="35" t="n"/>
      <c r="AK61" s="35" t="n"/>
      <c r="AL61" s="35" t="n"/>
      <c r="AM61" s="35" t="n"/>
      <c r="AN61" s="35" t="n"/>
      <c r="AO61" s="35" t="n"/>
      <c r="AP61" s="35" t="n"/>
      <c r="AQ61" s="35" t="n"/>
      <c r="AR61" s="35" t="n"/>
      <c r="AS61" s="35" t="n"/>
      <c r="AT61" s="35" t="n"/>
      <c r="AU61" s="38" t="n"/>
      <c r="AV61" s="38" t="n"/>
      <c r="AW61" s="38" t="n"/>
      <c r="AX61" s="38" t="n"/>
      <c r="AY61" s="38" t="n"/>
      <c r="AZ61" s="38" t="n"/>
      <c r="BA61" s="38" t="n"/>
      <c r="BB61" s="38" t="n"/>
      <c r="BC61" s="38" t="n"/>
      <c r="BD61" s="38" t="n"/>
      <c r="BE61" s="35" t="n"/>
      <c r="BF61" s="35" t="n"/>
      <c r="BG61" s="38" t="n"/>
      <c r="BH61" s="38" t="n"/>
      <c r="BI61" s="38" t="n"/>
      <c r="BJ61" s="35" t="n"/>
      <c r="BK61" s="38" t="n"/>
      <c r="BL61" s="33">
        <f>IF(OR(AU61="",AV61=""),"",AV61-AU61)</f>
        <v/>
      </c>
      <c r="BM61" s="33">
        <f>IF(OR(AV61="",AW61=""),"",AW61-AV61)</f>
        <v/>
      </c>
      <c r="BN61" s="33">
        <f>IF(OR(AW61="",AX61=""),"",AX61-AW61)</f>
        <v/>
      </c>
      <c r="BO61" s="33">
        <f>IF(OR(AX61="",BA61=""),"",BA61-AX61)</f>
        <v/>
      </c>
      <c r="BP61" s="33">
        <f>IF(OR(AV61="",BA61=""),"",BA61-AV61)</f>
        <v/>
      </c>
      <c r="BQ61" s="33">
        <f>IF(OR(BB61="",BD61=""),"",BD61-BB61)</f>
        <v/>
      </c>
      <c r="BR61" s="33">
        <f>IF(OR(AX61="",BD61=""),"",BD61-AX61)</f>
        <v/>
      </c>
      <c r="BS61" s="33">
        <f>IF(OR(AW61="",BD61=""),"",BD61-AW61)</f>
        <v/>
      </c>
      <c r="BT61" s="33">
        <f>IF(OR(AV61="",BD61=""),"",BD61-AV61)</f>
        <v/>
      </c>
      <c r="BU61" s="33">
        <f>IF(OR(AU61="",BD61=""),"",BD61-AU61)</f>
        <v/>
      </c>
      <c r="BV61" s="33">
        <f>IF(OR(BB61="",BG61=""),"",BG61-BB61)</f>
        <v/>
      </c>
      <c r="BW61" s="33">
        <f>IF(OR(BG61="",BH61=""),"",BH61-BG61)</f>
        <v/>
      </c>
      <c r="BX61" s="33">
        <f>IF(OR(BG61="",BI61=""),"",BI61-BG61)</f>
        <v/>
      </c>
      <c r="BY61" s="39">
        <f>IF(OR(AX61="",BK61=""),"",ROUND((BK61-AX61)/30.44,1))</f>
        <v/>
      </c>
      <c r="BZ61" s="37">
        <f>IF(BR61="","",IF(BR61&lt;=30,1,0))</f>
        <v/>
      </c>
      <c r="CA61" s="37">
        <f>IF(BR61="","",IF(BR61&gt;40.5,1,0))</f>
        <v/>
      </c>
      <c r="CB61" s="37">
        <f>IF(BR61="","",IF(BR61&gt;60,1,0))</f>
        <v/>
      </c>
      <c r="CC61" s="37">
        <f>IF(BR61="","",IF(BR61&gt;67,1,0))</f>
        <v/>
      </c>
      <c r="CD61" s="37">
        <f>IF(BT61="","",IF(BT61&lt;=30,1,0))</f>
        <v/>
      </c>
      <c r="CE61" s="37">
        <f>IF(BQ61="","",IF(BQ61&lt;=28,1,0))</f>
        <v/>
      </c>
      <c r="CF61" s="37">
        <f>IF(OR(BV61="",BE61&lt;&gt;"ניתוח"),"",IF(BV61&lt;=30,1,0))</f>
        <v/>
      </c>
      <c r="CG61" s="37">
        <f>IF(BU61="","",IF(BU61&lt;=56,1,0))</f>
        <v/>
      </c>
      <c r="CH61" s="37">
        <f>IF(BW61="","",IF(BW61&lt;=42,1,0))</f>
        <v/>
      </c>
      <c r="CI61" s="37">
        <f>IF(BX61="","",IF(BX61&lt;=100,1,0))</f>
        <v/>
      </c>
      <c r="CJ61" s="33">
        <f>IF(A61="","",COUNTIF(Delays!$B$5:$B$404,A61))</f>
        <v/>
      </c>
      <c r="CK61" s="35" t="n"/>
    </row>
    <row r="62">
      <c r="A62" s="33">
        <f>IF(OR(B62="",C62="",D62="",AX62=""),"","RET-"&amp;RIGHT(YEAR(AX62),2)&amp;"-"&amp;TEXT(B62,"000")&amp;"-"&amp;C62&amp;"-"&amp;D62&amp;"-"&amp;TEXT(MONTH(AX62),"00"))</f>
        <v/>
      </c>
      <c r="B62" s="34" t="n">
        <v>57</v>
      </c>
      <c r="C62" s="35" t="n"/>
      <c r="D62" s="35" t="n"/>
      <c r="E62" s="33">
        <f>IF(AX62="","",YEAR(AX62))</f>
        <v/>
      </c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6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7">
        <f>IF(Y62="","",IF(OR(Y62="III",Y62="IV",Y62="IVA",Y62="IVB",Y62="IVC"),1,0))</f>
        <v/>
      </c>
      <c r="AA62" s="35" t="n"/>
      <c r="AB62" s="35" t="n"/>
      <c r="AC62" s="35" t="n"/>
      <c r="AD62" s="35" t="n"/>
      <c r="AE62" s="35" t="n"/>
      <c r="AF62" s="35" t="n"/>
      <c r="AG62" s="35" t="n"/>
      <c r="AH62" s="35" t="n"/>
      <c r="AI62" s="35" t="n"/>
      <c r="AJ62" s="35" t="n"/>
      <c r="AK62" s="35" t="n"/>
      <c r="AL62" s="35" t="n"/>
      <c r="AM62" s="35" t="n"/>
      <c r="AN62" s="35" t="n"/>
      <c r="AO62" s="35" t="n"/>
      <c r="AP62" s="35" t="n"/>
      <c r="AQ62" s="35" t="n"/>
      <c r="AR62" s="35" t="n"/>
      <c r="AS62" s="35" t="n"/>
      <c r="AT62" s="35" t="n"/>
      <c r="AU62" s="38" t="n"/>
      <c r="AV62" s="38" t="n"/>
      <c r="AW62" s="38" t="n"/>
      <c r="AX62" s="38" t="n"/>
      <c r="AY62" s="38" t="n"/>
      <c r="AZ62" s="38" t="n"/>
      <c r="BA62" s="38" t="n"/>
      <c r="BB62" s="38" t="n"/>
      <c r="BC62" s="38" t="n"/>
      <c r="BD62" s="38" t="n"/>
      <c r="BE62" s="35" t="n"/>
      <c r="BF62" s="35" t="n"/>
      <c r="BG62" s="38" t="n"/>
      <c r="BH62" s="38" t="n"/>
      <c r="BI62" s="38" t="n"/>
      <c r="BJ62" s="35" t="n"/>
      <c r="BK62" s="38" t="n"/>
      <c r="BL62" s="33">
        <f>IF(OR(AU62="",AV62=""),"",AV62-AU62)</f>
        <v/>
      </c>
      <c r="BM62" s="33">
        <f>IF(OR(AV62="",AW62=""),"",AW62-AV62)</f>
        <v/>
      </c>
      <c r="BN62" s="33">
        <f>IF(OR(AW62="",AX62=""),"",AX62-AW62)</f>
        <v/>
      </c>
      <c r="BO62" s="33">
        <f>IF(OR(AX62="",BA62=""),"",BA62-AX62)</f>
        <v/>
      </c>
      <c r="BP62" s="33">
        <f>IF(OR(AV62="",BA62=""),"",BA62-AV62)</f>
        <v/>
      </c>
      <c r="BQ62" s="33">
        <f>IF(OR(BB62="",BD62=""),"",BD62-BB62)</f>
        <v/>
      </c>
      <c r="BR62" s="33">
        <f>IF(OR(AX62="",BD62=""),"",BD62-AX62)</f>
        <v/>
      </c>
      <c r="BS62" s="33">
        <f>IF(OR(AW62="",BD62=""),"",BD62-AW62)</f>
        <v/>
      </c>
      <c r="BT62" s="33">
        <f>IF(OR(AV62="",BD62=""),"",BD62-AV62)</f>
        <v/>
      </c>
      <c r="BU62" s="33">
        <f>IF(OR(AU62="",BD62=""),"",BD62-AU62)</f>
        <v/>
      </c>
      <c r="BV62" s="33">
        <f>IF(OR(BB62="",BG62=""),"",BG62-BB62)</f>
        <v/>
      </c>
      <c r="BW62" s="33">
        <f>IF(OR(BG62="",BH62=""),"",BH62-BG62)</f>
        <v/>
      </c>
      <c r="BX62" s="33">
        <f>IF(OR(BG62="",BI62=""),"",BI62-BG62)</f>
        <v/>
      </c>
      <c r="BY62" s="39">
        <f>IF(OR(AX62="",BK62=""),"",ROUND((BK62-AX62)/30.44,1))</f>
        <v/>
      </c>
      <c r="BZ62" s="37">
        <f>IF(BR62="","",IF(BR62&lt;=30,1,0))</f>
        <v/>
      </c>
      <c r="CA62" s="37">
        <f>IF(BR62="","",IF(BR62&gt;40.5,1,0))</f>
        <v/>
      </c>
      <c r="CB62" s="37">
        <f>IF(BR62="","",IF(BR62&gt;60,1,0))</f>
        <v/>
      </c>
      <c r="CC62" s="37">
        <f>IF(BR62="","",IF(BR62&gt;67,1,0))</f>
        <v/>
      </c>
      <c r="CD62" s="37">
        <f>IF(BT62="","",IF(BT62&lt;=30,1,0))</f>
        <v/>
      </c>
      <c r="CE62" s="37">
        <f>IF(BQ62="","",IF(BQ62&lt;=28,1,0))</f>
        <v/>
      </c>
      <c r="CF62" s="37">
        <f>IF(OR(BV62="",BE62&lt;&gt;"ניתוח"),"",IF(BV62&lt;=30,1,0))</f>
        <v/>
      </c>
      <c r="CG62" s="37">
        <f>IF(BU62="","",IF(BU62&lt;=56,1,0))</f>
        <v/>
      </c>
      <c r="CH62" s="37">
        <f>IF(BW62="","",IF(BW62&lt;=42,1,0))</f>
        <v/>
      </c>
      <c r="CI62" s="37">
        <f>IF(BX62="","",IF(BX62&lt;=100,1,0))</f>
        <v/>
      </c>
      <c r="CJ62" s="33">
        <f>IF(A62="","",COUNTIF(Delays!$B$5:$B$404,A62))</f>
        <v/>
      </c>
      <c r="CK62" s="35" t="n"/>
    </row>
    <row r="63">
      <c r="A63" s="33">
        <f>IF(OR(B63="",C63="",D63="",AX63=""),"","RET-"&amp;RIGHT(YEAR(AX63),2)&amp;"-"&amp;TEXT(B63,"000")&amp;"-"&amp;C63&amp;"-"&amp;D63&amp;"-"&amp;TEXT(MONTH(AX63),"00"))</f>
        <v/>
      </c>
      <c r="B63" s="34" t="n">
        <v>58</v>
      </c>
      <c r="C63" s="35" t="n"/>
      <c r="D63" s="35" t="n"/>
      <c r="E63" s="33">
        <f>IF(AX63="","",YEAR(AX63))</f>
        <v/>
      </c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6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7">
        <f>IF(Y63="","",IF(OR(Y63="III",Y63="IV",Y63="IVA",Y63="IVB",Y63="IVC"),1,0))</f>
        <v/>
      </c>
      <c r="AA63" s="35" t="n"/>
      <c r="AB63" s="35" t="n"/>
      <c r="AC63" s="35" t="n"/>
      <c r="AD63" s="35" t="n"/>
      <c r="AE63" s="35" t="n"/>
      <c r="AF63" s="35" t="n"/>
      <c r="AG63" s="35" t="n"/>
      <c r="AH63" s="35" t="n"/>
      <c r="AI63" s="35" t="n"/>
      <c r="AJ63" s="35" t="n"/>
      <c r="AK63" s="35" t="n"/>
      <c r="AL63" s="35" t="n"/>
      <c r="AM63" s="35" t="n"/>
      <c r="AN63" s="35" t="n"/>
      <c r="AO63" s="35" t="n"/>
      <c r="AP63" s="35" t="n"/>
      <c r="AQ63" s="35" t="n"/>
      <c r="AR63" s="35" t="n"/>
      <c r="AS63" s="35" t="n"/>
      <c r="AT63" s="35" t="n"/>
      <c r="AU63" s="38" t="n"/>
      <c r="AV63" s="38" t="n"/>
      <c r="AW63" s="38" t="n"/>
      <c r="AX63" s="38" t="n"/>
      <c r="AY63" s="38" t="n"/>
      <c r="AZ63" s="38" t="n"/>
      <c r="BA63" s="38" t="n"/>
      <c r="BB63" s="38" t="n"/>
      <c r="BC63" s="38" t="n"/>
      <c r="BD63" s="38" t="n"/>
      <c r="BE63" s="35" t="n"/>
      <c r="BF63" s="35" t="n"/>
      <c r="BG63" s="38" t="n"/>
      <c r="BH63" s="38" t="n"/>
      <c r="BI63" s="38" t="n"/>
      <c r="BJ63" s="35" t="n"/>
      <c r="BK63" s="38" t="n"/>
      <c r="BL63" s="33">
        <f>IF(OR(AU63="",AV63=""),"",AV63-AU63)</f>
        <v/>
      </c>
      <c r="BM63" s="33">
        <f>IF(OR(AV63="",AW63=""),"",AW63-AV63)</f>
        <v/>
      </c>
      <c r="BN63" s="33">
        <f>IF(OR(AW63="",AX63=""),"",AX63-AW63)</f>
        <v/>
      </c>
      <c r="BO63" s="33">
        <f>IF(OR(AX63="",BA63=""),"",BA63-AX63)</f>
        <v/>
      </c>
      <c r="BP63" s="33">
        <f>IF(OR(AV63="",BA63=""),"",BA63-AV63)</f>
        <v/>
      </c>
      <c r="BQ63" s="33">
        <f>IF(OR(BB63="",BD63=""),"",BD63-BB63)</f>
        <v/>
      </c>
      <c r="BR63" s="33">
        <f>IF(OR(AX63="",BD63=""),"",BD63-AX63)</f>
        <v/>
      </c>
      <c r="BS63" s="33">
        <f>IF(OR(AW63="",BD63=""),"",BD63-AW63)</f>
        <v/>
      </c>
      <c r="BT63" s="33">
        <f>IF(OR(AV63="",BD63=""),"",BD63-AV63)</f>
        <v/>
      </c>
      <c r="BU63" s="33">
        <f>IF(OR(AU63="",BD63=""),"",BD63-AU63)</f>
        <v/>
      </c>
      <c r="BV63" s="33">
        <f>IF(OR(BB63="",BG63=""),"",BG63-BB63)</f>
        <v/>
      </c>
      <c r="BW63" s="33">
        <f>IF(OR(BG63="",BH63=""),"",BH63-BG63)</f>
        <v/>
      </c>
      <c r="BX63" s="33">
        <f>IF(OR(BG63="",BI63=""),"",BI63-BG63)</f>
        <v/>
      </c>
      <c r="BY63" s="39">
        <f>IF(OR(AX63="",BK63=""),"",ROUND((BK63-AX63)/30.44,1))</f>
        <v/>
      </c>
      <c r="BZ63" s="37">
        <f>IF(BR63="","",IF(BR63&lt;=30,1,0))</f>
        <v/>
      </c>
      <c r="CA63" s="37">
        <f>IF(BR63="","",IF(BR63&gt;40.5,1,0))</f>
        <v/>
      </c>
      <c r="CB63" s="37">
        <f>IF(BR63="","",IF(BR63&gt;60,1,0))</f>
        <v/>
      </c>
      <c r="CC63" s="37">
        <f>IF(BR63="","",IF(BR63&gt;67,1,0))</f>
        <v/>
      </c>
      <c r="CD63" s="37">
        <f>IF(BT63="","",IF(BT63&lt;=30,1,0))</f>
        <v/>
      </c>
      <c r="CE63" s="37">
        <f>IF(BQ63="","",IF(BQ63&lt;=28,1,0))</f>
        <v/>
      </c>
      <c r="CF63" s="37">
        <f>IF(OR(BV63="",BE63&lt;&gt;"ניתוח"),"",IF(BV63&lt;=30,1,0))</f>
        <v/>
      </c>
      <c r="CG63" s="37">
        <f>IF(BU63="","",IF(BU63&lt;=56,1,0))</f>
        <v/>
      </c>
      <c r="CH63" s="37">
        <f>IF(BW63="","",IF(BW63&lt;=42,1,0))</f>
        <v/>
      </c>
      <c r="CI63" s="37">
        <f>IF(BX63="","",IF(BX63&lt;=100,1,0))</f>
        <v/>
      </c>
      <c r="CJ63" s="33">
        <f>IF(A63="","",COUNTIF(Delays!$B$5:$B$404,A63))</f>
        <v/>
      </c>
      <c r="CK63" s="35" t="n"/>
    </row>
    <row r="64">
      <c r="A64" s="33">
        <f>IF(OR(B64="",C64="",D64="",AX64=""),"","RET-"&amp;RIGHT(YEAR(AX64),2)&amp;"-"&amp;TEXT(B64,"000")&amp;"-"&amp;C64&amp;"-"&amp;D64&amp;"-"&amp;TEXT(MONTH(AX64),"00"))</f>
        <v/>
      </c>
      <c r="B64" s="34" t="n">
        <v>59</v>
      </c>
      <c r="C64" s="35" t="n"/>
      <c r="D64" s="35" t="n"/>
      <c r="E64" s="33">
        <f>IF(AX64="","",YEAR(AX64))</f>
        <v/>
      </c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6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7">
        <f>IF(Y64="","",IF(OR(Y64="III",Y64="IV",Y64="IVA",Y64="IVB",Y64="IVC"),1,0))</f>
        <v/>
      </c>
      <c r="AA64" s="35" t="n"/>
      <c r="AB64" s="35" t="n"/>
      <c r="AC64" s="35" t="n"/>
      <c r="AD64" s="35" t="n"/>
      <c r="AE64" s="35" t="n"/>
      <c r="AF64" s="35" t="n"/>
      <c r="AG64" s="35" t="n"/>
      <c r="AH64" s="35" t="n"/>
      <c r="AI64" s="35" t="n"/>
      <c r="AJ64" s="35" t="n"/>
      <c r="AK64" s="35" t="n"/>
      <c r="AL64" s="35" t="n"/>
      <c r="AM64" s="35" t="n"/>
      <c r="AN64" s="35" t="n"/>
      <c r="AO64" s="35" t="n"/>
      <c r="AP64" s="35" t="n"/>
      <c r="AQ64" s="35" t="n"/>
      <c r="AR64" s="35" t="n"/>
      <c r="AS64" s="35" t="n"/>
      <c r="AT64" s="35" t="n"/>
      <c r="AU64" s="38" t="n"/>
      <c r="AV64" s="38" t="n"/>
      <c r="AW64" s="38" t="n"/>
      <c r="AX64" s="38" t="n"/>
      <c r="AY64" s="38" t="n"/>
      <c r="AZ64" s="38" t="n"/>
      <c r="BA64" s="38" t="n"/>
      <c r="BB64" s="38" t="n"/>
      <c r="BC64" s="38" t="n"/>
      <c r="BD64" s="38" t="n"/>
      <c r="BE64" s="35" t="n"/>
      <c r="BF64" s="35" t="n"/>
      <c r="BG64" s="38" t="n"/>
      <c r="BH64" s="38" t="n"/>
      <c r="BI64" s="38" t="n"/>
      <c r="BJ64" s="35" t="n"/>
      <c r="BK64" s="38" t="n"/>
      <c r="BL64" s="33">
        <f>IF(OR(AU64="",AV64=""),"",AV64-AU64)</f>
        <v/>
      </c>
      <c r="BM64" s="33">
        <f>IF(OR(AV64="",AW64=""),"",AW64-AV64)</f>
        <v/>
      </c>
      <c r="BN64" s="33">
        <f>IF(OR(AW64="",AX64=""),"",AX64-AW64)</f>
        <v/>
      </c>
      <c r="BO64" s="33">
        <f>IF(OR(AX64="",BA64=""),"",BA64-AX64)</f>
        <v/>
      </c>
      <c r="BP64" s="33">
        <f>IF(OR(AV64="",BA64=""),"",BA64-AV64)</f>
        <v/>
      </c>
      <c r="BQ64" s="33">
        <f>IF(OR(BB64="",BD64=""),"",BD64-BB64)</f>
        <v/>
      </c>
      <c r="BR64" s="33">
        <f>IF(OR(AX64="",BD64=""),"",BD64-AX64)</f>
        <v/>
      </c>
      <c r="BS64" s="33">
        <f>IF(OR(AW64="",BD64=""),"",BD64-AW64)</f>
        <v/>
      </c>
      <c r="BT64" s="33">
        <f>IF(OR(AV64="",BD64=""),"",BD64-AV64)</f>
        <v/>
      </c>
      <c r="BU64" s="33">
        <f>IF(OR(AU64="",BD64=""),"",BD64-AU64)</f>
        <v/>
      </c>
      <c r="BV64" s="33">
        <f>IF(OR(BB64="",BG64=""),"",BG64-BB64)</f>
        <v/>
      </c>
      <c r="BW64" s="33">
        <f>IF(OR(BG64="",BH64=""),"",BH64-BG64)</f>
        <v/>
      </c>
      <c r="BX64" s="33">
        <f>IF(OR(BG64="",BI64=""),"",BI64-BG64)</f>
        <v/>
      </c>
      <c r="BY64" s="39">
        <f>IF(OR(AX64="",BK64=""),"",ROUND((BK64-AX64)/30.44,1))</f>
        <v/>
      </c>
      <c r="BZ64" s="37">
        <f>IF(BR64="","",IF(BR64&lt;=30,1,0))</f>
        <v/>
      </c>
      <c r="CA64" s="37">
        <f>IF(BR64="","",IF(BR64&gt;40.5,1,0))</f>
        <v/>
      </c>
      <c r="CB64" s="37">
        <f>IF(BR64="","",IF(BR64&gt;60,1,0))</f>
        <v/>
      </c>
      <c r="CC64" s="37">
        <f>IF(BR64="","",IF(BR64&gt;67,1,0))</f>
        <v/>
      </c>
      <c r="CD64" s="37">
        <f>IF(BT64="","",IF(BT64&lt;=30,1,0))</f>
        <v/>
      </c>
      <c r="CE64" s="37">
        <f>IF(BQ64="","",IF(BQ64&lt;=28,1,0))</f>
        <v/>
      </c>
      <c r="CF64" s="37">
        <f>IF(OR(BV64="",BE64&lt;&gt;"ניתוח"),"",IF(BV64&lt;=30,1,0))</f>
        <v/>
      </c>
      <c r="CG64" s="37">
        <f>IF(BU64="","",IF(BU64&lt;=56,1,0))</f>
        <v/>
      </c>
      <c r="CH64" s="37">
        <f>IF(BW64="","",IF(BW64&lt;=42,1,0))</f>
        <v/>
      </c>
      <c r="CI64" s="37">
        <f>IF(BX64="","",IF(BX64&lt;=100,1,0))</f>
        <v/>
      </c>
      <c r="CJ64" s="33">
        <f>IF(A64="","",COUNTIF(Delays!$B$5:$B$404,A64))</f>
        <v/>
      </c>
      <c r="CK64" s="35" t="n"/>
    </row>
    <row r="65">
      <c r="A65" s="33">
        <f>IF(OR(B65="",C65="",D65="",AX65=""),"","RET-"&amp;RIGHT(YEAR(AX65),2)&amp;"-"&amp;TEXT(B65,"000")&amp;"-"&amp;C65&amp;"-"&amp;D65&amp;"-"&amp;TEXT(MONTH(AX65),"00"))</f>
        <v/>
      </c>
      <c r="B65" s="34" t="n">
        <v>60</v>
      </c>
      <c r="C65" s="35" t="n"/>
      <c r="D65" s="35" t="n"/>
      <c r="E65" s="33">
        <f>IF(AX65="","",YEAR(AX65))</f>
        <v/>
      </c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6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7">
        <f>IF(Y65="","",IF(OR(Y65="III",Y65="IV",Y65="IVA",Y65="IVB",Y65="IVC"),1,0))</f>
        <v/>
      </c>
      <c r="AA65" s="35" t="n"/>
      <c r="AB65" s="35" t="n"/>
      <c r="AC65" s="35" t="n"/>
      <c r="AD65" s="35" t="n"/>
      <c r="AE65" s="35" t="n"/>
      <c r="AF65" s="35" t="n"/>
      <c r="AG65" s="35" t="n"/>
      <c r="AH65" s="35" t="n"/>
      <c r="AI65" s="35" t="n"/>
      <c r="AJ65" s="35" t="n"/>
      <c r="AK65" s="35" t="n"/>
      <c r="AL65" s="35" t="n"/>
      <c r="AM65" s="35" t="n"/>
      <c r="AN65" s="35" t="n"/>
      <c r="AO65" s="35" t="n"/>
      <c r="AP65" s="35" t="n"/>
      <c r="AQ65" s="35" t="n"/>
      <c r="AR65" s="35" t="n"/>
      <c r="AS65" s="35" t="n"/>
      <c r="AT65" s="35" t="n"/>
      <c r="AU65" s="38" t="n"/>
      <c r="AV65" s="38" t="n"/>
      <c r="AW65" s="38" t="n"/>
      <c r="AX65" s="38" t="n"/>
      <c r="AY65" s="38" t="n"/>
      <c r="AZ65" s="38" t="n"/>
      <c r="BA65" s="38" t="n"/>
      <c r="BB65" s="38" t="n"/>
      <c r="BC65" s="38" t="n"/>
      <c r="BD65" s="38" t="n"/>
      <c r="BE65" s="35" t="n"/>
      <c r="BF65" s="35" t="n"/>
      <c r="BG65" s="38" t="n"/>
      <c r="BH65" s="38" t="n"/>
      <c r="BI65" s="38" t="n"/>
      <c r="BJ65" s="35" t="n"/>
      <c r="BK65" s="38" t="n"/>
      <c r="BL65" s="33">
        <f>IF(OR(AU65="",AV65=""),"",AV65-AU65)</f>
        <v/>
      </c>
      <c r="BM65" s="33">
        <f>IF(OR(AV65="",AW65=""),"",AW65-AV65)</f>
        <v/>
      </c>
      <c r="BN65" s="33">
        <f>IF(OR(AW65="",AX65=""),"",AX65-AW65)</f>
        <v/>
      </c>
      <c r="BO65" s="33">
        <f>IF(OR(AX65="",BA65=""),"",BA65-AX65)</f>
        <v/>
      </c>
      <c r="BP65" s="33">
        <f>IF(OR(AV65="",BA65=""),"",BA65-AV65)</f>
        <v/>
      </c>
      <c r="BQ65" s="33">
        <f>IF(OR(BB65="",BD65=""),"",BD65-BB65)</f>
        <v/>
      </c>
      <c r="BR65" s="33">
        <f>IF(OR(AX65="",BD65=""),"",BD65-AX65)</f>
        <v/>
      </c>
      <c r="BS65" s="33">
        <f>IF(OR(AW65="",BD65=""),"",BD65-AW65)</f>
        <v/>
      </c>
      <c r="BT65" s="33">
        <f>IF(OR(AV65="",BD65=""),"",BD65-AV65)</f>
        <v/>
      </c>
      <c r="BU65" s="33">
        <f>IF(OR(AU65="",BD65=""),"",BD65-AU65)</f>
        <v/>
      </c>
      <c r="BV65" s="33">
        <f>IF(OR(BB65="",BG65=""),"",BG65-BB65)</f>
        <v/>
      </c>
      <c r="BW65" s="33">
        <f>IF(OR(BG65="",BH65=""),"",BH65-BG65)</f>
        <v/>
      </c>
      <c r="BX65" s="33">
        <f>IF(OR(BG65="",BI65=""),"",BI65-BG65)</f>
        <v/>
      </c>
      <c r="BY65" s="39">
        <f>IF(OR(AX65="",BK65=""),"",ROUND((BK65-AX65)/30.44,1))</f>
        <v/>
      </c>
      <c r="BZ65" s="37">
        <f>IF(BR65="","",IF(BR65&lt;=30,1,0))</f>
        <v/>
      </c>
      <c r="CA65" s="37">
        <f>IF(BR65="","",IF(BR65&gt;40.5,1,0))</f>
        <v/>
      </c>
      <c r="CB65" s="37">
        <f>IF(BR65="","",IF(BR65&gt;60,1,0))</f>
        <v/>
      </c>
      <c r="CC65" s="37">
        <f>IF(BR65="","",IF(BR65&gt;67,1,0))</f>
        <v/>
      </c>
      <c r="CD65" s="37">
        <f>IF(BT65="","",IF(BT65&lt;=30,1,0))</f>
        <v/>
      </c>
      <c r="CE65" s="37">
        <f>IF(BQ65="","",IF(BQ65&lt;=28,1,0))</f>
        <v/>
      </c>
      <c r="CF65" s="37">
        <f>IF(OR(BV65="",BE65&lt;&gt;"ניתוח"),"",IF(BV65&lt;=30,1,0))</f>
        <v/>
      </c>
      <c r="CG65" s="37">
        <f>IF(BU65="","",IF(BU65&lt;=56,1,0))</f>
        <v/>
      </c>
      <c r="CH65" s="37">
        <f>IF(BW65="","",IF(BW65&lt;=42,1,0))</f>
        <v/>
      </c>
      <c r="CI65" s="37">
        <f>IF(BX65="","",IF(BX65&lt;=100,1,0))</f>
        <v/>
      </c>
      <c r="CJ65" s="33">
        <f>IF(A65="","",COUNTIF(Delays!$B$5:$B$404,A65))</f>
        <v/>
      </c>
      <c r="CK65" s="35" t="n"/>
    </row>
    <row r="66">
      <c r="A66" s="33">
        <f>IF(OR(B66="",C66="",D66="",AX66=""),"","RET-"&amp;RIGHT(YEAR(AX66),2)&amp;"-"&amp;TEXT(B66,"000")&amp;"-"&amp;C66&amp;"-"&amp;D66&amp;"-"&amp;TEXT(MONTH(AX66),"00"))</f>
        <v/>
      </c>
      <c r="B66" s="34" t="n">
        <v>61</v>
      </c>
      <c r="C66" s="35" t="n"/>
      <c r="D66" s="35" t="n"/>
      <c r="E66" s="33">
        <f>IF(AX66="","",YEAR(AX66))</f>
        <v/>
      </c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6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7">
        <f>IF(Y66="","",IF(OR(Y66="III",Y66="IV",Y66="IVA",Y66="IVB",Y66="IVC"),1,0))</f>
        <v/>
      </c>
      <c r="AA66" s="35" t="n"/>
      <c r="AB66" s="35" t="n"/>
      <c r="AC66" s="35" t="n"/>
      <c r="AD66" s="35" t="n"/>
      <c r="AE66" s="35" t="n"/>
      <c r="AF66" s="35" t="n"/>
      <c r="AG66" s="35" t="n"/>
      <c r="AH66" s="35" t="n"/>
      <c r="AI66" s="35" t="n"/>
      <c r="AJ66" s="35" t="n"/>
      <c r="AK66" s="35" t="n"/>
      <c r="AL66" s="35" t="n"/>
      <c r="AM66" s="35" t="n"/>
      <c r="AN66" s="35" t="n"/>
      <c r="AO66" s="35" t="n"/>
      <c r="AP66" s="35" t="n"/>
      <c r="AQ66" s="35" t="n"/>
      <c r="AR66" s="35" t="n"/>
      <c r="AS66" s="35" t="n"/>
      <c r="AT66" s="35" t="n"/>
      <c r="AU66" s="38" t="n"/>
      <c r="AV66" s="38" t="n"/>
      <c r="AW66" s="38" t="n"/>
      <c r="AX66" s="38" t="n"/>
      <c r="AY66" s="38" t="n"/>
      <c r="AZ66" s="38" t="n"/>
      <c r="BA66" s="38" t="n"/>
      <c r="BB66" s="38" t="n"/>
      <c r="BC66" s="38" t="n"/>
      <c r="BD66" s="38" t="n"/>
      <c r="BE66" s="35" t="n"/>
      <c r="BF66" s="35" t="n"/>
      <c r="BG66" s="38" t="n"/>
      <c r="BH66" s="38" t="n"/>
      <c r="BI66" s="38" t="n"/>
      <c r="BJ66" s="35" t="n"/>
      <c r="BK66" s="38" t="n"/>
      <c r="BL66" s="33">
        <f>IF(OR(AU66="",AV66=""),"",AV66-AU66)</f>
        <v/>
      </c>
      <c r="BM66" s="33">
        <f>IF(OR(AV66="",AW66=""),"",AW66-AV66)</f>
        <v/>
      </c>
      <c r="BN66" s="33">
        <f>IF(OR(AW66="",AX66=""),"",AX66-AW66)</f>
        <v/>
      </c>
      <c r="BO66" s="33">
        <f>IF(OR(AX66="",BA66=""),"",BA66-AX66)</f>
        <v/>
      </c>
      <c r="BP66" s="33">
        <f>IF(OR(AV66="",BA66=""),"",BA66-AV66)</f>
        <v/>
      </c>
      <c r="BQ66" s="33">
        <f>IF(OR(BB66="",BD66=""),"",BD66-BB66)</f>
        <v/>
      </c>
      <c r="BR66" s="33">
        <f>IF(OR(AX66="",BD66=""),"",BD66-AX66)</f>
        <v/>
      </c>
      <c r="BS66" s="33">
        <f>IF(OR(AW66="",BD66=""),"",BD66-AW66)</f>
        <v/>
      </c>
      <c r="BT66" s="33">
        <f>IF(OR(AV66="",BD66=""),"",BD66-AV66)</f>
        <v/>
      </c>
      <c r="BU66" s="33">
        <f>IF(OR(AU66="",BD66=""),"",BD66-AU66)</f>
        <v/>
      </c>
      <c r="BV66" s="33">
        <f>IF(OR(BB66="",BG66=""),"",BG66-BB66)</f>
        <v/>
      </c>
      <c r="BW66" s="33">
        <f>IF(OR(BG66="",BH66=""),"",BH66-BG66)</f>
        <v/>
      </c>
      <c r="BX66" s="33">
        <f>IF(OR(BG66="",BI66=""),"",BI66-BG66)</f>
        <v/>
      </c>
      <c r="BY66" s="39">
        <f>IF(OR(AX66="",BK66=""),"",ROUND((BK66-AX66)/30.44,1))</f>
        <v/>
      </c>
      <c r="BZ66" s="37">
        <f>IF(BR66="","",IF(BR66&lt;=30,1,0))</f>
        <v/>
      </c>
      <c r="CA66" s="37">
        <f>IF(BR66="","",IF(BR66&gt;40.5,1,0))</f>
        <v/>
      </c>
      <c r="CB66" s="37">
        <f>IF(BR66="","",IF(BR66&gt;60,1,0))</f>
        <v/>
      </c>
      <c r="CC66" s="37">
        <f>IF(BR66="","",IF(BR66&gt;67,1,0))</f>
        <v/>
      </c>
      <c r="CD66" s="37">
        <f>IF(BT66="","",IF(BT66&lt;=30,1,0))</f>
        <v/>
      </c>
      <c r="CE66" s="37">
        <f>IF(BQ66="","",IF(BQ66&lt;=28,1,0))</f>
        <v/>
      </c>
      <c r="CF66" s="37">
        <f>IF(OR(BV66="",BE66&lt;&gt;"ניתוח"),"",IF(BV66&lt;=30,1,0))</f>
        <v/>
      </c>
      <c r="CG66" s="37">
        <f>IF(BU66="","",IF(BU66&lt;=56,1,0))</f>
        <v/>
      </c>
      <c r="CH66" s="37">
        <f>IF(BW66="","",IF(BW66&lt;=42,1,0))</f>
        <v/>
      </c>
      <c r="CI66" s="37">
        <f>IF(BX66="","",IF(BX66&lt;=100,1,0))</f>
        <v/>
      </c>
      <c r="CJ66" s="33">
        <f>IF(A66="","",COUNTIF(Delays!$B$5:$B$404,A66))</f>
        <v/>
      </c>
      <c r="CK66" s="35" t="n"/>
    </row>
    <row r="67">
      <c r="A67" s="33">
        <f>IF(OR(B67="",C67="",D67="",AX67=""),"","RET-"&amp;RIGHT(YEAR(AX67),2)&amp;"-"&amp;TEXT(B67,"000")&amp;"-"&amp;C67&amp;"-"&amp;D67&amp;"-"&amp;TEXT(MONTH(AX67),"00"))</f>
        <v/>
      </c>
      <c r="B67" s="34" t="n">
        <v>62</v>
      </c>
      <c r="C67" s="35" t="n"/>
      <c r="D67" s="35" t="n"/>
      <c r="E67" s="33">
        <f>IF(AX67="","",YEAR(AX67))</f>
        <v/>
      </c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6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7">
        <f>IF(Y67="","",IF(OR(Y67="III",Y67="IV",Y67="IVA",Y67="IVB",Y67="IVC"),1,0))</f>
        <v/>
      </c>
      <c r="AA67" s="35" t="n"/>
      <c r="AB67" s="35" t="n"/>
      <c r="AC67" s="35" t="n"/>
      <c r="AD67" s="35" t="n"/>
      <c r="AE67" s="35" t="n"/>
      <c r="AF67" s="35" t="n"/>
      <c r="AG67" s="35" t="n"/>
      <c r="AH67" s="35" t="n"/>
      <c r="AI67" s="35" t="n"/>
      <c r="AJ67" s="35" t="n"/>
      <c r="AK67" s="35" t="n"/>
      <c r="AL67" s="35" t="n"/>
      <c r="AM67" s="35" t="n"/>
      <c r="AN67" s="35" t="n"/>
      <c r="AO67" s="35" t="n"/>
      <c r="AP67" s="35" t="n"/>
      <c r="AQ67" s="35" t="n"/>
      <c r="AR67" s="35" t="n"/>
      <c r="AS67" s="35" t="n"/>
      <c r="AT67" s="35" t="n"/>
      <c r="AU67" s="38" t="n"/>
      <c r="AV67" s="38" t="n"/>
      <c r="AW67" s="38" t="n"/>
      <c r="AX67" s="38" t="n"/>
      <c r="AY67" s="38" t="n"/>
      <c r="AZ67" s="38" t="n"/>
      <c r="BA67" s="38" t="n"/>
      <c r="BB67" s="38" t="n"/>
      <c r="BC67" s="38" t="n"/>
      <c r="BD67" s="38" t="n"/>
      <c r="BE67" s="35" t="n"/>
      <c r="BF67" s="35" t="n"/>
      <c r="BG67" s="38" t="n"/>
      <c r="BH67" s="38" t="n"/>
      <c r="BI67" s="38" t="n"/>
      <c r="BJ67" s="35" t="n"/>
      <c r="BK67" s="38" t="n"/>
      <c r="BL67" s="33">
        <f>IF(OR(AU67="",AV67=""),"",AV67-AU67)</f>
        <v/>
      </c>
      <c r="BM67" s="33">
        <f>IF(OR(AV67="",AW67=""),"",AW67-AV67)</f>
        <v/>
      </c>
      <c r="BN67" s="33">
        <f>IF(OR(AW67="",AX67=""),"",AX67-AW67)</f>
        <v/>
      </c>
      <c r="BO67" s="33">
        <f>IF(OR(AX67="",BA67=""),"",BA67-AX67)</f>
        <v/>
      </c>
      <c r="BP67" s="33">
        <f>IF(OR(AV67="",BA67=""),"",BA67-AV67)</f>
        <v/>
      </c>
      <c r="BQ67" s="33">
        <f>IF(OR(BB67="",BD67=""),"",BD67-BB67)</f>
        <v/>
      </c>
      <c r="BR67" s="33">
        <f>IF(OR(AX67="",BD67=""),"",BD67-AX67)</f>
        <v/>
      </c>
      <c r="BS67" s="33">
        <f>IF(OR(AW67="",BD67=""),"",BD67-AW67)</f>
        <v/>
      </c>
      <c r="BT67" s="33">
        <f>IF(OR(AV67="",BD67=""),"",BD67-AV67)</f>
        <v/>
      </c>
      <c r="BU67" s="33">
        <f>IF(OR(AU67="",BD67=""),"",BD67-AU67)</f>
        <v/>
      </c>
      <c r="BV67" s="33">
        <f>IF(OR(BB67="",BG67=""),"",BG67-BB67)</f>
        <v/>
      </c>
      <c r="BW67" s="33">
        <f>IF(OR(BG67="",BH67=""),"",BH67-BG67)</f>
        <v/>
      </c>
      <c r="BX67" s="33">
        <f>IF(OR(BG67="",BI67=""),"",BI67-BG67)</f>
        <v/>
      </c>
      <c r="BY67" s="39">
        <f>IF(OR(AX67="",BK67=""),"",ROUND((BK67-AX67)/30.44,1))</f>
        <v/>
      </c>
      <c r="BZ67" s="37">
        <f>IF(BR67="","",IF(BR67&lt;=30,1,0))</f>
        <v/>
      </c>
      <c r="CA67" s="37">
        <f>IF(BR67="","",IF(BR67&gt;40.5,1,0))</f>
        <v/>
      </c>
      <c r="CB67" s="37">
        <f>IF(BR67="","",IF(BR67&gt;60,1,0))</f>
        <v/>
      </c>
      <c r="CC67" s="37">
        <f>IF(BR67="","",IF(BR67&gt;67,1,0))</f>
        <v/>
      </c>
      <c r="CD67" s="37">
        <f>IF(BT67="","",IF(BT67&lt;=30,1,0))</f>
        <v/>
      </c>
      <c r="CE67" s="37">
        <f>IF(BQ67="","",IF(BQ67&lt;=28,1,0))</f>
        <v/>
      </c>
      <c r="CF67" s="37">
        <f>IF(OR(BV67="",BE67&lt;&gt;"ניתוח"),"",IF(BV67&lt;=30,1,0))</f>
        <v/>
      </c>
      <c r="CG67" s="37">
        <f>IF(BU67="","",IF(BU67&lt;=56,1,0))</f>
        <v/>
      </c>
      <c r="CH67" s="37">
        <f>IF(BW67="","",IF(BW67&lt;=42,1,0))</f>
        <v/>
      </c>
      <c r="CI67" s="37">
        <f>IF(BX67="","",IF(BX67&lt;=100,1,0))</f>
        <v/>
      </c>
      <c r="CJ67" s="33">
        <f>IF(A67="","",COUNTIF(Delays!$B$5:$B$404,A67))</f>
        <v/>
      </c>
      <c r="CK67" s="35" t="n"/>
    </row>
    <row r="68">
      <c r="A68" s="33">
        <f>IF(OR(B68="",C68="",D68="",AX68=""),"","RET-"&amp;RIGHT(YEAR(AX68),2)&amp;"-"&amp;TEXT(B68,"000")&amp;"-"&amp;C68&amp;"-"&amp;D68&amp;"-"&amp;TEXT(MONTH(AX68),"00"))</f>
        <v/>
      </c>
      <c r="B68" s="34" t="n">
        <v>63</v>
      </c>
      <c r="C68" s="35" t="n"/>
      <c r="D68" s="35" t="n"/>
      <c r="E68" s="33">
        <f>IF(AX68="","",YEAR(AX68))</f>
        <v/>
      </c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6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7">
        <f>IF(Y68="","",IF(OR(Y68="III",Y68="IV",Y68="IVA",Y68="IVB",Y68="IVC"),1,0))</f>
        <v/>
      </c>
      <c r="AA68" s="35" t="n"/>
      <c r="AB68" s="35" t="n"/>
      <c r="AC68" s="35" t="n"/>
      <c r="AD68" s="35" t="n"/>
      <c r="AE68" s="35" t="n"/>
      <c r="AF68" s="35" t="n"/>
      <c r="AG68" s="35" t="n"/>
      <c r="AH68" s="35" t="n"/>
      <c r="AI68" s="35" t="n"/>
      <c r="AJ68" s="35" t="n"/>
      <c r="AK68" s="35" t="n"/>
      <c r="AL68" s="35" t="n"/>
      <c r="AM68" s="35" t="n"/>
      <c r="AN68" s="35" t="n"/>
      <c r="AO68" s="35" t="n"/>
      <c r="AP68" s="35" t="n"/>
      <c r="AQ68" s="35" t="n"/>
      <c r="AR68" s="35" t="n"/>
      <c r="AS68" s="35" t="n"/>
      <c r="AT68" s="35" t="n"/>
      <c r="AU68" s="38" t="n"/>
      <c r="AV68" s="38" t="n"/>
      <c r="AW68" s="38" t="n"/>
      <c r="AX68" s="38" t="n"/>
      <c r="AY68" s="38" t="n"/>
      <c r="AZ68" s="38" t="n"/>
      <c r="BA68" s="38" t="n"/>
      <c r="BB68" s="38" t="n"/>
      <c r="BC68" s="38" t="n"/>
      <c r="BD68" s="38" t="n"/>
      <c r="BE68" s="35" t="n"/>
      <c r="BF68" s="35" t="n"/>
      <c r="BG68" s="38" t="n"/>
      <c r="BH68" s="38" t="n"/>
      <c r="BI68" s="38" t="n"/>
      <c r="BJ68" s="35" t="n"/>
      <c r="BK68" s="38" t="n"/>
      <c r="BL68" s="33">
        <f>IF(OR(AU68="",AV68=""),"",AV68-AU68)</f>
        <v/>
      </c>
      <c r="BM68" s="33">
        <f>IF(OR(AV68="",AW68=""),"",AW68-AV68)</f>
        <v/>
      </c>
      <c r="BN68" s="33">
        <f>IF(OR(AW68="",AX68=""),"",AX68-AW68)</f>
        <v/>
      </c>
      <c r="BO68" s="33">
        <f>IF(OR(AX68="",BA68=""),"",BA68-AX68)</f>
        <v/>
      </c>
      <c r="BP68" s="33">
        <f>IF(OR(AV68="",BA68=""),"",BA68-AV68)</f>
        <v/>
      </c>
      <c r="BQ68" s="33">
        <f>IF(OR(BB68="",BD68=""),"",BD68-BB68)</f>
        <v/>
      </c>
      <c r="BR68" s="33">
        <f>IF(OR(AX68="",BD68=""),"",BD68-AX68)</f>
        <v/>
      </c>
      <c r="BS68" s="33">
        <f>IF(OR(AW68="",BD68=""),"",BD68-AW68)</f>
        <v/>
      </c>
      <c r="BT68" s="33">
        <f>IF(OR(AV68="",BD68=""),"",BD68-AV68)</f>
        <v/>
      </c>
      <c r="BU68" s="33">
        <f>IF(OR(AU68="",BD68=""),"",BD68-AU68)</f>
        <v/>
      </c>
      <c r="BV68" s="33">
        <f>IF(OR(BB68="",BG68=""),"",BG68-BB68)</f>
        <v/>
      </c>
      <c r="BW68" s="33">
        <f>IF(OR(BG68="",BH68=""),"",BH68-BG68)</f>
        <v/>
      </c>
      <c r="BX68" s="33">
        <f>IF(OR(BG68="",BI68=""),"",BI68-BG68)</f>
        <v/>
      </c>
      <c r="BY68" s="39">
        <f>IF(OR(AX68="",BK68=""),"",ROUND((BK68-AX68)/30.44,1))</f>
        <v/>
      </c>
      <c r="BZ68" s="37">
        <f>IF(BR68="","",IF(BR68&lt;=30,1,0))</f>
        <v/>
      </c>
      <c r="CA68" s="37">
        <f>IF(BR68="","",IF(BR68&gt;40.5,1,0))</f>
        <v/>
      </c>
      <c r="CB68" s="37">
        <f>IF(BR68="","",IF(BR68&gt;60,1,0))</f>
        <v/>
      </c>
      <c r="CC68" s="37">
        <f>IF(BR68="","",IF(BR68&gt;67,1,0))</f>
        <v/>
      </c>
      <c r="CD68" s="37">
        <f>IF(BT68="","",IF(BT68&lt;=30,1,0))</f>
        <v/>
      </c>
      <c r="CE68" s="37">
        <f>IF(BQ68="","",IF(BQ68&lt;=28,1,0))</f>
        <v/>
      </c>
      <c r="CF68" s="37">
        <f>IF(OR(BV68="",BE68&lt;&gt;"ניתוח"),"",IF(BV68&lt;=30,1,0))</f>
        <v/>
      </c>
      <c r="CG68" s="37">
        <f>IF(BU68="","",IF(BU68&lt;=56,1,0))</f>
        <v/>
      </c>
      <c r="CH68" s="37">
        <f>IF(BW68="","",IF(BW68&lt;=42,1,0))</f>
        <v/>
      </c>
      <c r="CI68" s="37">
        <f>IF(BX68="","",IF(BX68&lt;=100,1,0))</f>
        <v/>
      </c>
      <c r="CJ68" s="33">
        <f>IF(A68="","",COUNTIF(Delays!$B$5:$B$404,A68))</f>
        <v/>
      </c>
      <c r="CK68" s="35" t="n"/>
    </row>
    <row r="69">
      <c r="A69" s="33">
        <f>IF(OR(B69="",C69="",D69="",AX69=""),"","RET-"&amp;RIGHT(YEAR(AX69),2)&amp;"-"&amp;TEXT(B69,"000")&amp;"-"&amp;C69&amp;"-"&amp;D69&amp;"-"&amp;TEXT(MONTH(AX69),"00"))</f>
        <v/>
      </c>
      <c r="B69" s="34" t="n">
        <v>64</v>
      </c>
      <c r="C69" s="35" t="n"/>
      <c r="D69" s="35" t="n"/>
      <c r="E69" s="33">
        <f>IF(AX69="","",YEAR(AX69))</f>
        <v/>
      </c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6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7">
        <f>IF(Y69="","",IF(OR(Y69="III",Y69="IV",Y69="IVA",Y69="IVB",Y69="IVC"),1,0))</f>
        <v/>
      </c>
      <c r="AA69" s="35" t="n"/>
      <c r="AB69" s="35" t="n"/>
      <c r="AC69" s="35" t="n"/>
      <c r="AD69" s="35" t="n"/>
      <c r="AE69" s="35" t="n"/>
      <c r="AF69" s="35" t="n"/>
      <c r="AG69" s="35" t="n"/>
      <c r="AH69" s="35" t="n"/>
      <c r="AI69" s="35" t="n"/>
      <c r="AJ69" s="35" t="n"/>
      <c r="AK69" s="35" t="n"/>
      <c r="AL69" s="35" t="n"/>
      <c r="AM69" s="35" t="n"/>
      <c r="AN69" s="35" t="n"/>
      <c r="AO69" s="35" t="n"/>
      <c r="AP69" s="35" t="n"/>
      <c r="AQ69" s="35" t="n"/>
      <c r="AR69" s="35" t="n"/>
      <c r="AS69" s="35" t="n"/>
      <c r="AT69" s="35" t="n"/>
      <c r="AU69" s="38" t="n"/>
      <c r="AV69" s="38" t="n"/>
      <c r="AW69" s="38" t="n"/>
      <c r="AX69" s="38" t="n"/>
      <c r="AY69" s="38" t="n"/>
      <c r="AZ69" s="38" t="n"/>
      <c r="BA69" s="38" t="n"/>
      <c r="BB69" s="38" t="n"/>
      <c r="BC69" s="38" t="n"/>
      <c r="BD69" s="38" t="n"/>
      <c r="BE69" s="35" t="n"/>
      <c r="BF69" s="35" t="n"/>
      <c r="BG69" s="38" t="n"/>
      <c r="BH69" s="38" t="n"/>
      <c r="BI69" s="38" t="n"/>
      <c r="BJ69" s="35" t="n"/>
      <c r="BK69" s="38" t="n"/>
      <c r="BL69" s="33">
        <f>IF(OR(AU69="",AV69=""),"",AV69-AU69)</f>
        <v/>
      </c>
      <c r="BM69" s="33">
        <f>IF(OR(AV69="",AW69=""),"",AW69-AV69)</f>
        <v/>
      </c>
      <c r="BN69" s="33">
        <f>IF(OR(AW69="",AX69=""),"",AX69-AW69)</f>
        <v/>
      </c>
      <c r="BO69" s="33">
        <f>IF(OR(AX69="",BA69=""),"",BA69-AX69)</f>
        <v/>
      </c>
      <c r="BP69" s="33">
        <f>IF(OR(AV69="",BA69=""),"",BA69-AV69)</f>
        <v/>
      </c>
      <c r="BQ69" s="33">
        <f>IF(OR(BB69="",BD69=""),"",BD69-BB69)</f>
        <v/>
      </c>
      <c r="BR69" s="33">
        <f>IF(OR(AX69="",BD69=""),"",BD69-AX69)</f>
        <v/>
      </c>
      <c r="BS69" s="33">
        <f>IF(OR(AW69="",BD69=""),"",BD69-AW69)</f>
        <v/>
      </c>
      <c r="BT69" s="33">
        <f>IF(OR(AV69="",BD69=""),"",BD69-AV69)</f>
        <v/>
      </c>
      <c r="BU69" s="33">
        <f>IF(OR(AU69="",BD69=""),"",BD69-AU69)</f>
        <v/>
      </c>
      <c r="BV69" s="33">
        <f>IF(OR(BB69="",BG69=""),"",BG69-BB69)</f>
        <v/>
      </c>
      <c r="BW69" s="33">
        <f>IF(OR(BG69="",BH69=""),"",BH69-BG69)</f>
        <v/>
      </c>
      <c r="BX69" s="33">
        <f>IF(OR(BG69="",BI69=""),"",BI69-BG69)</f>
        <v/>
      </c>
      <c r="BY69" s="39">
        <f>IF(OR(AX69="",BK69=""),"",ROUND((BK69-AX69)/30.44,1))</f>
        <v/>
      </c>
      <c r="BZ69" s="37">
        <f>IF(BR69="","",IF(BR69&lt;=30,1,0))</f>
        <v/>
      </c>
      <c r="CA69" s="37">
        <f>IF(BR69="","",IF(BR69&gt;40.5,1,0))</f>
        <v/>
      </c>
      <c r="CB69" s="37">
        <f>IF(BR69="","",IF(BR69&gt;60,1,0))</f>
        <v/>
      </c>
      <c r="CC69" s="37">
        <f>IF(BR69="","",IF(BR69&gt;67,1,0))</f>
        <v/>
      </c>
      <c r="CD69" s="37">
        <f>IF(BT69="","",IF(BT69&lt;=30,1,0))</f>
        <v/>
      </c>
      <c r="CE69" s="37">
        <f>IF(BQ69="","",IF(BQ69&lt;=28,1,0))</f>
        <v/>
      </c>
      <c r="CF69" s="37">
        <f>IF(OR(BV69="",BE69&lt;&gt;"ניתוח"),"",IF(BV69&lt;=30,1,0))</f>
        <v/>
      </c>
      <c r="CG69" s="37">
        <f>IF(BU69="","",IF(BU69&lt;=56,1,0))</f>
        <v/>
      </c>
      <c r="CH69" s="37">
        <f>IF(BW69="","",IF(BW69&lt;=42,1,0))</f>
        <v/>
      </c>
      <c r="CI69" s="37">
        <f>IF(BX69="","",IF(BX69&lt;=100,1,0))</f>
        <v/>
      </c>
      <c r="CJ69" s="33">
        <f>IF(A69="","",COUNTIF(Delays!$B$5:$B$404,A69))</f>
        <v/>
      </c>
      <c r="CK69" s="35" t="n"/>
    </row>
    <row r="70">
      <c r="A70" s="33">
        <f>IF(OR(B70="",C70="",D70="",AX70=""),"","RET-"&amp;RIGHT(YEAR(AX70),2)&amp;"-"&amp;TEXT(B70,"000")&amp;"-"&amp;C70&amp;"-"&amp;D70&amp;"-"&amp;TEXT(MONTH(AX70),"00"))</f>
        <v/>
      </c>
      <c r="B70" s="34" t="n">
        <v>65</v>
      </c>
      <c r="C70" s="35" t="n"/>
      <c r="D70" s="35" t="n"/>
      <c r="E70" s="33">
        <f>IF(AX70="","",YEAR(AX70))</f>
        <v/>
      </c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6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7">
        <f>IF(Y70="","",IF(OR(Y70="III",Y70="IV",Y70="IVA",Y70="IVB",Y70="IVC"),1,0))</f>
        <v/>
      </c>
      <c r="AA70" s="35" t="n"/>
      <c r="AB70" s="35" t="n"/>
      <c r="AC70" s="35" t="n"/>
      <c r="AD70" s="35" t="n"/>
      <c r="AE70" s="35" t="n"/>
      <c r="AF70" s="35" t="n"/>
      <c r="AG70" s="35" t="n"/>
      <c r="AH70" s="35" t="n"/>
      <c r="AI70" s="35" t="n"/>
      <c r="AJ70" s="35" t="n"/>
      <c r="AK70" s="35" t="n"/>
      <c r="AL70" s="35" t="n"/>
      <c r="AM70" s="35" t="n"/>
      <c r="AN70" s="35" t="n"/>
      <c r="AO70" s="35" t="n"/>
      <c r="AP70" s="35" t="n"/>
      <c r="AQ70" s="35" t="n"/>
      <c r="AR70" s="35" t="n"/>
      <c r="AS70" s="35" t="n"/>
      <c r="AT70" s="35" t="n"/>
      <c r="AU70" s="38" t="n"/>
      <c r="AV70" s="38" t="n"/>
      <c r="AW70" s="38" t="n"/>
      <c r="AX70" s="38" t="n"/>
      <c r="AY70" s="38" t="n"/>
      <c r="AZ70" s="38" t="n"/>
      <c r="BA70" s="38" t="n"/>
      <c r="BB70" s="38" t="n"/>
      <c r="BC70" s="38" t="n"/>
      <c r="BD70" s="38" t="n"/>
      <c r="BE70" s="35" t="n"/>
      <c r="BF70" s="35" t="n"/>
      <c r="BG70" s="38" t="n"/>
      <c r="BH70" s="38" t="n"/>
      <c r="BI70" s="38" t="n"/>
      <c r="BJ70" s="35" t="n"/>
      <c r="BK70" s="38" t="n"/>
      <c r="BL70" s="33">
        <f>IF(OR(AU70="",AV70=""),"",AV70-AU70)</f>
        <v/>
      </c>
      <c r="BM70" s="33">
        <f>IF(OR(AV70="",AW70=""),"",AW70-AV70)</f>
        <v/>
      </c>
      <c r="BN70" s="33">
        <f>IF(OR(AW70="",AX70=""),"",AX70-AW70)</f>
        <v/>
      </c>
      <c r="BO70" s="33">
        <f>IF(OR(AX70="",BA70=""),"",BA70-AX70)</f>
        <v/>
      </c>
      <c r="BP70" s="33">
        <f>IF(OR(AV70="",BA70=""),"",BA70-AV70)</f>
        <v/>
      </c>
      <c r="BQ70" s="33">
        <f>IF(OR(BB70="",BD70=""),"",BD70-BB70)</f>
        <v/>
      </c>
      <c r="BR70" s="33">
        <f>IF(OR(AX70="",BD70=""),"",BD70-AX70)</f>
        <v/>
      </c>
      <c r="BS70" s="33">
        <f>IF(OR(AW70="",BD70=""),"",BD70-AW70)</f>
        <v/>
      </c>
      <c r="BT70" s="33">
        <f>IF(OR(AV70="",BD70=""),"",BD70-AV70)</f>
        <v/>
      </c>
      <c r="BU70" s="33">
        <f>IF(OR(AU70="",BD70=""),"",BD70-AU70)</f>
        <v/>
      </c>
      <c r="BV70" s="33">
        <f>IF(OR(BB70="",BG70=""),"",BG70-BB70)</f>
        <v/>
      </c>
      <c r="BW70" s="33">
        <f>IF(OR(BG70="",BH70=""),"",BH70-BG70)</f>
        <v/>
      </c>
      <c r="BX70" s="33">
        <f>IF(OR(BG70="",BI70=""),"",BI70-BG70)</f>
        <v/>
      </c>
      <c r="BY70" s="39">
        <f>IF(OR(AX70="",BK70=""),"",ROUND((BK70-AX70)/30.44,1))</f>
        <v/>
      </c>
      <c r="BZ70" s="37">
        <f>IF(BR70="","",IF(BR70&lt;=30,1,0))</f>
        <v/>
      </c>
      <c r="CA70" s="37">
        <f>IF(BR70="","",IF(BR70&gt;40.5,1,0))</f>
        <v/>
      </c>
      <c r="CB70" s="37">
        <f>IF(BR70="","",IF(BR70&gt;60,1,0))</f>
        <v/>
      </c>
      <c r="CC70" s="37">
        <f>IF(BR70="","",IF(BR70&gt;67,1,0))</f>
        <v/>
      </c>
      <c r="CD70" s="37">
        <f>IF(BT70="","",IF(BT70&lt;=30,1,0))</f>
        <v/>
      </c>
      <c r="CE70" s="37">
        <f>IF(BQ70="","",IF(BQ70&lt;=28,1,0))</f>
        <v/>
      </c>
      <c r="CF70" s="37">
        <f>IF(OR(BV70="",BE70&lt;&gt;"ניתוח"),"",IF(BV70&lt;=30,1,0))</f>
        <v/>
      </c>
      <c r="CG70" s="37">
        <f>IF(BU70="","",IF(BU70&lt;=56,1,0))</f>
        <v/>
      </c>
      <c r="CH70" s="37">
        <f>IF(BW70="","",IF(BW70&lt;=42,1,0))</f>
        <v/>
      </c>
      <c r="CI70" s="37">
        <f>IF(BX70="","",IF(BX70&lt;=100,1,0))</f>
        <v/>
      </c>
      <c r="CJ70" s="33">
        <f>IF(A70="","",COUNTIF(Delays!$B$5:$B$404,A70))</f>
        <v/>
      </c>
      <c r="CK70" s="35" t="n"/>
    </row>
    <row r="71">
      <c r="A71" s="33">
        <f>IF(OR(B71="",C71="",D71="",AX71=""),"","RET-"&amp;RIGHT(YEAR(AX71),2)&amp;"-"&amp;TEXT(B71,"000")&amp;"-"&amp;C71&amp;"-"&amp;D71&amp;"-"&amp;TEXT(MONTH(AX71),"00"))</f>
        <v/>
      </c>
      <c r="B71" s="34" t="n">
        <v>66</v>
      </c>
      <c r="C71" s="35" t="n"/>
      <c r="D71" s="35" t="n"/>
      <c r="E71" s="33">
        <f>IF(AX71="","",YEAR(AX71))</f>
        <v/>
      </c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6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7">
        <f>IF(Y71="","",IF(OR(Y71="III",Y71="IV",Y71="IVA",Y71="IVB",Y71="IVC"),1,0))</f>
        <v/>
      </c>
      <c r="AA71" s="35" t="n"/>
      <c r="AB71" s="35" t="n"/>
      <c r="AC71" s="35" t="n"/>
      <c r="AD71" s="35" t="n"/>
      <c r="AE71" s="35" t="n"/>
      <c r="AF71" s="35" t="n"/>
      <c r="AG71" s="35" t="n"/>
      <c r="AH71" s="35" t="n"/>
      <c r="AI71" s="35" t="n"/>
      <c r="AJ71" s="35" t="n"/>
      <c r="AK71" s="35" t="n"/>
      <c r="AL71" s="35" t="n"/>
      <c r="AM71" s="35" t="n"/>
      <c r="AN71" s="35" t="n"/>
      <c r="AO71" s="35" t="n"/>
      <c r="AP71" s="35" t="n"/>
      <c r="AQ71" s="35" t="n"/>
      <c r="AR71" s="35" t="n"/>
      <c r="AS71" s="35" t="n"/>
      <c r="AT71" s="35" t="n"/>
      <c r="AU71" s="38" t="n"/>
      <c r="AV71" s="38" t="n"/>
      <c r="AW71" s="38" t="n"/>
      <c r="AX71" s="38" t="n"/>
      <c r="AY71" s="38" t="n"/>
      <c r="AZ71" s="38" t="n"/>
      <c r="BA71" s="38" t="n"/>
      <c r="BB71" s="38" t="n"/>
      <c r="BC71" s="38" t="n"/>
      <c r="BD71" s="38" t="n"/>
      <c r="BE71" s="35" t="n"/>
      <c r="BF71" s="35" t="n"/>
      <c r="BG71" s="38" t="n"/>
      <c r="BH71" s="38" t="n"/>
      <c r="BI71" s="38" t="n"/>
      <c r="BJ71" s="35" t="n"/>
      <c r="BK71" s="38" t="n"/>
      <c r="BL71" s="33">
        <f>IF(OR(AU71="",AV71=""),"",AV71-AU71)</f>
        <v/>
      </c>
      <c r="BM71" s="33">
        <f>IF(OR(AV71="",AW71=""),"",AW71-AV71)</f>
        <v/>
      </c>
      <c r="BN71" s="33">
        <f>IF(OR(AW71="",AX71=""),"",AX71-AW71)</f>
        <v/>
      </c>
      <c r="BO71" s="33">
        <f>IF(OR(AX71="",BA71=""),"",BA71-AX71)</f>
        <v/>
      </c>
      <c r="BP71" s="33">
        <f>IF(OR(AV71="",BA71=""),"",BA71-AV71)</f>
        <v/>
      </c>
      <c r="BQ71" s="33">
        <f>IF(OR(BB71="",BD71=""),"",BD71-BB71)</f>
        <v/>
      </c>
      <c r="BR71" s="33">
        <f>IF(OR(AX71="",BD71=""),"",BD71-AX71)</f>
        <v/>
      </c>
      <c r="BS71" s="33">
        <f>IF(OR(AW71="",BD71=""),"",BD71-AW71)</f>
        <v/>
      </c>
      <c r="BT71" s="33">
        <f>IF(OR(AV71="",BD71=""),"",BD71-AV71)</f>
        <v/>
      </c>
      <c r="BU71" s="33">
        <f>IF(OR(AU71="",BD71=""),"",BD71-AU71)</f>
        <v/>
      </c>
      <c r="BV71" s="33">
        <f>IF(OR(BB71="",BG71=""),"",BG71-BB71)</f>
        <v/>
      </c>
      <c r="BW71" s="33">
        <f>IF(OR(BG71="",BH71=""),"",BH71-BG71)</f>
        <v/>
      </c>
      <c r="BX71" s="33">
        <f>IF(OR(BG71="",BI71=""),"",BI71-BG71)</f>
        <v/>
      </c>
      <c r="BY71" s="39">
        <f>IF(OR(AX71="",BK71=""),"",ROUND((BK71-AX71)/30.44,1))</f>
        <v/>
      </c>
      <c r="BZ71" s="37">
        <f>IF(BR71="","",IF(BR71&lt;=30,1,0))</f>
        <v/>
      </c>
      <c r="CA71" s="37">
        <f>IF(BR71="","",IF(BR71&gt;40.5,1,0))</f>
        <v/>
      </c>
      <c r="CB71" s="37">
        <f>IF(BR71="","",IF(BR71&gt;60,1,0))</f>
        <v/>
      </c>
      <c r="CC71" s="37">
        <f>IF(BR71="","",IF(BR71&gt;67,1,0))</f>
        <v/>
      </c>
      <c r="CD71" s="37">
        <f>IF(BT71="","",IF(BT71&lt;=30,1,0))</f>
        <v/>
      </c>
      <c r="CE71" s="37">
        <f>IF(BQ71="","",IF(BQ71&lt;=28,1,0))</f>
        <v/>
      </c>
      <c r="CF71" s="37">
        <f>IF(OR(BV71="",BE71&lt;&gt;"ניתוח"),"",IF(BV71&lt;=30,1,0))</f>
        <v/>
      </c>
      <c r="CG71" s="37">
        <f>IF(BU71="","",IF(BU71&lt;=56,1,0))</f>
        <v/>
      </c>
      <c r="CH71" s="37">
        <f>IF(BW71="","",IF(BW71&lt;=42,1,0))</f>
        <v/>
      </c>
      <c r="CI71" s="37">
        <f>IF(BX71="","",IF(BX71&lt;=100,1,0))</f>
        <v/>
      </c>
      <c r="CJ71" s="33">
        <f>IF(A71="","",COUNTIF(Delays!$B$5:$B$404,A71))</f>
        <v/>
      </c>
      <c r="CK71" s="35" t="n"/>
    </row>
    <row r="72">
      <c r="A72" s="33">
        <f>IF(OR(B72="",C72="",D72="",AX72=""),"","RET-"&amp;RIGHT(YEAR(AX72),2)&amp;"-"&amp;TEXT(B72,"000")&amp;"-"&amp;C72&amp;"-"&amp;D72&amp;"-"&amp;TEXT(MONTH(AX72),"00"))</f>
        <v/>
      </c>
      <c r="B72" s="34" t="n">
        <v>67</v>
      </c>
      <c r="C72" s="35" t="n"/>
      <c r="D72" s="35" t="n"/>
      <c r="E72" s="33">
        <f>IF(AX72="","",YEAR(AX72))</f>
        <v/>
      </c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6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7">
        <f>IF(Y72="","",IF(OR(Y72="III",Y72="IV",Y72="IVA",Y72="IVB",Y72="IVC"),1,0))</f>
        <v/>
      </c>
      <c r="AA72" s="35" t="n"/>
      <c r="AB72" s="35" t="n"/>
      <c r="AC72" s="35" t="n"/>
      <c r="AD72" s="35" t="n"/>
      <c r="AE72" s="35" t="n"/>
      <c r="AF72" s="35" t="n"/>
      <c r="AG72" s="35" t="n"/>
      <c r="AH72" s="35" t="n"/>
      <c r="AI72" s="35" t="n"/>
      <c r="AJ72" s="35" t="n"/>
      <c r="AK72" s="35" t="n"/>
      <c r="AL72" s="35" t="n"/>
      <c r="AM72" s="35" t="n"/>
      <c r="AN72" s="35" t="n"/>
      <c r="AO72" s="35" t="n"/>
      <c r="AP72" s="35" t="n"/>
      <c r="AQ72" s="35" t="n"/>
      <c r="AR72" s="35" t="n"/>
      <c r="AS72" s="35" t="n"/>
      <c r="AT72" s="35" t="n"/>
      <c r="AU72" s="38" t="n"/>
      <c r="AV72" s="38" t="n"/>
      <c r="AW72" s="38" t="n"/>
      <c r="AX72" s="38" t="n"/>
      <c r="AY72" s="38" t="n"/>
      <c r="AZ72" s="38" t="n"/>
      <c r="BA72" s="38" t="n"/>
      <c r="BB72" s="38" t="n"/>
      <c r="BC72" s="38" t="n"/>
      <c r="BD72" s="38" t="n"/>
      <c r="BE72" s="35" t="n"/>
      <c r="BF72" s="35" t="n"/>
      <c r="BG72" s="38" t="n"/>
      <c r="BH72" s="38" t="n"/>
      <c r="BI72" s="38" t="n"/>
      <c r="BJ72" s="35" t="n"/>
      <c r="BK72" s="38" t="n"/>
      <c r="BL72" s="33">
        <f>IF(OR(AU72="",AV72=""),"",AV72-AU72)</f>
        <v/>
      </c>
      <c r="BM72" s="33">
        <f>IF(OR(AV72="",AW72=""),"",AW72-AV72)</f>
        <v/>
      </c>
      <c r="BN72" s="33">
        <f>IF(OR(AW72="",AX72=""),"",AX72-AW72)</f>
        <v/>
      </c>
      <c r="BO72" s="33">
        <f>IF(OR(AX72="",BA72=""),"",BA72-AX72)</f>
        <v/>
      </c>
      <c r="BP72" s="33">
        <f>IF(OR(AV72="",BA72=""),"",BA72-AV72)</f>
        <v/>
      </c>
      <c r="BQ72" s="33">
        <f>IF(OR(BB72="",BD72=""),"",BD72-BB72)</f>
        <v/>
      </c>
      <c r="BR72" s="33">
        <f>IF(OR(AX72="",BD72=""),"",BD72-AX72)</f>
        <v/>
      </c>
      <c r="BS72" s="33">
        <f>IF(OR(AW72="",BD72=""),"",BD72-AW72)</f>
        <v/>
      </c>
      <c r="BT72" s="33">
        <f>IF(OR(AV72="",BD72=""),"",BD72-AV72)</f>
        <v/>
      </c>
      <c r="BU72" s="33">
        <f>IF(OR(AU72="",BD72=""),"",BD72-AU72)</f>
        <v/>
      </c>
      <c r="BV72" s="33">
        <f>IF(OR(BB72="",BG72=""),"",BG72-BB72)</f>
        <v/>
      </c>
      <c r="BW72" s="33">
        <f>IF(OR(BG72="",BH72=""),"",BH72-BG72)</f>
        <v/>
      </c>
      <c r="BX72" s="33">
        <f>IF(OR(BG72="",BI72=""),"",BI72-BG72)</f>
        <v/>
      </c>
      <c r="BY72" s="39">
        <f>IF(OR(AX72="",BK72=""),"",ROUND((BK72-AX72)/30.44,1))</f>
        <v/>
      </c>
      <c r="BZ72" s="37">
        <f>IF(BR72="","",IF(BR72&lt;=30,1,0))</f>
        <v/>
      </c>
      <c r="CA72" s="37">
        <f>IF(BR72="","",IF(BR72&gt;40.5,1,0))</f>
        <v/>
      </c>
      <c r="CB72" s="37">
        <f>IF(BR72="","",IF(BR72&gt;60,1,0))</f>
        <v/>
      </c>
      <c r="CC72" s="37">
        <f>IF(BR72="","",IF(BR72&gt;67,1,0))</f>
        <v/>
      </c>
      <c r="CD72" s="37">
        <f>IF(BT72="","",IF(BT72&lt;=30,1,0))</f>
        <v/>
      </c>
      <c r="CE72" s="37">
        <f>IF(BQ72="","",IF(BQ72&lt;=28,1,0))</f>
        <v/>
      </c>
      <c r="CF72" s="37">
        <f>IF(OR(BV72="",BE72&lt;&gt;"ניתוח"),"",IF(BV72&lt;=30,1,0))</f>
        <v/>
      </c>
      <c r="CG72" s="37">
        <f>IF(BU72="","",IF(BU72&lt;=56,1,0))</f>
        <v/>
      </c>
      <c r="CH72" s="37">
        <f>IF(BW72="","",IF(BW72&lt;=42,1,0))</f>
        <v/>
      </c>
      <c r="CI72" s="37">
        <f>IF(BX72="","",IF(BX72&lt;=100,1,0))</f>
        <v/>
      </c>
      <c r="CJ72" s="33">
        <f>IF(A72="","",COUNTIF(Delays!$B$5:$B$404,A72))</f>
        <v/>
      </c>
      <c r="CK72" s="35" t="n"/>
    </row>
    <row r="73">
      <c r="A73" s="33">
        <f>IF(OR(B73="",C73="",D73="",AX73=""),"","RET-"&amp;RIGHT(YEAR(AX73),2)&amp;"-"&amp;TEXT(B73,"000")&amp;"-"&amp;C73&amp;"-"&amp;D73&amp;"-"&amp;TEXT(MONTH(AX73),"00"))</f>
        <v/>
      </c>
      <c r="B73" s="34" t="n">
        <v>68</v>
      </c>
      <c r="C73" s="35" t="n"/>
      <c r="D73" s="35" t="n"/>
      <c r="E73" s="33">
        <f>IF(AX73="","",YEAR(AX73))</f>
        <v/>
      </c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6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7">
        <f>IF(Y73="","",IF(OR(Y73="III",Y73="IV",Y73="IVA",Y73="IVB",Y73="IVC"),1,0))</f>
        <v/>
      </c>
      <c r="AA73" s="35" t="n"/>
      <c r="AB73" s="35" t="n"/>
      <c r="AC73" s="35" t="n"/>
      <c r="AD73" s="35" t="n"/>
      <c r="AE73" s="35" t="n"/>
      <c r="AF73" s="35" t="n"/>
      <c r="AG73" s="35" t="n"/>
      <c r="AH73" s="35" t="n"/>
      <c r="AI73" s="35" t="n"/>
      <c r="AJ73" s="35" t="n"/>
      <c r="AK73" s="35" t="n"/>
      <c r="AL73" s="35" t="n"/>
      <c r="AM73" s="35" t="n"/>
      <c r="AN73" s="35" t="n"/>
      <c r="AO73" s="35" t="n"/>
      <c r="AP73" s="35" t="n"/>
      <c r="AQ73" s="35" t="n"/>
      <c r="AR73" s="35" t="n"/>
      <c r="AS73" s="35" t="n"/>
      <c r="AT73" s="35" t="n"/>
      <c r="AU73" s="38" t="n"/>
      <c r="AV73" s="38" t="n"/>
      <c r="AW73" s="38" t="n"/>
      <c r="AX73" s="38" t="n"/>
      <c r="AY73" s="38" t="n"/>
      <c r="AZ73" s="38" t="n"/>
      <c r="BA73" s="38" t="n"/>
      <c r="BB73" s="38" t="n"/>
      <c r="BC73" s="38" t="n"/>
      <c r="BD73" s="38" t="n"/>
      <c r="BE73" s="35" t="n"/>
      <c r="BF73" s="35" t="n"/>
      <c r="BG73" s="38" t="n"/>
      <c r="BH73" s="38" t="n"/>
      <c r="BI73" s="38" t="n"/>
      <c r="BJ73" s="35" t="n"/>
      <c r="BK73" s="38" t="n"/>
      <c r="BL73" s="33">
        <f>IF(OR(AU73="",AV73=""),"",AV73-AU73)</f>
        <v/>
      </c>
      <c r="BM73" s="33">
        <f>IF(OR(AV73="",AW73=""),"",AW73-AV73)</f>
        <v/>
      </c>
      <c r="BN73" s="33">
        <f>IF(OR(AW73="",AX73=""),"",AX73-AW73)</f>
        <v/>
      </c>
      <c r="BO73" s="33">
        <f>IF(OR(AX73="",BA73=""),"",BA73-AX73)</f>
        <v/>
      </c>
      <c r="BP73" s="33">
        <f>IF(OR(AV73="",BA73=""),"",BA73-AV73)</f>
        <v/>
      </c>
      <c r="BQ73" s="33">
        <f>IF(OR(BB73="",BD73=""),"",BD73-BB73)</f>
        <v/>
      </c>
      <c r="BR73" s="33">
        <f>IF(OR(AX73="",BD73=""),"",BD73-AX73)</f>
        <v/>
      </c>
      <c r="BS73" s="33">
        <f>IF(OR(AW73="",BD73=""),"",BD73-AW73)</f>
        <v/>
      </c>
      <c r="BT73" s="33">
        <f>IF(OR(AV73="",BD73=""),"",BD73-AV73)</f>
        <v/>
      </c>
      <c r="BU73" s="33">
        <f>IF(OR(AU73="",BD73=""),"",BD73-AU73)</f>
        <v/>
      </c>
      <c r="BV73" s="33">
        <f>IF(OR(BB73="",BG73=""),"",BG73-BB73)</f>
        <v/>
      </c>
      <c r="BW73" s="33">
        <f>IF(OR(BG73="",BH73=""),"",BH73-BG73)</f>
        <v/>
      </c>
      <c r="BX73" s="33">
        <f>IF(OR(BG73="",BI73=""),"",BI73-BG73)</f>
        <v/>
      </c>
      <c r="BY73" s="39">
        <f>IF(OR(AX73="",BK73=""),"",ROUND((BK73-AX73)/30.44,1))</f>
        <v/>
      </c>
      <c r="BZ73" s="37">
        <f>IF(BR73="","",IF(BR73&lt;=30,1,0))</f>
        <v/>
      </c>
      <c r="CA73" s="37">
        <f>IF(BR73="","",IF(BR73&gt;40.5,1,0))</f>
        <v/>
      </c>
      <c r="CB73" s="37">
        <f>IF(BR73="","",IF(BR73&gt;60,1,0))</f>
        <v/>
      </c>
      <c r="CC73" s="37">
        <f>IF(BR73="","",IF(BR73&gt;67,1,0))</f>
        <v/>
      </c>
      <c r="CD73" s="37">
        <f>IF(BT73="","",IF(BT73&lt;=30,1,0))</f>
        <v/>
      </c>
      <c r="CE73" s="37">
        <f>IF(BQ73="","",IF(BQ73&lt;=28,1,0))</f>
        <v/>
      </c>
      <c r="CF73" s="37">
        <f>IF(OR(BV73="",BE73&lt;&gt;"ניתוח"),"",IF(BV73&lt;=30,1,0))</f>
        <v/>
      </c>
      <c r="CG73" s="37">
        <f>IF(BU73="","",IF(BU73&lt;=56,1,0))</f>
        <v/>
      </c>
      <c r="CH73" s="37">
        <f>IF(BW73="","",IF(BW73&lt;=42,1,0))</f>
        <v/>
      </c>
      <c r="CI73" s="37">
        <f>IF(BX73="","",IF(BX73&lt;=100,1,0))</f>
        <v/>
      </c>
      <c r="CJ73" s="33">
        <f>IF(A73="","",COUNTIF(Delays!$B$5:$B$404,A73))</f>
        <v/>
      </c>
      <c r="CK73" s="35" t="n"/>
    </row>
    <row r="74">
      <c r="A74" s="33">
        <f>IF(OR(B74="",C74="",D74="",AX74=""),"","RET-"&amp;RIGHT(YEAR(AX74),2)&amp;"-"&amp;TEXT(B74,"000")&amp;"-"&amp;C74&amp;"-"&amp;D74&amp;"-"&amp;TEXT(MONTH(AX74),"00"))</f>
        <v/>
      </c>
      <c r="B74" s="34" t="n">
        <v>69</v>
      </c>
      <c r="C74" s="35" t="n"/>
      <c r="D74" s="35" t="n"/>
      <c r="E74" s="33">
        <f>IF(AX74="","",YEAR(AX74))</f>
        <v/>
      </c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6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7">
        <f>IF(Y74="","",IF(OR(Y74="III",Y74="IV",Y74="IVA",Y74="IVB",Y74="IVC"),1,0))</f>
        <v/>
      </c>
      <c r="AA74" s="35" t="n"/>
      <c r="AB74" s="35" t="n"/>
      <c r="AC74" s="35" t="n"/>
      <c r="AD74" s="35" t="n"/>
      <c r="AE74" s="35" t="n"/>
      <c r="AF74" s="35" t="n"/>
      <c r="AG74" s="35" t="n"/>
      <c r="AH74" s="35" t="n"/>
      <c r="AI74" s="35" t="n"/>
      <c r="AJ74" s="35" t="n"/>
      <c r="AK74" s="35" t="n"/>
      <c r="AL74" s="35" t="n"/>
      <c r="AM74" s="35" t="n"/>
      <c r="AN74" s="35" t="n"/>
      <c r="AO74" s="35" t="n"/>
      <c r="AP74" s="35" t="n"/>
      <c r="AQ74" s="35" t="n"/>
      <c r="AR74" s="35" t="n"/>
      <c r="AS74" s="35" t="n"/>
      <c r="AT74" s="35" t="n"/>
      <c r="AU74" s="38" t="n"/>
      <c r="AV74" s="38" t="n"/>
      <c r="AW74" s="38" t="n"/>
      <c r="AX74" s="38" t="n"/>
      <c r="AY74" s="38" t="n"/>
      <c r="AZ74" s="38" t="n"/>
      <c r="BA74" s="38" t="n"/>
      <c r="BB74" s="38" t="n"/>
      <c r="BC74" s="38" t="n"/>
      <c r="BD74" s="38" t="n"/>
      <c r="BE74" s="35" t="n"/>
      <c r="BF74" s="35" t="n"/>
      <c r="BG74" s="38" t="n"/>
      <c r="BH74" s="38" t="n"/>
      <c r="BI74" s="38" t="n"/>
      <c r="BJ74" s="35" t="n"/>
      <c r="BK74" s="38" t="n"/>
      <c r="BL74" s="33">
        <f>IF(OR(AU74="",AV74=""),"",AV74-AU74)</f>
        <v/>
      </c>
      <c r="BM74" s="33">
        <f>IF(OR(AV74="",AW74=""),"",AW74-AV74)</f>
        <v/>
      </c>
      <c r="BN74" s="33">
        <f>IF(OR(AW74="",AX74=""),"",AX74-AW74)</f>
        <v/>
      </c>
      <c r="BO74" s="33">
        <f>IF(OR(AX74="",BA74=""),"",BA74-AX74)</f>
        <v/>
      </c>
      <c r="BP74" s="33">
        <f>IF(OR(AV74="",BA74=""),"",BA74-AV74)</f>
        <v/>
      </c>
      <c r="BQ74" s="33">
        <f>IF(OR(BB74="",BD74=""),"",BD74-BB74)</f>
        <v/>
      </c>
      <c r="BR74" s="33">
        <f>IF(OR(AX74="",BD74=""),"",BD74-AX74)</f>
        <v/>
      </c>
      <c r="BS74" s="33">
        <f>IF(OR(AW74="",BD74=""),"",BD74-AW74)</f>
        <v/>
      </c>
      <c r="BT74" s="33">
        <f>IF(OR(AV74="",BD74=""),"",BD74-AV74)</f>
        <v/>
      </c>
      <c r="BU74" s="33">
        <f>IF(OR(AU74="",BD74=""),"",BD74-AU74)</f>
        <v/>
      </c>
      <c r="BV74" s="33">
        <f>IF(OR(BB74="",BG74=""),"",BG74-BB74)</f>
        <v/>
      </c>
      <c r="BW74" s="33">
        <f>IF(OR(BG74="",BH74=""),"",BH74-BG74)</f>
        <v/>
      </c>
      <c r="BX74" s="33">
        <f>IF(OR(BG74="",BI74=""),"",BI74-BG74)</f>
        <v/>
      </c>
      <c r="BY74" s="39">
        <f>IF(OR(AX74="",BK74=""),"",ROUND((BK74-AX74)/30.44,1))</f>
        <v/>
      </c>
      <c r="BZ74" s="37">
        <f>IF(BR74="","",IF(BR74&lt;=30,1,0))</f>
        <v/>
      </c>
      <c r="CA74" s="37">
        <f>IF(BR74="","",IF(BR74&gt;40.5,1,0))</f>
        <v/>
      </c>
      <c r="CB74" s="37">
        <f>IF(BR74="","",IF(BR74&gt;60,1,0))</f>
        <v/>
      </c>
      <c r="CC74" s="37">
        <f>IF(BR74="","",IF(BR74&gt;67,1,0))</f>
        <v/>
      </c>
      <c r="CD74" s="37">
        <f>IF(BT74="","",IF(BT74&lt;=30,1,0))</f>
        <v/>
      </c>
      <c r="CE74" s="37">
        <f>IF(BQ74="","",IF(BQ74&lt;=28,1,0))</f>
        <v/>
      </c>
      <c r="CF74" s="37">
        <f>IF(OR(BV74="",BE74&lt;&gt;"ניתוח"),"",IF(BV74&lt;=30,1,0))</f>
        <v/>
      </c>
      <c r="CG74" s="37">
        <f>IF(BU74="","",IF(BU74&lt;=56,1,0))</f>
        <v/>
      </c>
      <c r="CH74" s="37">
        <f>IF(BW74="","",IF(BW74&lt;=42,1,0))</f>
        <v/>
      </c>
      <c r="CI74" s="37">
        <f>IF(BX74="","",IF(BX74&lt;=100,1,0))</f>
        <v/>
      </c>
      <c r="CJ74" s="33">
        <f>IF(A74="","",COUNTIF(Delays!$B$5:$B$404,A74))</f>
        <v/>
      </c>
      <c r="CK74" s="35" t="n"/>
    </row>
    <row r="75">
      <c r="A75" s="33">
        <f>IF(OR(B75="",C75="",D75="",AX75=""),"","RET-"&amp;RIGHT(YEAR(AX75),2)&amp;"-"&amp;TEXT(B75,"000")&amp;"-"&amp;C75&amp;"-"&amp;D75&amp;"-"&amp;TEXT(MONTH(AX75),"00"))</f>
        <v/>
      </c>
      <c r="B75" s="34" t="n">
        <v>70</v>
      </c>
      <c r="C75" s="35" t="n"/>
      <c r="D75" s="35" t="n"/>
      <c r="E75" s="33">
        <f>IF(AX75="","",YEAR(AX75))</f>
        <v/>
      </c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6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7">
        <f>IF(Y75="","",IF(OR(Y75="III",Y75="IV",Y75="IVA",Y75="IVB",Y75="IVC"),1,0))</f>
        <v/>
      </c>
      <c r="AA75" s="35" t="n"/>
      <c r="AB75" s="35" t="n"/>
      <c r="AC75" s="35" t="n"/>
      <c r="AD75" s="35" t="n"/>
      <c r="AE75" s="35" t="n"/>
      <c r="AF75" s="35" t="n"/>
      <c r="AG75" s="35" t="n"/>
      <c r="AH75" s="35" t="n"/>
      <c r="AI75" s="35" t="n"/>
      <c r="AJ75" s="35" t="n"/>
      <c r="AK75" s="35" t="n"/>
      <c r="AL75" s="35" t="n"/>
      <c r="AM75" s="35" t="n"/>
      <c r="AN75" s="35" t="n"/>
      <c r="AO75" s="35" t="n"/>
      <c r="AP75" s="35" t="n"/>
      <c r="AQ75" s="35" t="n"/>
      <c r="AR75" s="35" t="n"/>
      <c r="AS75" s="35" t="n"/>
      <c r="AT75" s="35" t="n"/>
      <c r="AU75" s="38" t="n"/>
      <c r="AV75" s="38" t="n"/>
      <c r="AW75" s="38" t="n"/>
      <c r="AX75" s="38" t="n"/>
      <c r="AY75" s="38" t="n"/>
      <c r="AZ75" s="38" t="n"/>
      <c r="BA75" s="38" t="n"/>
      <c r="BB75" s="38" t="n"/>
      <c r="BC75" s="38" t="n"/>
      <c r="BD75" s="38" t="n"/>
      <c r="BE75" s="35" t="n"/>
      <c r="BF75" s="35" t="n"/>
      <c r="BG75" s="38" t="n"/>
      <c r="BH75" s="38" t="n"/>
      <c r="BI75" s="38" t="n"/>
      <c r="BJ75" s="35" t="n"/>
      <c r="BK75" s="38" t="n"/>
      <c r="BL75" s="33">
        <f>IF(OR(AU75="",AV75=""),"",AV75-AU75)</f>
        <v/>
      </c>
      <c r="BM75" s="33">
        <f>IF(OR(AV75="",AW75=""),"",AW75-AV75)</f>
        <v/>
      </c>
      <c r="BN75" s="33">
        <f>IF(OR(AW75="",AX75=""),"",AX75-AW75)</f>
        <v/>
      </c>
      <c r="BO75" s="33">
        <f>IF(OR(AX75="",BA75=""),"",BA75-AX75)</f>
        <v/>
      </c>
      <c r="BP75" s="33">
        <f>IF(OR(AV75="",BA75=""),"",BA75-AV75)</f>
        <v/>
      </c>
      <c r="BQ75" s="33">
        <f>IF(OR(BB75="",BD75=""),"",BD75-BB75)</f>
        <v/>
      </c>
      <c r="BR75" s="33">
        <f>IF(OR(AX75="",BD75=""),"",BD75-AX75)</f>
        <v/>
      </c>
      <c r="BS75" s="33">
        <f>IF(OR(AW75="",BD75=""),"",BD75-AW75)</f>
        <v/>
      </c>
      <c r="BT75" s="33">
        <f>IF(OR(AV75="",BD75=""),"",BD75-AV75)</f>
        <v/>
      </c>
      <c r="BU75" s="33">
        <f>IF(OR(AU75="",BD75=""),"",BD75-AU75)</f>
        <v/>
      </c>
      <c r="BV75" s="33">
        <f>IF(OR(BB75="",BG75=""),"",BG75-BB75)</f>
        <v/>
      </c>
      <c r="BW75" s="33">
        <f>IF(OR(BG75="",BH75=""),"",BH75-BG75)</f>
        <v/>
      </c>
      <c r="BX75" s="33">
        <f>IF(OR(BG75="",BI75=""),"",BI75-BG75)</f>
        <v/>
      </c>
      <c r="BY75" s="39">
        <f>IF(OR(AX75="",BK75=""),"",ROUND((BK75-AX75)/30.44,1))</f>
        <v/>
      </c>
      <c r="BZ75" s="37">
        <f>IF(BR75="","",IF(BR75&lt;=30,1,0))</f>
        <v/>
      </c>
      <c r="CA75" s="37">
        <f>IF(BR75="","",IF(BR75&gt;40.5,1,0))</f>
        <v/>
      </c>
      <c r="CB75" s="37">
        <f>IF(BR75="","",IF(BR75&gt;60,1,0))</f>
        <v/>
      </c>
      <c r="CC75" s="37">
        <f>IF(BR75="","",IF(BR75&gt;67,1,0))</f>
        <v/>
      </c>
      <c r="CD75" s="37">
        <f>IF(BT75="","",IF(BT75&lt;=30,1,0))</f>
        <v/>
      </c>
      <c r="CE75" s="37">
        <f>IF(BQ75="","",IF(BQ75&lt;=28,1,0))</f>
        <v/>
      </c>
      <c r="CF75" s="37">
        <f>IF(OR(BV75="",BE75&lt;&gt;"ניתוח"),"",IF(BV75&lt;=30,1,0))</f>
        <v/>
      </c>
      <c r="CG75" s="37">
        <f>IF(BU75="","",IF(BU75&lt;=56,1,0))</f>
        <v/>
      </c>
      <c r="CH75" s="37">
        <f>IF(BW75="","",IF(BW75&lt;=42,1,0))</f>
        <v/>
      </c>
      <c r="CI75" s="37">
        <f>IF(BX75="","",IF(BX75&lt;=100,1,0))</f>
        <v/>
      </c>
      <c r="CJ75" s="33">
        <f>IF(A75="","",COUNTIF(Delays!$B$5:$B$404,A75))</f>
        <v/>
      </c>
      <c r="CK75" s="35" t="n"/>
    </row>
    <row r="76">
      <c r="A76" s="33">
        <f>IF(OR(B76="",C76="",D76="",AX76=""),"","RET-"&amp;RIGHT(YEAR(AX76),2)&amp;"-"&amp;TEXT(B76,"000")&amp;"-"&amp;C76&amp;"-"&amp;D76&amp;"-"&amp;TEXT(MONTH(AX76),"00"))</f>
        <v/>
      </c>
      <c r="B76" s="34" t="n">
        <v>71</v>
      </c>
      <c r="C76" s="35" t="n"/>
      <c r="D76" s="35" t="n"/>
      <c r="E76" s="33">
        <f>IF(AX76="","",YEAR(AX76))</f>
        <v/>
      </c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6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7">
        <f>IF(Y76="","",IF(OR(Y76="III",Y76="IV",Y76="IVA",Y76="IVB",Y76="IVC"),1,0))</f>
        <v/>
      </c>
      <c r="AA76" s="35" t="n"/>
      <c r="AB76" s="35" t="n"/>
      <c r="AC76" s="35" t="n"/>
      <c r="AD76" s="35" t="n"/>
      <c r="AE76" s="35" t="n"/>
      <c r="AF76" s="35" t="n"/>
      <c r="AG76" s="35" t="n"/>
      <c r="AH76" s="35" t="n"/>
      <c r="AI76" s="35" t="n"/>
      <c r="AJ76" s="35" t="n"/>
      <c r="AK76" s="35" t="n"/>
      <c r="AL76" s="35" t="n"/>
      <c r="AM76" s="35" t="n"/>
      <c r="AN76" s="35" t="n"/>
      <c r="AO76" s="35" t="n"/>
      <c r="AP76" s="35" t="n"/>
      <c r="AQ76" s="35" t="n"/>
      <c r="AR76" s="35" t="n"/>
      <c r="AS76" s="35" t="n"/>
      <c r="AT76" s="35" t="n"/>
      <c r="AU76" s="38" t="n"/>
      <c r="AV76" s="38" t="n"/>
      <c r="AW76" s="38" t="n"/>
      <c r="AX76" s="38" t="n"/>
      <c r="AY76" s="38" t="n"/>
      <c r="AZ76" s="38" t="n"/>
      <c r="BA76" s="38" t="n"/>
      <c r="BB76" s="38" t="n"/>
      <c r="BC76" s="38" t="n"/>
      <c r="BD76" s="38" t="n"/>
      <c r="BE76" s="35" t="n"/>
      <c r="BF76" s="35" t="n"/>
      <c r="BG76" s="38" t="n"/>
      <c r="BH76" s="38" t="n"/>
      <c r="BI76" s="38" t="n"/>
      <c r="BJ76" s="35" t="n"/>
      <c r="BK76" s="38" t="n"/>
      <c r="BL76" s="33">
        <f>IF(OR(AU76="",AV76=""),"",AV76-AU76)</f>
        <v/>
      </c>
      <c r="BM76" s="33">
        <f>IF(OR(AV76="",AW76=""),"",AW76-AV76)</f>
        <v/>
      </c>
      <c r="BN76" s="33">
        <f>IF(OR(AW76="",AX76=""),"",AX76-AW76)</f>
        <v/>
      </c>
      <c r="BO76" s="33">
        <f>IF(OR(AX76="",BA76=""),"",BA76-AX76)</f>
        <v/>
      </c>
      <c r="BP76" s="33">
        <f>IF(OR(AV76="",BA76=""),"",BA76-AV76)</f>
        <v/>
      </c>
      <c r="BQ76" s="33">
        <f>IF(OR(BB76="",BD76=""),"",BD76-BB76)</f>
        <v/>
      </c>
      <c r="BR76" s="33">
        <f>IF(OR(AX76="",BD76=""),"",BD76-AX76)</f>
        <v/>
      </c>
      <c r="BS76" s="33">
        <f>IF(OR(AW76="",BD76=""),"",BD76-AW76)</f>
        <v/>
      </c>
      <c r="BT76" s="33">
        <f>IF(OR(AV76="",BD76=""),"",BD76-AV76)</f>
        <v/>
      </c>
      <c r="BU76" s="33">
        <f>IF(OR(AU76="",BD76=""),"",BD76-AU76)</f>
        <v/>
      </c>
      <c r="BV76" s="33">
        <f>IF(OR(BB76="",BG76=""),"",BG76-BB76)</f>
        <v/>
      </c>
      <c r="BW76" s="33">
        <f>IF(OR(BG76="",BH76=""),"",BH76-BG76)</f>
        <v/>
      </c>
      <c r="BX76" s="33">
        <f>IF(OR(BG76="",BI76=""),"",BI76-BG76)</f>
        <v/>
      </c>
      <c r="BY76" s="39">
        <f>IF(OR(AX76="",BK76=""),"",ROUND((BK76-AX76)/30.44,1))</f>
        <v/>
      </c>
      <c r="BZ76" s="37">
        <f>IF(BR76="","",IF(BR76&lt;=30,1,0))</f>
        <v/>
      </c>
      <c r="CA76" s="37">
        <f>IF(BR76="","",IF(BR76&gt;40.5,1,0))</f>
        <v/>
      </c>
      <c r="CB76" s="37">
        <f>IF(BR76="","",IF(BR76&gt;60,1,0))</f>
        <v/>
      </c>
      <c r="CC76" s="37">
        <f>IF(BR76="","",IF(BR76&gt;67,1,0))</f>
        <v/>
      </c>
      <c r="CD76" s="37">
        <f>IF(BT76="","",IF(BT76&lt;=30,1,0))</f>
        <v/>
      </c>
      <c r="CE76" s="37">
        <f>IF(BQ76="","",IF(BQ76&lt;=28,1,0))</f>
        <v/>
      </c>
      <c r="CF76" s="37">
        <f>IF(OR(BV76="",BE76&lt;&gt;"ניתוח"),"",IF(BV76&lt;=30,1,0))</f>
        <v/>
      </c>
      <c r="CG76" s="37">
        <f>IF(BU76="","",IF(BU76&lt;=56,1,0))</f>
        <v/>
      </c>
      <c r="CH76" s="37">
        <f>IF(BW76="","",IF(BW76&lt;=42,1,0))</f>
        <v/>
      </c>
      <c r="CI76" s="37">
        <f>IF(BX76="","",IF(BX76&lt;=100,1,0))</f>
        <v/>
      </c>
      <c r="CJ76" s="33">
        <f>IF(A76="","",COUNTIF(Delays!$B$5:$B$404,A76))</f>
        <v/>
      </c>
      <c r="CK76" s="35" t="n"/>
    </row>
    <row r="77">
      <c r="A77" s="33">
        <f>IF(OR(B77="",C77="",D77="",AX77=""),"","RET-"&amp;RIGHT(YEAR(AX77),2)&amp;"-"&amp;TEXT(B77,"000")&amp;"-"&amp;C77&amp;"-"&amp;D77&amp;"-"&amp;TEXT(MONTH(AX77),"00"))</f>
        <v/>
      </c>
      <c r="B77" s="34" t="n">
        <v>72</v>
      </c>
      <c r="C77" s="35" t="n"/>
      <c r="D77" s="35" t="n"/>
      <c r="E77" s="33">
        <f>IF(AX77="","",YEAR(AX77))</f>
        <v/>
      </c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6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7">
        <f>IF(Y77="","",IF(OR(Y77="III",Y77="IV",Y77="IVA",Y77="IVB",Y77="IVC"),1,0))</f>
        <v/>
      </c>
      <c r="AA77" s="35" t="n"/>
      <c r="AB77" s="35" t="n"/>
      <c r="AC77" s="35" t="n"/>
      <c r="AD77" s="35" t="n"/>
      <c r="AE77" s="35" t="n"/>
      <c r="AF77" s="35" t="n"/>
      <c r="AG77" s="35" t="n"/>
      <c r="AH77" s="35" t="n"/>
      <c r="AI77" s="35" t="n"/>
      <c r="AJ77" s="35" t="n"/>
      <c r="AK77" s="35" t="n"/>
      <c r="AL77" s="35" t="n"/>
      <c r="AM77" s="35" t="n"/>
      <c r="AN77" s="35" t="n"/>
      <c r="AO77" s="35" t="n"/>
      <c r="AP77" s="35" t="n"/>
      <c r="AQ77" s="35" t="n"/>
      <c r="AR77" s="35" t="n"/>
      <c r="AS77" s="35" t="n"/>
      <c r="AT77" s="35" t="n"/>
      <c r="AU77" s="38" t="n"/>
      <c r="AV77" s="38" t="n"/>
      <c r="AW77" s="38" t="n"/>
      <c r="AX77" s="38" t="n"/>
      <c r="AY77" s="38" t="n"/>
      <c r="AZ77" s="38" t="n"/>
      <c r="BA77" s="38" t="n"/>
      <c r="BB77" s="38" t="n"/>
      <c r="BC77" s="38" t="n"/>
      <c r="BD77" s="38" t="n"/>
      <c r="BE77" s="35" t="n"/>
      <c r="BF77" s="35" t="n"/>
      <c r="BG77" s="38" t="n"/>
      <c r="BH77" s="38" t="n"/>
      <c r="BI77" s="38" t="n"/>
      <c r="BJ77" s="35" t="n"/>
      <c r="BK77" s="38" t="n"/>
      <c r="BL77" s="33">
        <f>IF(OR(AU77="",AV77=""),"",AV77-AU77)</f>
        <v/>
      </c>
      <c r="BM77" s="33">
        <f>IF(OR(AV77="",AW77=""),"",AW77-AV77)</f>
        <v/>
      </c>
      <c r="BN77" s="33">
        <f>IF(OR(AW77="",AX77=""),"",AX77-AW77)</f>
        <v/>
      </c>
      <c r="BO77" s="33">
        <f>IF(OR(AX77="",BA77=""),"",BA77-AX77)</f>
        <v/>
      </c>
      <c r="BP77" s="33">
        <f>IF(OR(AV77="",BA77=""),"",BA77-AV77)</f>
        <v/>
      </c>
      <c r="BQ77" s="33">
        <f>IF(OR(BB77="",BD77=""),"",BD77-BB77)</f>
        <v/>
      </c>
      <c r="BR77" s="33">
        <f>IF(OR(AX77="",BD77=""),"",BD77-AX77)</f>
        <v/>
      </c>
      <c r="BS77" s="33">
        <f>IF(OR(AW77="",BD77=""),"",BD77-AW77)</f>
        <v/>
      </c>
      <c r="BT77" s="33">
        <f>IF(OR(AV77="",BD77=""),"",BD77-AV77)</f>
        <v/>
      </c>
      <c r="BU77" s="33">
        <f>IF(OR(AU77="",BD77=""),"",BD77-AU77)</f>
        <v/>
      </c>
      <c r="BV77" s="33">
        <f>IF(OR(BB77="",BG77=""),"",BG77-BB77)</f>
        <v/>
      </c>
      <c r="BW77" s="33">
        <f>IF(OR(BG77="",BH77=""),"",BH77-BG77)</f>
        <v/>
      </c>
      <c r="BX77" s="33">
        <f>IF(OR(BG77="",BI77=""),"",BI77-BG77)</f>
        <v/>
      </c>
      <c r="BY77" s="39">
        <f>IF(OR(AX77="",BK77=""),"",ROUND((BK77-AX77)/30.44,1))</f>
        <v/>
      </c>
      <c r="BZ77" s="37">
        <f>IF(BR77="","",IF(BR77&lt;=30,1,0))</f>
        <v/>
      </c>
      <c r="CA77" s="37">
        <f>IF(BR77="","",IF(BR77&gt;40.5,1,0))</f>
        <v/>
      </c>
      <c r="CB77" s="37">
        <f>IF(BR77="","",IF(BR77&gt;60,1,0))</f>
        <v/>
      </c>
      <c r="CC77" s="37">
        <f>IF(BR77="","",IF(BR77&gt;67,1,0))</f>
        <v/>
      </c>
      <c r="CD77" s="37">
        <f>IF(BT77="","",IF(BT77&lt;=30,1,0))</f>
        <v/>
      </c>
      <c r="CE77" s="37">
        <f>IF(BQ77="","",IF(BQ77&lt;=28,1,0))</f>
        <v/>
      </c>
      <c r="CF77" s="37">
        <f>IF(OR(BV77="",BE77&lt;&gt;"ניתוח"),"",IF(BV77&lt;=30,1,0))</f>
        <v/>
      </c>
      <c r="CG77" s="37">
        <f>IF(BU77="","",IF(BU77&lt;=56,1,0))</f>
        <v/>
      </c>
      <c r="CH77" s="37">
        <f>IF(BW77="","",IF(BW77&lt;=42,1,0))</f>
        <v/>
      </c>
      <c r="CI77" s="37">
        <f>IF(BX77="","",IF(BX77&lt;=100,1,0))</f>
        <v/>
      </c>
      <c r="CJ77" s="33">
        <f>IF(A77="","",COUNTIF(Delays!$B$5:$B$404,A77))</f>
        <v/>
      </c>
      <c r="CK77" s="35" t="n"/>
    </row>
    <row r="78">
      <c r="A78" s="33">
        <f>IF(OR(B78="",C78="",D78="",AX78=""),"","RET-"&amp;RIGHT(YEAR(AX78),2)&amp;"-"&amp;TEXT(B78,"000")&amp;"-"&amp;C78&amp;"-"&amp;D78&amp;"-"&amp;TEXT(MONTH(AX78),"00"))</f>
        <v/>
      </c>
      <c r="B78" s="34" t="n">
        <v>73</v>
      </c>
      <c r="C78" s="35" t="n"/>
      <c r="D78" s="35" t="n"/>
      <c r="E78" s="33">
        <f>IF(AX78="","",YEAR(AX78))</f>
        <v/>
      </c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6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7">
        <f>IF(Y78="","",IF(OR(Y78="III",Y78="IV",Y78="IVA",Y78="IVB",Y78="IVC"),1,0))</f>
        <v/>
      </c>
      <c r="AA78" s="35" t="n"/>
      <c r="AB78" s="35" t="n"/>
      <c r="AC78" s="35" t="n"/>
      <c r="AD78" s="35" t="n"/>
      <c r="AE78" s="35" t="n"/>
      <c r="AF78" s="35" t="n"/>
      <c r="AG78" s="35" t="n"/>
      <c r="AH78" s="35" t="n"/>
      <c r="AI78" s="35" t="n"/>
      <c r="AJ78" s="35" t="n"/>
      <c r="AK78" s="35" t="n"/>
      <c r="AL78" s="35" t="n"/>
      <c r="AM78" s="35" t="n"/>
      <c r="AN78" s="35" t="n"/>
      <c r="AO78" s="35" t="n"/>
      <c r="AP78" s="35" t="n"/>
      <c r="AQ78" s="35" t="n"/>
      <c r="AR78" s="35" t="n"/>
      <c r="AS78" s="35" t="n"/>
      <c r="AT78" s="35" t="n"/>
      <c r="AU78" s="38" t="n"/>
      <c r="AV78" s="38" t="n"/>
      <c r="AW78" s="38" t="n"/>
      <c r="AX78" s="38" t="n"/>
      <c r="AY78" s="38" t="n"/>
      <c r="AZ78" s="38" t="n"/>
      <c r="BA78" s="38" t="n"/>
      <c r="BB78" s="38" t="n"/>
      <c r="BC78" s="38" t="n"/>
      <c r="BD78" s="38" t="n"/>
      <c r="BE78" s="35" t="n"/>
      <c r="BF78" s="35" t="n"/>
      <c r="BG78" s="38" t="n"/>
      <c r="BH78" s="38" t="n"/>
      <c r="BI78" s="38" t="n"/>
      <c r="BJ78" s="35" t="n"/>
      <c r="BK78" s="38" t="n"/>
      <c r="BL78" s="33">
        <f>IF(OR(AU78="",AV78=""),"",AV78-AU78)</f>
        <v/>
      </c>
      <c r="BM78" s="33">
        <f>IF(OR(AV78="",AW78=""),"",AW78-AV78)</f>
        <v/>
      </c>
      <c r="BN78" s="33">
        <f>IF(OR(AW78="",AX78=""),"",AX78-AW78)</f>
        <v/>
      </c>
      <c r="BO78" s="33">
        <f>IF(OR(AX78="",BA78=""),"",BA78-AX78)</f>
        <v/>
      </c>
      <c r="BP78" s="33">
        <f>IF(OR(AV78="",BA78=""),"",BA78-AV78)</f>
        <v/>
      </c>
      <c r="BQ78" s="33">
        <f>IF(OR(BB78="",BD78=""),"",BD78-BB78)</f>
        <v/>
      </c>
      <c r="BR78" s="33">
        <f>IF(OR(AX78="",BD78=""),"",BD78-AX78)</f>
        <v/>
      </c>
      <c r="BS78" s="33">
        <f>IF(OR(AW78="",BD78=""),"",BD78-AW78)</f>
        <v/>
      </c>
      <c r="BT78" s="33">
        <f>IF(OR(AV78="",BD78=""),"",BD78-AV78)</f>
        <v/>
      </c>
      <c r="BU78" s="33">
        <f>IF(OR(AU78="",BD78=""),"",BD78-AU78)</f>
        <v/>
      </c>
      <c r="BV78" s="33">
        <f>IF(OR(BB78="",BG78=""),"",BG78-BB78)</f>
        <v/>
      </c>
      <c r="BW78" s="33">
        <f>IF(OR(BG78="",BH78=""),"",BH78-BG78)</f>
        <v/>
      </c>
      <c r="BX78" s="33">
        <f>IF(OR(BG78="",BI78=""),"",BI78-BG78)</f>
        <v/>
      </c>
      <c r="BY78" s="39">
        <f>IF(OR(AX78="",BK78=""),"",ROUND((BK78-AX78)/30.44,1))</f>
        <v/>
      </c>
      <c r="BZ78" s="37">
        <f>IF(BR78="","",IF(BR78&lt;=30,1,0))</f>
        <v/>
      </c>
      <c r="CA78" s="37">
        <f>IF(BR78="","",IF(BR78&gt;40.5,1,0))</f>
        <v/>
      </c>
      <c r="CB78" s="37">
        <f>IF(BR78="","",IF(BR78&gt;60,1,0))</f>
        <v/>
      </c>
      <c r="CC78" s="37">
        <f>IF(BR78="","",IF(BR78&gt;67,1,0))</f>
        <v/>
      </c>
      <c r="CD78" s="37">
        <f>IF(BT78="","",IF(BT78&lt;=30,1,0))</f>
        <v/>
      </c>
      <c r="CE78" s="37">
        <f>IF(BQ78="","",IF(BQ78&lt;=28,1,0))</f>
        <v/>
      </c>
      <c r="CF78" s="37">
        <f>IF(OR(BV78="",BE78&lt;&gt;"ניתוח"),"",IF(BV78&lt;=30,1,0))</f>
        <v/>
      </c>
      <c r="CG78" s="37">
        <f>IF(BU78="","",IF(BU78&lt;=56,1,0))</f>
        <v/>
      </c>
      <c r="CH78" s="37">
        <f>IF(BW78="","",IF(BW78&lt;=42,1,0))</f>
        <v/>
      </c>
      <c r="CI78" s="37">
        <f>IF(BX78="","",IF(BX78&lt;=100,1,0))</f>
        <v/>
      </c>
      <c r="CJ78" s="33">
        <f>IF(A78="","",COUNTIF(Delays!$B$5:$B$404,A78))</f>
        <v/>
      </c>
      <c r="CK78" s="35" t="n"/>
    </row>
    <row r="79">
      <c r="A79" s="33">
        <f>IF(OR(B79="",C79="",D79="",AX79=""),"","RET-"&amp;RIGHT(YEAR(AX79),2)&amp;"-"&amp;TEXT(B79,"000")&amp;"-"&amp;C79&amp;"-"&amp;D79&amp;"-"&amp;TEXT(MONTH(AX79),"00"))</f>
        <v/>
      </c>
      <c r="B79" s="34" t="n">
        <v>74</v>
      </c>
      <c r="C79" s="35" t="n"/>
      <c r="D79" s="35" t="n"/>
      <c r="E79" s="33">
        <f>IF(AX79="","",YEAR(AX79))</f>
        <v/>
      </c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6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7">
        <f>IF(Y79="","",IF(OR(Y79="III",Y79="IV",Y79="IVA",Y79="IVB",Y79="IVC"),1,0))</f>
        <v/>
      </c>
      <c r="AA79" s="35" t="n"/>
      <c r="AB79" s="35" t="n"/>
      <c r="AC79" s="35" t="n"/>
      <c r="AD79" s="35" t="n"/>
      <c r="AE79" s="35" t="n"/>
      <c r="AF79" s="35" t="n"/>
      <c r="AG79" s="35" t="n"/>
      <c r="AH79" s="35" t="n"/>
      <c r="AI79" s="35" t="n"/>
      <c r="AJ79" s="35" t="n"/>
      <c r="AK79" s="35" t="n"/>
      <c r="AL79" s="35" t="n"/>
      <c r="AM79" s="35" t="n"/>
      <c r="AN79" s="35" t="n"/>
      <c r="AO79" s="35" t="n"/>
      <c r="AP79" s="35" t="n"/>
      <c r="AQ79" s="35" t="n"/>
      <c r="AR79" s="35" t="n"/>
      <c r="AS79" s="35" t="n"/>
      <c r="AT79" s="35" t="n"/>
      <c r="AU79" s="38" t="n"/>
      <c r="AV79" s="38" t="n"/>
      <c r="AW79" s="38" t="n"/>
      <c r="AX79" s="38" t="n"/>
      <c r="AY79" s="38" t="n"/>
      <c r="AZ79" s="38" t="n"/>
      <c r="BA79" s="38" t="n"/>
      <c r="BB79" s="38" t="n"/>
      <c r="BC79" s="38" t="n"/>
      <c r="BD79" s="38" t="n"/>
      <c r="BE79" s="35" t="n"/>
      <c r="BF79" s="35" t="n"/>
      <c r="BG79" s="38" t="n"/>
      <c r="BH79" s="38" t="n"/>
      <c r="BI79" s="38" t="n"/>
      <c r="BJ79" s="35" t="n"/>
      <c r="BK79" s="38" t="n"/>
      <c r="BL79" s="33">
        <f>IF(OR(AU79="",AV79=""),"",AV79-AU79)</f>
        <v/>
      </c>
      <c r="BM79" s="33">
        <f>IF(OR(AV79="",AW79=""),"",AW79-AV79)</f>
        <v/>
      </c>
      <c r="BN79" s="33">
        <f>IF(OR(AW79="",AX79=""),"",AX79-AW79)</f>
        <v/>
      </c>
      <c r="BO79" s="33">
        <f>IF(OR(AX79="",BA79=""),"",BA79-AX79)</f>
        <v/>
      </c>
      <c r="BP79" s="33">
        <f>IF(OR(AV79="",BA79=""),"",BA79-AV79)</f>
        <v/>
      </c>
      <c r="BQ79" s="33">
        <f>IF(OR(BB79="",BD79=""),"",BD79-BB79)</f>
        <v/>
      </c>
      <c r="BR79" s="33">
        <f>IF(OR(AX79="",BD79=""),"",BD79-AX79)</f>
        <v/>
      </c>
      <c r="BS79" s="33">
        <f>IF(OR(AW79="",BD79=""),"",BD79-AW79)</f>
        <v/>
      </c>
      <c r="BT79" s="33">
        <f>IF(OR(AV79="",BD79=""),"",BD79-AV79)</f>
        <v/>
      </c>
      <c r="BU79" s="33">
        <f>IF(OR(AU79="",BD79=""),"",BD79-AU79)</f>
        <v/>
      </c>
      <c r="BV79" s="33">
        <f>IF(OR(BB79="",BG79=""),"",BG79-BB79)</f>
        <v/>
      </c>
      <c r="BW79" s="33">
        <f>IF(OR(BG79="",BH79=""),"",BH79-BG79)</f>
        <v/>
      </c>
      <c r="BX79" s="33">
        <f>IF(OR(BG79="",BI79=""),"",BI79-BG79)</f>
        <v/>
      </c>
      <c r="BY79" s="39">
        <f>IF(OR(AX79="",BK79=""),"",ROUND((BK79-AX79)/30.44,1))</f>
        <v/>
      </c>
      <c r="BZ79" s="37">
        <f>IF(BR79="","",IF(BR79&lt;=30,1,0))</f>
        <v/>
      </c>
      <c r="CA79" s="37">
        <f>IF(BR79="","",IF(BR79&gt;40.5,1,0))</f>
        <v/>
      </c>
      <c r="CB79" s="37">
        <f>IF(BR79="","",IF(BR79&gt;60,1,0))</f>
        <v/>
      </c>
      <c r="CC79" s="37">
        <f>IF(BR79="","",IF(BR79&gt;67,1,0))</f>
        <v/>
      </c>
      <c r="CD79" s="37">
        <f>IF(BT79="","",IF(BT79&lt;=30,1,0))</f>
        <v/>
      </c>
      <c r="CE79" s="37">
        <f>IF(BQ79="","",IF(BQ79&lt;=28,1,0))</f>
        <v/>
      </c>
      <c r="CF79" s="37">
        <f>IF(OR(BV79="",BE79&lt;&gt;"ניתוח"),"",IF(BV79&lt;=30,1,0))</f>
        <v/>
      </c>
      <c r="CG79" s="37">
        <f>IF(BU79="","",IF(BU79&lt;=56,1,0))</f>
        <v/>
      </c>
      <c r="CH79" s="37">
        <f>IF(BW79="","",IF(BW79&lt;=42,1,0))</f>
        <v/>
      </c>
      <c r="CI79" s="37">
        <f>IF(BX79="","",IF(BX79&lt;=100,1,0))</f>
        <v/>
      </c>
      <c r="CJ79" s="33">
        <f>IF(A79="","",COUNTIF(Delays!$B$5:$B$404,A79))</f>
        <v/>
      </c>
      <c r="CK79" s="35" t="n"/>
    </row>
    <row r="80">
      <c r="A80" s="33">
        <f>IF(OR(B80="",C80="",D80="",AX80=""),"","RET-"&amp;RIGHT(YEAR(AX80),2)&amp;"-"&amp;TEXT(B80,"000")&amp;"-"&amp;C80&amp;"-"&amp;D80&amp;"-"&amp;TEXT(MONTH(AX80),"00"))</f>
        <v/>
      </c>
      <c r="B80" s="34" t="n">
        <v>75</v>
      </c>
      <c r="C80" s="35" t="n"/>
      <c r="D80" s="35" t="n"/>
      <c r="E80" s="33">
        <f>IF(AX80="","",YEAR(AX80))</f>
        <v/>
      </c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6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7">
        <f>IF(Y80="","",IF(OR(Y80="III",Y80="IV",Y80="IVA",Y80="IVB",Y80="IVC"),1,0))</f>
        <v/>
      </c>
      <c r="AA80" s="35" t="n"/>
      <c r="AB80" s="35" t="n"/>
      <c r="AC80" s="35" t="n"/>
      <c r="AD80" s="35" t="n"/>
      <c r="AE80" s="35" t="n"/>
      <c r="AF80" s="35" t="n"/>
      <c r="AG80" s="35" t="n"/>
      <c r="AH80" s="35" t="n"/>
      <c r="AI80" s="35" t="n"/>
      <c r="AJ80" s="35" t="n"/>
      <c r="AK80" s="35" t="n"/>
      <c r="AL80" s="35" t="n"/>
      <c r="AM80" s="35" t="n"/>
      <c r="AN80" s="35" t="n"/>
      <c r="AO80" s="35" t="n"/>
      <c r="AP80" s="35" t="n"/>
      <c r="AQ80" s="35" t="n"/>
      <c r="AR80" s="35" t="n"/>
      <c r="AS80" s="35" t="n"/>
      <c r="AT80" s="35" t="n"/>
      <c r="AU80" s="38" t="n"/>
      <c r="AV80" s="38" t="n"/>
      <c r="AW80" s="38" t="n"/>
      <c r="AX80" s="38" t="n"/>
      <c r="AY80" s="38" t="n"/>
      <c r="AZ80" s="38" t="n"/>
      <c r="BA80" s="38" t="n"/>
      <c r="BB80" s="38" t="n"/>
      <c r="BC80" s="38" t="n"/>
      <c r="BD80" s="38" t="n"/>
      <c r="BE80" s="35" t="n"/>
      <c r="BF80" s="35" t="n"/>
      <c r="BG80" s="38" t="n"/>
      <c r="BH80" s="38" t="n"/>
      <c r="BI80" s="38" t="n"/>
      <c r="BJ80" s="35" t="n"/>
      <c r="BK80" s="38" t="n"/>
      <c r="BL80" s="33">
        <f>IF(OR(AU80="",AV80=""),"",AV80-AU80)</f>
        <v/>
      </c>
      <c r="BM80" s="33">
        <f>IF(OR(AV80="",AW80=""),"",AW80-AV80)</f>
        <v/>
      </c>
      <c r="BN80" s="33">
        <f>IF(OR(AW80="",AX80=""),"",AX80-AW80)</f>
        <v/>
      </c>
      <c r="BO80" s="33">
        <f>IF(OR(AX80="",BA80=""),"",BA80-AX80)</f>
        <v/>
      </c>
      <c r="BP80" s="33">
        <f>IF(OR(AV80="",BA80=""),"",BA80-AV80)</f>
        <v/>
      </c>
      <c r="BQ80" s="33">
        <f>IF(OR(BB80="",BD80=""),"",BD80-BB80)</f>
        <v/>
      </c>
      <c r="BR80" s="33">
        <f>IF(OR(AX80="",BD80=""),"",BD80-AX80)</f>
        <v/>
      </c>
      <c r="BS80" s="33">
        <f>IF(OR(AW80="",BD80=""),"",BD80-AW80)</f>
        <v/>
      </c>
      <c r="BT80" s="33">
        <f>IF(OR(AV80="",BD80=""),"",BD80-AV80)</f>
        <v/>
      </c>
      <c r="BU80" s="33">
        <f>IF(OR(AU80="",BD80=""),"",BD80-AU80)</f>
        <v/>
      </c>
      <c r="BV80" s="33">
        <f>IF(OR(BB80="",BG80=""),"",BG80-BB80)</f>
        <v/>
      </c>
      <c r="BW80" s="33">
        <f>IF(OR(BG80="",BH80=""),"",BH80-BG80)</f>
        <v/>
      </c>
      <c r="BX80" s="33">
        <f>IF(OR(BG80="",BI80=""),"",BI80-BG80)</f>
        <v/>
      </c>
      <c r="BY80" s="39">
        <f>IF(OR(AX80="",BK80=""),"",ROUND((BK80-AX80)/30.44,1))</f>
        <v/>
      </c>
      <c r="BZ80" s="37">
        <f>IF(BR80="","",IF(BR80&lt;=30,1,0))</f>
        <v/>
      </c>
      <c r="CA80" s="37">
        <f>IF(BR80="","",IF(BR80&gt;40.5,1,0))</f>
        <v/>
      </c>
      <c r="CB80" s="37">
        <f>IF(BR80="","",IF(BR80&gt;60,1,0))</f>
        <v/>
      </c>
      <c r="CC80" s="37">
        <f>IF(BR80="","",IF(BR80&gt;67,1,0))</f>
        <v/>
      </c>
      <c r="CD80" s="37">
        <f>IF(BT80="","",IF(BT80&lt;=30,1,0))</f>
        <v/>
      </c>
      <c r="CE80" s="37">
        <f>IF(BQ80="","",IF(BQ80&lt;=28,1,0))</f>
        <v/>
      </c>
      <c r="CF80" s="37">
        <f>IF(OR(BV80="",BE80&lt;&gt;"ניתוח"),"",IF(BV80&lt;=30,1,0))</f>
        <v/>
      </c>
      <c r="CG80" s="37">
        <f>IF(BU80="","",IF(BU80&lt;=56,1,0))</f>
        <v/>
      </c>
      <c r="CH80" s="37">
        <f>IF(BW80="","",IF(BW80&lt;=42,1,0))</f>
        <v/>
      </c>
      <c r="CI80" s="37">
        <f>IF(BX80="","",IF(BX80&lt;=100,1,0))</f>
        <v/>
      </c>
      <c r="CJ80" s="33">
        <f>IF(A80="","",COUNTIF(Delays!$B$5:$B$404,A80))</f>
        <v/>
      </c>
      <c r="CK80" s="35" t="n"/>
    </row>
    <row r="81">
      <c r="A81" s="33">
        <f>IF(OR(B81="",C81="",D81="",AX81=""),"","RET-"&amp;RIGHT(YEAR(AX81),2)&amp;"-"&amp;TEXT(B81,"000")&amp;"-"&amp;C81&amp;"-"&amp;D81&amp;"-"&amp;TEXT(MONTH(AX81),"00"))</f>
        <v/>
      </c>
      <c r="B81" s="34" t="n">
        <v>76</v>
      </c>
      <c r="C81" s="35" t="n"/>
      <c r="D81" s="35" t="n"/>
      <c r="E81" s="33">
        <f>IF(AX81="","",YEAR(AX81))</f>
        <v/>
      </c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7">
        <f>IF(Y81="","",IF(OR(Y81="III",Y81="IV",Y81="IVA",Y81="IVB",Y81="IVC"),1,0))</f>
        <v/>
      </c>
      <c r="AA81" s="35" t="n"/>
      <c r="AB81" s="35" t="n"/>
      <c r="AC81" s="35" t="n"/>
      <c r="AD81" s="35" t="n"/>
      <c r="AE81" s="35" t="n"/>
      <c r="AF81" s="35" t="n"/>
      <c r="AG81" s="35" t="n"/>
      <c r="AH81" s="35" t="n"/>
      <c r="AI81" s="35" t="n"/>
      <c r="AJ81" s="35" t="n"/>
      <c r="AK81" s="35" t="n"/>
      <c r="AL81" s="35" t="n"/>
      <c r="AM81" s="35" t="n"/>
      <c r="AN81" s="35" t="n"/>
      <c r="AO81" s="35" t="n"/>
      <c r="AP81" s="35" t="n"/>
      <c r="AQ81" s="35" t="n"/>
      <c r="AR81" s="35" t="n"/>
      <c r="AS81" s="35" t="n"/>
      <c r="AT81" s="35" t="n"/>
      <c r="AU81" s="38" t="n"/>
      <c r="AV81" s="38" t="n"/>
      <c r="AW81" s="38" t="n"/>
      <c r="AX81" s="38" t="n"/>
      <c r="AY81" s="38" t="n"/>
      <c r="AZ81" s="38" t="n"/>
      <c r="BA81" s="38" t="n"/>
      <c r="BB81" s="38" t="n"/>
      <c r="BC81" s="38" t="n"/>
      <c r="BD81" s="38" t="n"/>
      <c r="BE81" s="35" t="n"/>
      <c r="BF81" s="35" t="n"/>
      <c r="BG81" s="38" t="n"/>
      <c r="BH81" s="38" t="n"/>
      <c r="BI81" s="38" t="n"/>
      <c r="BJ81" s="35" t="n"/>
      <c r="BK81" s="38" t="n"/>
      <c r="BL81" s="33">
        <f>IF(OR(AU81="",AV81=""),"",AV81-AU81)</f>
        <v/>
      </c>
      <c r="BM81" s="33">
        <f>IF(OR(AV81="",AW81=""),"",AW81-AV81)</f>
        <v/>
      </c>
      <c r="BN81" s="33">
        <f>IF(OR(AW81="",AX81=""),"",AX81-AW81)</f>
        <v/>
      </c>
      <c r="BO81" s="33">
        <f>IF(OR(AX81="",BA81=""),"",BA81-AX81)</f>
        <v/>
      </c>
      <c r="BP81" s="33">
        <f>IF(OR(AV81="",BA81=""),"",BA81-AV81)</f>
        <v/>
      </c>
      <c r="BQ81" s="33">
        <f>IF(OR(BB81="",BD81=""),"",BD81-BB81)</f>
        <v/>
      </c>
      <c r="BR81" s="33">
        <f>IF(OR(AX81="",BD81=""),"",BD81-AX81)</f>
        <v/>
      </c>
      <c r="BS81" s="33">
        <f>IF(OR(AW81="",BD81=""),"",BD81-AW81)</f>
        <v/>
      </c>
      <c r="BT81" s="33">
        <f>IF(OR(AV81="",BD81=""),"",BD81-AV81)</f>
        <v/>
      </c>
      <c r="BU81" s="33">
        <f>IF(OR(AU81="",BD81=""),"",BD81-AU81)</f>
        <v/>
      </c>
      <c r="BV81" s="33">
        <f>IF(OR(BB81="",BG81=""),"",BG81-BB81)</f>
        <v/>
      </c>
      <c r="BW81" s="33">
        <f>IF(OR(BG81="",BH81=""),"",BH81-BG81)</f>
        <v/>
      </c>
      <c r="BX81" s="33">
        <f>IF(OR(BG81="",BI81=""),"",BI81-BG81)</f>
        <v/>
      </c>
      <c r="BY81" s="39">
        <f>IF(OR(AX81="",BK81=""),"",ROUND((BK81-AX81)/30.44,1))</f>
        <v/>
      </c>
      <c r="BZ81" s="37">
        <f>IF(BR81="","",IF(BR81&lt;=30,1,0))</f>
        <v/>
      </c>
      <c r="CA81" s="37">
        <f>IF(BR81="","",IF(BR81&gt;40.5,1,0))</f>
        <v/>
      </c>
      <c r="CB81" s="37">
        <f>IF(BR81="","",IF(BR81&gt;60,1,0))</f>
        <v/>
      </c>
      <c r="CC81" s="37">
        <f>IF(BR81="","",IF(BR81&gt;67,1,0))</f>
        <v/>
      </c>
      <c r="CD81" s="37">
        <f>IF(BT81="","",IF(BT81&lt;=30,1,0))</f>
        <v/>
      </c>
      <c r="CE81" s="37">
        <f>IF(BQ81="","",IF(BQ81&lt;=28,1,0))</f>
        <v/>
      </c>
      <c r="CF81" s="37">
        <f>IF(OR(BV81="",BE81&lt;&gt;"ניתוח"),"",IF(BV81&lt;=30,1,0))</f>
        <v/>
      </c>
      <c r="CG81" s="37">
        <f>IF(BU81="","",IF(BU81&lt;=56,1,0))</f>
        <v/>
      </c>
      <c r="CH81" s="37">
        <f>IF(BW81="","",IF(BW81&lt;=42,1,0))</f>
        <v/>
      </c>
      <c r="CI81" s="37">
        <f>IF(BX81="","",IF(BX81&lt;=100,1,0))</f>
        <v/>
      </c>
      <c r="CJ81" s="33">
        <f>IF(A81="","",COUNTIF(Delays!$B$5:$B$404,A81))</f>
        <v/>
      </c>
      <c r="CK81" s="35" t="n"/>
    </row>
    <row r="82">
      <c r="A82" s="33">
        <f>IF(OR(B82="",C82="",D82="",AX82=""),"","RET-"&amp;RIGHT(YEAR(AX82),2)&amp;"-"&amp;TEXT(B82,"000")&amp;"-"&amp;C82&amp;"-"&amp;D82&amp;"-"&amp;TEXT(MONTH(AX82),"00"))</f>
        <v/>
      </c>
      <c r="B82" s="34" t="n">
        <v>77</v>
      </c>
      <c r="C82" s="35" t="n"/>
      <c r="D82" s="35" t="n"/>
      <c r="E82" s="33">
        <f>IF(AX82="","",YEAR(AX82))</f>
        <v/>
      </c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6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7">
        <f>IF(Y82="","",IF(OR(Y82="III",Y82="IV",Y82="IVA",Y82="IVB",Y82="IVC"),1,0))</f>
        <v/>
      </c>
      <c r="AA82" s="35" t="n"/>
      <c r="AB82" s="35" t="n"/>
      <c r="AC82" s="35" t="n"/>
      <c r="AD82" s="35" t="n"/>
      <c r="AE82" s="35" t="n"/>
      <c r="AF82" s="35" t="n"/>
      <c r="AG82" s="35" t="n"/>
      <c r="AH82" s="35" t="n"/>
      <c r="AI82" s="35" t="n"/>
      <c r="AJ82" s="35" t="n"/>
      <c r="AK82" s="35" t="n"/>
      <c r="AL82" s="35" t="n"/>
      <c r="AM82" s="35" t="n"/>
      <c r="AN82" s="35" t="n"/>
      <c r="AO82" s="35" t="n"/>
      <c r="AP82" s="35" t="n"/>
      <c r="AQ82" s="35" t="n"/>
      <c r="AR82" s="35" t="n"/>
      <c r="AS82" s="35" t="n"/>
      <c r="AT82" s="35" t="n"/>
      <c r="AU82" s="38" t="n"/>
      <c r="AV82" s="38" t="n"/>
      <c r="AW82" s="38" t="n"/>
      <c r="AX82" s="38" t="n"/>
      <c r="AY82" s="38" t="n"/>
      <c r="AZ82" s="38" t="n"/>
      <c r="BA82" s="38" t="n"/>
      <c r="BB82" s="38" t="n"/>
      <c r="BC82" s="38" t="n"/>
      <c r="BD82" s="38" t="n"/>
      <c r="BE82" s="35" t="n"/>
      <c r="BF82" s="35" t="n"/>
      <c r="BG82" s="38" t="n"/>
      <c r="BH82" s="38" t="n"/>
      <c r="BI82" s="38" t="n"/>
      <c r="BJ82" s="35" t="n"/>
      <c r="BK82" s="38" t="n"/>
      <c r="BL82" s="33">
        <f>IF(OR(AU82="",AV82=""),"",AV82-AU82)</f>
        <v/>
      </c>
      <c r="BM82" s="33">
        <f>IF(OR(AV82="",AW82=""),"",AW82-AV82)</f>
        <v/>
      </c>
      <c r="BN82" s="33">
        <f>IF(OR(AW82="",AX82=""),"",AX82-AW82)</f>
        <v/>
      </c>
      <c r="BO82" s="33">
        <f>IF(OR(AX82="",BA82=""),"",BA82-AX82)</f>
        <v/>
      </c>
      <c r="BP82" s="33">
        <f>IF(OR(AV82="",BA82=""),"",BA82-AV82)</f>
        <v/>
      </c>
      <c r="BQ82" s="33">
        <f>IF(OR(BB82="",BD82=""),"",BD82-BB82)</f>
        <v/>
      </c>
      <c r="BR82" s="33">
        <f>IF(OR(AX82="",BD82=""),"",BD82-AX82)</f>
        <v/>
      </c>
      <c r="BS82" s="33">
        <f>IF(OR(AW82="",BD82=""),"",BD82-AW82)</f>
        <v/>
      </c>
      <c r="BT82" s="33">
        <f>IF(OR(AV82="",BD82=""),"",BD82-AV82)</f>
        <v/>
      </c>
      <c r="BU82" s="33">
        <f>IF(OR(AU82="",BD82=""),"",BD82-AU82)</f>
        <v/>
      </c>
      <c r="BV82" s="33">
        <f>IF(OR(BB82="",BG82=""),"",BG82-BB82)</f>
        <v/>
      </c>
      <c r="BW82" s="33">
        <f>IF(OR(BG82="",BH82=""),"",BH82-BG82)</f>
        <v/>
      </c>
      <c r="BX82" s="33">
        <f>IF(OR(BG82="",BI82=""),"",BI82-BG82)</f>
        <v/>
      </c>
      <c r="BY82" s="39">
        <f>IF(OR(AX82="",BK82=""),"",ROUND((BK82-AX82)/30.44,1))</f>
        <v/>
      </c>
      <c r="BZ82" s="37">
        <f>IF(BR82="","",IF(BR82&lt;=30,1,0))</f>
        <v/>
      </c>
      <c r="CA82" s="37">
        <f>IF(BR82="","",IF(BR82&gt;40.5,1,0))</f>
        <v/>
      </c>
      <c r="CB82" s="37">
        <f>IF(BR82="","",IF(BR82&gt;60,1,0))</f>
        <v/>
      </c>
      <c r="CC82" s="37">
        <f>IF(BR82="","",IF(BR82&gt;67,1,0))</f>
        <v/>
      </c>
      <c r="CD82" s="37">
        <f>IF(BT82="","",IF(BT82&lt;=30,1,0))</f>
        <v/>
      </c>
      <c r="CE82" s="37">
        <f>IF(BQ82="","",IF(BQ82&lt;=28,1,0))</f>
        <v/>
      </c>
      <c r="CF82" s="37">
        <f>IF(OR(BV82="",BE82&lt;&gt;"ניתוח"),"",IF(BV82&lt;=30,1,0))</f>
        <v/>
      </c>
      <c r="CG82" s="37">
        <f>IF(BU82="","",IF(BU82&lt;=56,1,0))</f>
        <v/>
      </c>
      <c r="CH82" s="37">
        <f>IF(BW82="","",IF(BW82&lt;=42,1,0))</f>
        <v/>
      </c>
      <c r="CI82" s="37">
        <f>IF(BX82="","",IF(BX82&lt;=100,1,0))</f>
        <v/>
      </c>
      <c r="CJ82" s="33">
        <f>IF(A82="","",COUNTIF(Delays!$B$5:$B$404,A82))</f>
        <v/>
      </c>
      <c r="CK82" s="35" t="n"/>
    </row>
    <row r="83">
      <c r="A83" s="33">
        <f>IF(OR(B83="",C83="",D83="",AX83=""),"","RET-"&amp;RIGHT(YEAR(AX83),2)&amp;"-"&amp;TEXT(B83,"000")&amp;"-"&amp;C83&amp;"-"&amp;D83&amp;"-"&amp;TEXT(MONTH(AX83),"00"))</f>
        <v/>
      </c>
      <c r="B83" s="34" t="n">
        <v>78</v>
      </c>
      <c r="C83" s="35" t="n"/>
      <c r="D83" s="35" t="n"/>
      <c r="E83" s="33">
        <f>IF(AX83="","",YEAR(AX83))</f>
        <v/>
      </c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6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7">
        <f>IF(Y83="","",IF(OR(Y83="III",Y83="IV",Y83="IVA",Y83="IVB",Y83="IVC"),1,0))</f>
        <v/>
      </c>
      <c r="AA83" s="35" t="n"/>
      <c r="AB83" s="35" t="n"/>
      <c r="AC83" s="35" t="n"/>
      <c r="AD83" s="35" t="n"/>
      <c r="AE83" s="35" t="n"/>
      <c r="AF83" s="35" t="n"/>
      <c r="AG83" s="35" t="n"/>
      <c r="AH83" s="35" t="n"/>
      <c r="AI83" s="35" t="n"/>
      <c r="AJ83" s="35" t="n"/>
      <c r="AK83" s="35" t="n"/>
      <c r="AL83" s="35" t="n"/>
      <c r="AM83" s="35" t="n"/>
      <c r="AN83" s="35" t="n"/>
      <c r="AO83" s="35" t="n"/>
      <c r="AP83" s="35" t="n"/>
      <c r="AQ83" s="35" t="n"/>
      <c r="AR83" s="35" t="n"/>
      <c r="AS83" s="35" t="n"/>
      <c r="AT83" s="35" t="n"/>
      <c r="AU83" s="38" t="n"/>
      <c r="AV83" s="38" t="n"/>
      <c r="AW83" s="38" t="n"/>
      <c r="AX83" s="38" t="n"/>
      <c r="AY83" s="38" t="n"/>
      <c r="AZ83" s="38" t="n"/>
      <c r="BA83" s="38" t="n"/>
      <c r="BB83" s="38" t="n"/>
      <c r="BC83" s="38" t="n"/>
      <c r="BD83" s="38" t="n"/>
      <c r="BE83" s="35" t="n"/>
      <c r="BF83" s="35" t="n"/>
      <c r="BG83" s="38" t="n"/>
      <c r="BH83" s="38" t="n"/>
      <c r="BI83" s="38" t="n"/>
      <c r="BJ83" s="35" t="n"/>
      <c r="BK83" s="38" t="n"/>
      <c r="BL83" s="33">
        <f>IF(OR(AU83="",AV83=""),"",AV83-AU83)</f>
        <v/>
      </c>
      <c r="BM83" s="33">
        <f>IF(OR(AV83="",AW83=""),"",AW83-AV83)</f>
        <v/>
      </c>
      <c r="BN83" s="33">
        <f>IF(OR(AW83="",AX83=""),"",AX83-AW83)</f>
        <v/>
      </c>
      <c r="BO83" s="33">
        <f>IF(OR(AX83="",BA83=""),"",BA83-AX83)</f>
        <v/>
      </c>
      <c r="BP83" s="33">
        <f>IF(OR(AV83="",BA83=""),"",BA83-AV83)</f>
        <v/>
      </c>
      <c r="BQ83" s="33">
        <f>IF(OR(BB83="",BD83=""),"",BD83-BB83)</f>
        <v/>
      </c>
      <c r="BR83" s="33">
        <f>IF(OR(AX83="",BD83=""),"",BD83-AX83)</f>
        <v/>
      </c>
      <c r="BS83" s="33">
        <f>IF(OR(AW83="",BD83=""),"",BD83-AW83)</f>
        <v/>
      </c>
      <c r="BT83" s="33">
        <f>IF(OR(AV83="",BD83=""),"",BD83-AV83)</f>
        <v/>
      </c>
      <c r="BU83" s="33">
        <f>IF(OR(AU83="",BD83=""),"",BD83-AU83)</f>
        <v/>
      </c>
      <c r="BV83" s="33">
        <f>IF(OR(BB83="",BG83=""),"",BG83-BB83)</f>
        <v/>
      </c>
      <c r="BW83" s="33">
        <f>IF(OR(BG83="",BH83=""),"",BH83-BG83)</f>
        <v/>
      </c>
      <c r="BX83" s="33">
        <f>IF(OR(BG83="",BI83=""),"",BI83-BG83)</f>
        <v/>
      </c>
      <c r="BY83" s="39">
        <f>IF(OR(AX83="",BK83=""),"",ROUND((BK83-AX83)/30.44,1))</f>
        <v/>
      </c>
      <c r="BZ83" s="37">
        <f>IF(BR83="","",IF(BR83&lt;=30,1,0))</f>
        <v/>
      </c>
      <c r="CA83" s="37">
        <f>IF(BR83="","",IF(BR83&gt;40.5,1,0))</f>
        <v/>
      </c>
      <c r="CB83" s="37">
        <f>IF(BR83="","",IF(BR83&gt;60,1,0))</f>
        <v/>
      </c>
      <c r="CC83" s="37">
        <f>IF(BR83="","",IF(BR83&gt;67,1,0))</f>
        <v/>
      </c>
      <c r="CD83" s="37">
        <f>IF(BT83="","",IF(BT83&lt;=30,1,0))</f>
        <v/>
      </c>
      <c r="CE83" s="37">
        <f>IF(BQ83="","",IF(BQ83&lt;=28,1,0))</f>
        <v/>
      </c>
      <c r="CF83" s="37">
        <f>IF(OR(BV83="",BE83&lt;&gt;"ניתוח"),"",IF(BV83&lt;=30,1,0))</f>
        <v/>
      </c>
      <c r="CG83" s="37">
        <f>IF(BU83="","",IF(BU83&lt;=56,1,0))</f>
        <v/>
      </c>
      <c r="CH83" s="37">
        <f>IF(BW83="","",IF(BW83&lt;=42,1,0))</f>
        <v/>
      </c>
      <c r="CI83" s="37">
        <f>IF(BX83="","",IF(BX83&lt;=100,1,0))</f>
        <v/>
      </c>
      <c r="CJ83" s="33">
        <f>IF(A83="","",COUNTIF(Delays!$B$5:$B$404,A83))</f>
        <v/>
      </c>
      <c r="CK83" s="35" t="n"/>
    </row>
    <row r="84">
      <c r="A84" s="33">
        <f>IF(OR(B84="",C84="",D84="",AX84=""),"","RET-"&amp;RIGHT(YEAR(AX84),2)&amp;"-"&amp;TEXT(B84,"000")&amp;"-"&amp;C84&amp;"-"&amp;D84&amp;"-"&amp;TEXT(MONTH(AX84),"00"))</f>
        <v/>
      </c>
      <c r="B84" s="34" t="n">
        <v>79</v>
      </c>
      <c r="C84" s="35" t="n"/>
      <c r="D84" s="35" t="n"/>
      <c r="E84" s="33">
        <f>IF(AX84="","",YEAR(AX84))</f>
        <v/>
      </c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6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7">
        <f>IF(Y84="","",IF(OR(Y84="III",Y84="IV",Y84="IVA",Y84="IVB",Y84="IVC"),1,0))</f>
        <v/>
      </c>
      <c r="AA84" s="35" t="n"/>
      <c r="AB84" s="35" t="n"/>
      <c r="AC84" s="35" t="n"/>
      <c r="AD84" s="35" t="n"/>
      <c r="AE84" s="35" t="n"/>
      <c r="AF84" s="35" t="n"/>
      <c r="AG84" s="35" t="n"/>
      <c r="AH84" s="35" t="n"/>
      <c r="AI84" s="35" t="n"/>
      <c r="AJ84" s="35" t="n"/>
      <c r="AK84" s="35" t="n"/>
      <c r="AL84" s="35" t="n"/>
      <c r="AM84" s="35" t="n"/>
      <c r="AN84" s="35" t="n"/>
      <c r="AO84" s="35" t="n"/>
      <c r="AP84" s="35" t="n"/>
      <c r="AQ84" s="35" t="n"/>
      <c r="AR84" s="35" t="n"/>
      <c r="AS84" s="35" t="n"/>
      <c r="AT84" s="35" t="n"/>
      <c r="AU84" s="38" t="n"/>
      <c r="AV84" s="38" t="n"/>
      <c r="AW84" s="38" t="n"/>
      <c r="AX84" s="38" t="n"/>
      <c r="AY84" s="38" t="n"/>
      <c r="AZ84" s="38" t="n"/>
      <c r="BA84" s="38" t="n"/>
      <c r="BB84" s="38" t="n"/>
      <c r="BC84" s="38" t="n"/>
      <c r="BD84" s="38" t="n"/>
      <c r="BE84" s="35" t="n"/>
      <c r="BF84" s="35" t="n"/>
      <c r="BG84" s="38" t="n"/>
      <c r="BH84" s="38" t="n"/>
      <c r="BI84" s="38" t="n"/>
      <c r="BJ84" s="35" t="n"/>
      <c r="BK84" s="38" t="n"/>
      <c r="BL84" s="33">
        <f>IF(OR(AU84="",AV84=""),"",AV84-AU84)</f>
        <v/>
      </c>
      <c r="BM84" s="33">
        <f>IF(OR(AV84="",AW84=""),"",AW84-AV84)</f>
        <v/>
      </c>
      <c r="BN84" s="33">
        <f>IF(OR(AW84="",AX84=""),"",AX84-AW84)</f>
        <v/>
      </c>
      <c r="BO84" s="33">
        <f>IF(OR(AX84="",BA84=""),"",BA84-AX84)</f>
        <v/>
      </c>
      <c r="BP84" s="33">
        <f>IF(OR(AV84="",BA84=""),"",BA84-AV84)</f>
        <v/>
      </c>
      <c r="BQ84" s="33">
        <f>IF(OR(BB84="",BD84=""),"",BD84-BB84)</f>
        <v/>
      </c>
      <c r="BR84" s="33">
        <f>IF(OR(AX84="",BD84=""),"",BD84-AX84)</f>
        <v/>
      </c>
      <c r="BS84" s="33">
        <f>IF(OR(AW84="",BD84=""),"",BD84-AW84)</f>
        <v/>
      </c>
      <c r="BT84" s="33">
        <f>IF(OR(AV84="",BD84=""),"",BD84-AV84)</f>
        <v/>
      </c>
      <c r="BU84" s="33">
        <f>IF(OR(AU84="",BD84=""),"",BD84-AU84)</f>
        <v/>
      </c>
      <c r="BV84" s="33">
        <f>IF(OR(BB84="",BG84=""),"",BG84-BB84)</f>
        <v/>
      </c>
      <c r="BW84" s="33">
        <f>IF(OR(BG84="",BH84=""),"",BH84-BG84)</f>
        <v/>
      </c>
      <c r="BX84" s="33">
        <f>IF(OR(BG84="",BI84=""),"",BI84-BG84)</f>
        <v/>
      </c>
      <c r="BY84" s="39">
        <f>IF(OR(AX84="",BK84=""),"",ROUND((BK84-AX84)/30.44,1))</f>
        <v/>
      </c>
      <c r="BZ84" s="37">
        <f>IF(BR84="","",IF(BR84&lt;=30,1,0))</f>
        <v/>
      </c>
      <c r="CA84" s="37">
        <f>IF(BR84="","",IF(BR84&gt;40.5,1,0))</f>
        <v/>
      </c>
      <c r="CB84" s="37">
        <f>IF(BR84="","",IF(BR84&gt;60,1,0))</f>
        <v/>
      </c>
      <c r="CC84" s="37">
        <f>IF(BR84="","",IF(BR84&gt;67,1,0))</f>
        <v/>
      </c>
      <c r="CD84" s="37">
        <f>IF(BT84="","",IF(BT84&lt;=30,1,0))</f>
        <v/>
      </c>
      <c r="CE84" s="37">
        <f>IF(BQ84="","",IF(BQ84&lt;=28,1,0))</f>
        <v/>
      </c>
      <c r="CF84" s="37">
        <f>IF(OR(BV84="",BE84&lt;&gt;"ניתוח"),"",IF(BV84&lt;=30,1,0))</f>
        <v/>
      </c>
      <c r="CG84" s="37">
        <f>IF(BU84="","",IF(BU84&lt;=56,1,0))</f>
        <v/>
      </c>
      <c r="CH84" s="37">
        <f>IF(BW84="","",IF(BW84&lt;=42,1,0))</f>
        <v/>
      </c>
      <c r="CI84" s="37">
        <f>IF(BX84="","",IF(BX84&lt;=100,1,0))</f>
        <v/>
      </c>
      <c r="CJ84" s="33">
        <f>IF(A84="","",COUNTIF(Delays!$B$5:$B$404,A84))</f>
        <v/>
      </c>
      <c r="CK84" s="35" t="n"/>
    </row>
    <row r="85">
      <c r="A85" s="33">
        <f>IF(OR(B85="",C85="",D85="",AX85=""),"","RET-"&amp;RIGHT(YEAR(AX85),2)&amp;"-"&amp;TEXT(B85,"000")&amp;"-"&amp;C85&amp;"-"&amp;D85&amp;"-"&amp;TEXT(MONTH(AX85),"00"))</f>
        <v/>
      </c>
      <c r="B85" s="34" t="n">
        <v>80</v>
      </c>
      <c r="C85" s="35" t="n"/>
      <c r="D85" s="35" t="n"/>
      <c r="E85" s="33">
        <f>IF(AX85="","",YEAR(AX85))</f>
        <v/>
      </c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6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7">
        <f>IF(Y85="","",IF(OR(Y85="III",Y85="IV",Y85="IVA",Y85="IVB",Y85="IVC"),1,0))</f>
        <v/>
      </c>
      <c r="AA85" s="35" t="n"/>
      <c r="AB85" s="35" t="n"/>
      <c r="AC85" s="35" t="n"/>
      <c r="AD85" s="35" t="n"/>
      <c r="AE85" s="35" t="n"/>
      <c r="AF85" s="35" t="n"/>
      <c r="AG85" s="35" t="n"/>
      <c r="AH85" s="35" t="n"/>
      <c r="AI85" s="35" t="n"/>
      <c r="AJ85" s="35" t="n"/>
      <c r="AK85" s="35" t="n"/>
      <c r="AL85" s="35" t="n"/>
      <c r="AM85" s="35" t="n"/>
      <c r="AN85" s="35" t="n"/>
      <c r="AO85" s="35" t="n"/>
      <c r="AP85" s="35" t="n"/>
      <c r="AQ85" s="35" t="n"/>
      <c r="AR85" s="35" t="n"/>
      <c r="AS85" s="35" t="n"/>
      <c r="AT85" s="35" t="n"/>
      <c r="AU85" s="38" t="n"/>
      <c r="AV85" s="38" t="n"/>
      <c r="AW85" s="38" t="n"/>
      <c r="AX85" s="38" t="n"/>
      <c r="AY85" s="38" t="n"/>
      <c r="AZ85" s="38" t="n"/>
      <c r="BA85" s="38" t="n"/>
      <c r="BB85" s="38" t="n"/>
      <c r="BC85" s="38" t="n"/>
      <c r="BD85" s="38" t="n"/>
      <c r="BE85" s="35" t="n"/>
      <c r="BF85" s="35" t="n"/>
      <c r="BG85" s="38" t="n"/>
      <c r="BH85" s="38" t="n"/>
      <c r="BI85" s="38" t="n"/>
      <c r="BJ85" s="35" t="n"/>
      <c r="BK85" s="38" t="n"/>
      <c r="BL85" s="33">
        <f>IF(OR(AU85="",AV85=""),"",AV85-AU85)</f>
        <v/>
      </c>
      <c r="BM85" s="33">
        <f>IF(OR(AV85="",AW85=""),"",AW85-AV85)</f>
        <v/>
      </c>
      <c r="BN85" s="33">
        <f>IF(OR(AW85="",AX85=""),"",AX85-AW85)</f>
        <v/>
      </c>
      <c r="BO85" s="33">
        <f>IF(OR(AX85="",BA85=""),"",BA85-AX85)</f>
        <v/>
      </c>
      <c r="BP85" s="33">
        <f>IF(OR(AV85="",BA85=""),"",BA85-AV85)</f>
        <v/>
      </c>
      <c r="BQ85" s="33">
        <f>IF(OR(BB85="",BD85=""),"",BD85-BB85)</f>
        <v/>
      </c>
      <c r="BR85" s="33">
        <f>IF(OR(AX85="",BD85=""),"",BD85-AX85)</f>
        <v/>
      </c>
      <c r="BS85" s="33">
        <f>IF(OR(AW85="",BD85=""),"",BD85-AW85)</f>
        <v/>
      </c>
      <c r="BT85" s="33">
        <f>IF(OR(AV85="",BD85=""),"",BD85-AV85)</f>
        <v/>
      </c>
      <c r="BU85" s="33">
        <f>IF(OR(AU85="",BD85=""),"",BD85-AU85)</f>
        <v/>
      </c>
      <c r="BV85" s="33">
        <f>IF(OR(BB85="",BG85=""),"",BG85-BB85)</f>
        <v/>
      </c>
      <c r="BW85" s="33">
        <f>IF(OR(BG85="",BH85=""),"",BH85-BG85)</f>
        <v/>
      </c>
      <c r="BX85" s="33">
        <f>IF(OR(BG85="",BI85=""),"",BI85-BG85)</f>
        <v/>
      </c>
      <c r="BY85" s="39">
        <f>IF(OR(AX85="",BK85=""),"",ROUND((BK85-AX85)/30.44,1))</f>
        <v/>
      </c>
      <c r="BZ85" s="37">
        <f>IF(BR85="","",IF(BR85&lt;=30,1,0))</f>
        <v/>
      </c>
      <c r="CA85" s="37">
        <f>IF(BR85="","",IF(BR85&gt;40.5,1,0))</f>
        <v/>
      </c>
      <c r="CB85" s="37">
        <f>IF(BR85="","",IF(BR85&gt;60,1,0))</f>
        <v/>
      </c>
      <c r="CC85" s="37">
        <f>IF(BR85="","",IF(BR85&gt;67,1,0))</f>
        <v/>
      </c>
      <c r="CD85" s="37">
        <f>IF(BT85="","",IF(BT85&lt;=30,1,0))</f>
        <v/>
      </c>
      <c r="CE85" s="37">
        <f>IF(BQ85="","",IF(BQ85&lt;=28,1,0))</f>
        <v/>
      </c>
      <c r="CF85" s="37">
        <f>IF(OR(BV85="",BE85&lt;&gt;"ניתוח"),"",IF(BV85&lt;=30,1,0))</f>
        <v/>
      </c>
      <c r="CG85" s="37">
        <f>IF(BU85="","",IF(BU85&lt;=56,1,0))</f>
        <v/>
      </c>
      <c r="CH85" s="37">
        <f>IF(BW85="","",IF(BW85&lt;=42,1,0))</f>
        <v/>
      </c>
      <c r="CI85" s="37">
        <f>IF(BX85="","",IF(BX85&lt;=100,1,0))</f>
        <v/>
      </c>
      <c r="CJ85" s="33">
        <f>IF(A85="","",COUNTIF(Delays!$B$5:$B$404,A85))</f>
        <v/>
      </c>
      <c r="CK85" s="35" t="n"/>
    </row>
    <row r="86">
      <c r="A86" s="33">
        <f>IF(OR(B86="",C86="",D86="",AX86=""),"","RET-"&amp;RIGHT(YEAR(AX86),2)&amp;"-"&amp;TEXT(B86,"000")&amp;"-"&amp;C86&amp;"-"&amp;D86&amp;"-"&amp;TEXT(MONTH(AX86),"00"))</f>
        <v/>
      </c>
      <c r="B86" s="34" t="n">
        <v>81</v>
      </c>
      <c r="C86" s="35" t="n"/>
      <c r="D86" s="35" t="n"/>
      <c r="E86" s="33">
        <f>IF(AX86="","",YEAR(AX86))</f>
        <v/>
      </c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6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7">
        <f>IF(Y86="","",IF(OR(Y86="III",Y86="IV",Y86="IVA",Y86="IVB",Y86="IVC"),1,0))</f>
        <v/>
      </c>
      <c r="AA86" s="35" t="n"/>
      <c r="AB86" s="35" t="n"/>
      <c r="AC86" s="35" t="n"/>
      <c r="AD86" s="35" t="n"/>
      <c r="AE86" s="35" t="n"/>
      <c r="AF86" s="35" t="n"/>
      <c r="AG86" s="35" t="n"/>
      <c r="AH86" s="35" t="n"/>
      <c r="AI86" s="35" t="n"/>
      <c r="AJ86" s="35" t="n"/>
      <c r="AK86" s="35" t="n"/>
      <c r="AL86" s="35" t="n"/>
      <c r="AM86" s="35" t="n"/>
      <c r="AN86" s="35" t="n"/>
      <c r="AO86" s="35" t="n"/>
      <c r="AP86" s="35" t="n"/>
      <c r="AQ86" s="35" t="n"/>
      <c r="AR86" s="35" t="n"/>
      <c r="AS86" s="35" t="n"/>
      <c r="AT86" s="35" t="n"/>
      <c r="AU86" s="38" t="n"/>
      <c r="AV86" s="38" t="n"/>
      <c r="AW86" s="38" t="n"/>
      <c r="AX86" s="38" t="n"/>
      <c r="AY86" s="38" t="n"/>
      <c r="AZ86" s="38" t="n"/>
      <c r="BA86" s="38" t="n"/>
      <c r="BB86" s="38" t="n"/>
      <c r="BC86" s="38" t="n"/>
      <c r="BD86" s="38" t="n"/>
      <c r="BE86" s="35" t="n"/>
      <c r="BF86" s="35" t="n"/>
      <c r="BG86" s="38" t="n"/>
      <c r="BH86" s="38" t="n"/>
      <c r="BI86" s="38" t="n"/>
      <c r="BJ86" s="35" t="n"/>
      <c r="BK86" s="38" t="n"/>
      <c r="BL86" s="33">
        <f>IF(OR(AU86="",AV86=""),"",AV86-AU86)</f>
        <v/>
      </c>
      <c r="BM86" s="33">
        <f>IF(OR(AV86="",AW86=""),"",AW86-AV86)</f>
        <v/>
      </c>
      <c r="BN86" s="33">
        <f>IF(OR(AW86="",AX86=""),"",AX86-AW86)</f>
        <v/>
      </c>
      <c r="BO86" s="33">
        <f>IF(OR(AX86="",BA86=""),"",BA86-AX86)</f>
        <v/>
      </c>
      <c r="BP86" s="33">
        <f>IF(OR(AV86="",BA86=""),"",BA86-AV86)</f>
        <v/>
      </c>
      <c r="BQ86" s="33">
        <f>IF(OR(BB86="",BD86=""),"",BD86-BB86)</f>
        <v/>
      </c>
      <c r="BR86" s="33">
        <f>IF(OR(AX86="",BD86=""),"",BD86-AX86)</f>
        <v/>
      </c>
      <c r="BS86" s="33">
        <f>IF(OR(AW86="",BD86=""),"",BD86-AW86)</f>
        <v/>
      </c>
      <c r="BT86" s="33">
        <f>IF(OR(AV86="",BD86=""),"",BD86-AV86)</f>
        <v/>
      </c>
      <c r="BU86" s="33">
        <f>IF(OR(AU86="",BD86=""),"",BD86-AU86)</f>
        <v/>
      </c>
      <c r="BV86" s="33">
        <f>IF(OR(BB86="",BG86=""),"",BG86-BB86)</f>
        <v/>
      </c>
      <c r="BW86" s="33">
        <f>IF(OR(BG86="",BH86=""),"",BH86-BG86)</f>
        <v/>
      </c>
      <c r="BX86" s="33">
        <f>IF(OR(BG86="",BI86=""),"",BI86-BG86)</f>
        <v/>
      </c>
      <c r="BY86" s="39">
        <f>IF(OR(AX86="",BK86=""),"",ROUND((BK86-AX86)/30.44,1))</f>
        <v/>
      </c>
      <c r="BZ86" s="37">
        <f>IF(BR86="","",IF(BR86&lt;=30,1,0))</f>
        <v/>
      </c>
      <c r="CA86" s="37">
        <f>IF(BR86="","",IF(BR86&gt;40.5,1,0))</f>
        <v/>
      </c>
      <c r="CB86" s="37">
        <f>IF(BR86="","",IF(BR86&gt;60,1,0))</f>
        <v/>
      </c>
      <c r="CC86" s="37">
        <f>IF(BR86="","",IF(BR86&gt;67,1,0))</f>
        <v/>
      </c>
      <c r="CD86" s="37">
        <f>IF(BT86="","",IF(BT86&lt;=30,1,0))</f>
        <v/>
      </c>
      <c r="CE86" s="37">
        <f>IF(BQ86="","",IF(BQ86&lt;=28,1,0))</f>
        <v/>
      </c>
      <c r="CF86" s="37">
        <f>IF(OR(BV86="",BE86&lt;&gt;"ניתוח"),"",IF(BV86&lt;=30,1,0))</f>
        <v/>
      </c>
      <c r="CG86" s="37">
        <f>IF(BU86="","",IF(BU86&lt;=56,1,0))</f>
        <v/>
      </c>
      <c r="CH86" s="37">
        <f>IF(BW86="","",IF(BW86&lt;=42,1,0))</f>
        <v/>
      </c>
      <c r="CI86" s="37">
        <f>IF(BX86="","",IF(BX86&lt;=100,1,0))</f>
        <v/>
      </c>
      <c r="CJ86" s="33">
        <f>IF(A86="","",COUNTIF(Delays!$B$5:$B$404,A86))</f>
        <v/>
      </c>
      <c r="CK86" s="35" t="n"/>
    </row>
    <row r="87">
      <c r="A87" s="33">
        <f>IF(OR(B87="",C87="",D87="",AX87=""),"","RET-"&amp;RIGHT(YEAR(AX87),2)&amp;"-"&amp;TEXT(B87,"000")&amp;"-"&amp;C87&amp;"-"&amp;D87&amp;"-"&amp;TEXT(MONTH(AX87),"00"))</f>
        <v/>
      </c>
      <c r="B87" s="34" t="n">
        <v>82</v>
      </c>
      <c r="C87" s="35" t="n"/>
      <c r="D87" s="35" t="n"/>
      <c r="E87" s="33">
        <f>IF(AX87="","",YEAR(AX87))</f>
        <v/>
      </c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6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7">
        <f>IF(Y87="","",IF(OR(Y87="III",Y87="IV",Y87="IVA",Y87="IVB",Y87="IVC"),1,0))</f>
        <v/>
      </c>
      <c r="AA87" s="35" t="n"/>
      <c r="AB87" s="35" t="n"/>
      <c r="AC87" s="35" t="n"/>
      <c r="AD87" s="35" t="n"/>
      <c r="AE87" s="35" t="n"/>
      <c r="AF87" s="35" t="n"/>
      <c r="AG87" s="35" t="n"/>
      <c r="AH87" s="35" t="n"/>
      <c r="AI87" s="35" t="n"/>
      <c r="AJ87" s="35" t="n"/>
      <c r="AK87" s="35" t="n"/>
      <c r="AL87" s="35" t="n"/>
      <c r="AM87" s="35" t="n"/>
      <c r="AN87" s="35" t="n"/>
      <c r="AO87" s="35" t="n"/>
      <c r="AP87" s="35" t="n"/>
      <c r="AQ87" s="35" t="n"/>
      <c r="AR87" s="35" t="n"/>
      <c r="AS87" s="35" t="n"/>
      <c r="AT87" s="35" t="n"/>
      <c r="AU87" s="38" t="n"/>
      <c r="AV87" s="38" t="n"/>
      <c r="AW87" s="38" t="n"/>
      <c r="AX87" s="38" t="n"/>
      <c r="AY87" s="38" t="n"/>
      <c r="AZ87" s="38" t="n"/>
      <c r="BA87" s="38" t="n"/>
      <c r="BB87" s="38" t="n"/>
      <c r="BC87" s="38" t="n"/>
      <c r="BD87" s="38" t="n"/>
      <c r="BE87" s="35" t="n"/>
      <c r="BF87" s="35" t="n"/>
      <c r="BG87" s="38" t="n"/>
      <c r="BH87" s="38" t="n"/>
      <c r="BI87" s="38" t="n"/>
      <c r="BJ87" s="35" t="n"/>
      <c r="BK87" s="38" t="n"/>
      <c r="BL87" s="33">
        <f>IF(OR(AU87="",AV87=""),"",AV87-AU87)</f>
        <v/>
      </c>
      <c r="BM87" s="33">
        <f>IF(OR(AV87="",AW87=""),"",AW87-AV87)</f>
        <v/>
      </c>
      <c r="BN87" s="33">
        <f>IF(OR(AW87="",AX87=""),"",AX87-AW87)</f>
        <v/>
      </c>
      <c r="BO87" s="33">
        <f>IF(OR(AX87="",BA87=""),"",BA87-AX87)</f>
        <v/>
      </c>
      <c r="BP87" s="33">
        <f>IF(OR(AV87="",BA87=""),"",BA87-AV87)</f>
        <v/>
      </c>
      <c r="BQ87" s="33">
        <f>IF(OR(BB87="",BD87=""),"",BD87-BB87)</f>
        <v/>
      </c>
      <c r="BR87" s="33">
        <f>IF(OR(AX87="",BD87=""),"",BD87-AX87)</f>
        <v/>
      </c>
      <c r="BS87" s="33">
        <f>IF(OR(AW87="",BD87=""),"",BD87-AW87)</f>
        <v/>
      </c>
      <c r="BT87" s="33">
        <f>IF(OR(AV87="",BD87=""),"",BD87-AV87)</f>
        <v/>
      </c>
      <c r="BU87" s="33">
        <f>IF(OR(AU87="",BD87=""),"",BD87-AU87)</f>
        <v/>
      </c>
      <c r="BV87" s="33">
        <f>IF(OR(BB87="",BG87=""),"",BG87-BB87)</f>
        <v/>
      </c>
      <c r="BW87" s="33">
        <f>IF(OR(BG87="",BH87=""),"",BH87-BG87)</f>
        <v/>
      </c>
      <c r="BX87" s="33">
        <f>IF(OR(BG87="",BI87=""),"",BI87-BG87)</f>
        <v/>
      </c>
      <c r="BY87" s="39">
        <f>IF(OR(AX87="",BK87=""),"",ROUND((BK87-AX87)/30.44,1))</f>
        <v/>
      </c>
      <c r="BZ87" s="37">
        <f>IF(BR87="","",IF(BR87&lt;=30,1,0))</f>
        <v/>
      </c>
      <c r="CA87" s="37">
        <f>IF(BR87="","",IF(BR87&gt;40.5,1,0))</f>
        <v/>
      </c>
      <c r="CB87" s="37">
        <f>IF(BR87="","",IF(BR87&gt;60,1,0))</f>
        <v/>
      </c>
      <c r="CC87" s="37">
        <f>IF(BR87="","",IF(BR87&gt;67,1,0))</f>
        <v/>
      </c>
      <c r="CD87" s="37">
        <f>IF(BT87="","",IF(BT87&lt;=30,1,0))</f>
        <v/>
      </c>
      <c r="CE87" s="37">
        <f>IF(BQ87="","",IF(BQ87&lt;=28,1,0))</f>
        <v/>
      </c>
      <c r="CF87" s="37">
        <f>IF(OR(BV87="",BE87&lt;&gt;"ניתוח"),"",IF(BV87&lt;=30,1,0))</f>
        <v/>
      </c>
      <c r="CG87" s="37">
        <f>IF(BU87="","",IF(BU87&lt;=56,1,0))</f>
        <v/>
      </c>
      <c r="CH87" s="37">
        <f>IF(BW87="","",IF(BW87&lt;=42,1,0))</f>
        <v/>
      </c>
      <c r="CI87" s="37">
        <f>IF(BX87="","",IF(BX87&lt;=100,1,0))</f>
        <v/>
      </c>
      <c r="CJ87" s="33">
        <f>IF(A87="","",COUNTIF(Delays!$B$5:$B$404,A87))</f>
        <v/>
      </c>
      <c r="CK87" s="35" t="n"/>
    </row>
    <row r="88">
      <c r="A88" s="33">
        <f>IF(OR(B88="",C88="",D88="",AX88=""),"","RET-"&amp;RIGHT(YEAR(AX88),2)&amp;"-"&amp;TEXT(B88,"000")&amp;"-"&amp;C88&amp;"-"&amp;D88&amp;"-"&amp;TEXT(MONTH(AX88),"00"))</f>
        <v/>
      </c>
      <c r="B88" s="34" t="n">
        <v>83</v>
      </c>
      <c r="C88" s="35" t="n"/>
      <c r="D88" s="35" t="n"/>
      <c r="E88" s="33">
        <f>IF(AX88="","",YEAR(AX88))</f>
        <v/>
      </c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6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7">
        <f>IF(Y88="","",IF(OR(Y88="III",Y88="IV",Y88="IVA",Y88="IVB",Y88="IVC"),1,0))</f>
        <v/>
      </c>
      <c r="AA88" s="35" t="n"/>
      <c r="AB88" s="35" t="n"/>
      <c r="AC88" s="35" t="n"/>
      <c r="AD88" s="35" t="n"/>
      <c r="AE88" s="35" t="n"/>
      <c r="AF88" s="35" t="n"/>
      <c r="AG88" s="35" t="n"/>
      <c r="AH88" s="35" t="n"/>
      <c r="AI88" s="35" t="n"/>
      <c r="AJ88" s="35" t="n"/>
      <c r="AK88" s="35" t="n"/>
      <c r="AL88" s="35" t="n"/>
      <c r="AM88" s="35" t="n"/>
      <c r="AN88" s="35" t="n"/>
      <c r="AO88" s="35" t="n"/>
      <c r="AP88" s="35" t="n"/>
      <c r="AQ88" s="35" t="n"/>
      <c r="AR88" s="35" t="n"/>
      <c r="AS88" s="35" t="n"/>
      <c r="AT88" s="35" t="n"/>
      <c r="AU88" s="38" t="n"/>
      <c r="AV88" s="38" t="n"/>
      <c r="AW88" s="38" t="n"/>
      <c r="AX88" s="38" t="n"/>
      <c r="AY88" s="38" t="n"/>
      <c r="AZ88" s="38" t="n"/>
      <c r="BA88" s="38" t="n"/>
      <c r="BB88" s="38" t="n"/>
      <c r="BC88" s="38" t="n"/>
      <c r="BD88" s="38" t="n"/>
      <c r="BE88" s="35" t="n"/>
      <c r="BF88" s="35" t="n"/>
      <c r="BG88" s="38" t="n"/>
      <c r="BH88" s="38" t="n"/>
      <c r="BI88" s="38" t="n"/>
      <c r="BJ88" s="35" t="n"/>
      <c r="BK88" s="38" t="n"/>
      <c r="BL88" s="33">
        <f>IF(OR(AU88="",AV88=""),"",AV88-AU88)</f>
        <v/>
      </c>
      <c r="BM88" s="33">
        <f>IF(OR(AV88="",AW88=""),"",AW88-AV88)</f>
        <v/>
      </c>
      <c r="BN88" s="33">
        <f>IF(OR(AW88="",AX88=""),"",AX88-AW88)</f>
        <v/>
      </c>
      <c r="BO88" s="33">
        <f>IF(OR(AX88="",BA88=""),"",BA88-AX88)</f>
        <v/>
      </c>
      <c r="BP88" s="33">
        <f>IF(OR(AV88="",BA88=""),"",BA88-AV88)</f>
        <v/>
      </c>
      <c r="BQ88" s="33">
        <f>IF(OR(BB88="",BD88=""),"",BD88-BB88)</f>
        <v/>
      </c>
      <c r="BR88" s="33">
        <f>IF(OR(AX88="",BD88=""),"",BD88-AX88)</f>
        <v/>
      </c>
      <c r="BS88" s="33">
        <f>IF(OR(AW88="",BD88=""),"",BD88-AW88)</f>
        <v/>
      </c>
      <c r="BT88" s="33">
        <f>IF(OR(AV88="",BD88=""),"",BD88-AV88)</f>
        <v/>
      </c>
      <c r="BU88" s="33">
        <f>IF(OR(AU88="",BD88=""),"",BD88-AU88)</f>
        <v/>
      </c>
      <c r="BV88" s="33">
        <f>IF(OR(BB88="",BG88=""),"",BG88-BB88)</f>
        <v/>
      </c>
      <c r="BW88" s="33">
        <f>IF(OR(BG88="",BH88=""),"",BH88-BG88)</f>
        <v/>
      </c>
      <c r="BX88" s="33">
        <f>IF(OR(BG88="",BI88=""),"",BI88-BG88)</f>
        <v/>
      </c>
      <c r="BY88" s="39">
        <f>IF(OR(AX88="",BK88=""),"",ROUND((BK88-AX88)/30.44,1))</f>
        <v/>
      </c>
      <c r="BZ88" s="37">
        <f>IF(BR88="","",IF(BR88&lt;=30,1,0))</f>
        <v/>
      </c>
      <c r="CA88" s="37">
        <f>IF(BR88="","",IF(BR88&gt;40.5,1,0))</f>
        <v/>
      </c>
      <c r="CB88" s="37">
        <f>IF(BR88="","",IF(BR88&gt;60,1,0))</f>
        <v/>
      </c>
      <c r="CC88" s="37">
        <f>IF(BR88="","",IF(BR88&gt;67,1,0))</f>
        <v/>
      </c>
      <c r="CD88" s="37">
        <f>IF(BT88="","",IF(BT88&lt;=30,1,0))</f>
        <v/>
      </c>
      <c r="CE88" s="37">
        <f>IF(BQ88="","",IF(BQ88&lt;=28,1,0))</f>
        <v/>
      </c>
      <c r="CF88" s="37">
        <f>IF(OR(BV88="",BE88&lt;&gt;"ניתוח"),"",IF(BV88&lt;=30,1,0))</f>
        <v/>
      </c>
      <c r="CG88" s="37">
        <f>IF(BU88="","",IF(BU88&lt;=56,1,0))</f>
        <v/>
      </c>
      <c r="CH88" s="37">
        <f>IF(BW88="","",IF(BW88&lt;=42,1,0))</f>
        <v/>
      </c>
      <c r="CI88" s="37">
        <f>IF(BX88="","",IF(BX88&lt;=100,1,0))</f>
        <v/>
      </c>
      <c r="CJ88" s="33">
        <f>IF(A88="","",COUNTIF(Delays!$B$5:$B$404,A88))</f>
        <v/>
      </c>
      <c r="CK88" s="35" t="n"/>
    </row>
    <row r="89">
      <c r="A89" s="33">
        <f>IF(OR(B89="",C89="",D89="",AX89=""),"","RET-"&amp;RIGHT(YEAR(AX89),2)&amp;"-"&amp;TEXT(B89,"000")&amp;"-"&amp;C89&amp;"-"&amp;D89&amp;"-"&amp;TEXT(MONTH(AX89),"00"))</f>
        <v/>
      </c>
      <c r="B89" s="34" t="n">
        <v>84</v>
      </c>
      <c r="C89" s="35" t="n"/>
      <c r="D89" s="35" t="n"/>
      <c r="E89" s="33">
        <f>IF(AX89="","",YEAR(AX89))</f>
        <v/>
      </c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6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7">
        <f>IF(Y89="","",IF(OR(Y89="III",Y89="IV",Y89="IVA",Y89="IVB",Y89="IVC"),1,0))</f>
        <v/>
      </c>
      <c r="AA89" s="35" t="n"/>
      <c r="AB89" s="35" t="n"/>
      <c r="AC89" s="35" t="n"/>
      <c r="AD89" s="35" t="n"/>
      <c r="AE89" s="35" t="n"/>
      <c r="AF89" s="35" t="n"/>
      <c r="AG89" s="35" t="n"/>
      <c r="AH89" s="35" t="n"/>
      <c r="AI89" s="35" t="n"/>
      <c r="AJ89" s="35" t="n"/>
      <c r="AK89" s="35" t="n"/>
      <c r="AL89" s="35" t="n"/>
      <c r="AM89" s="35" t="n"/>
      <c r="AN89" s="35" t="n"/>
      <c r="AO89" s="35" t="n"/>
      <c r="AP89" s="35" t="n"/>
      <c r="AQ89" s="35" t="n"/>
      <c r="AR89" s="35" t="n"/>
      <c r="AS89" s="35" t="n"/>
      <c r="AT89" s="35" t="n"/>
      <c r="AU89" s="38" t="n"/>
      <c r="AV89" s="38" t="n"/>
      <c r="AW89" s="38" t="n"/>
      <c r="AX89" s="38" t="n"/>
      <c r="AY89" s="38" t="n"/>
      <c r="AZ89" s="38" t="n"/>
      <c r="BA89" s="38" t="n"/>
      <c r="BB89" s="38" t="n"/>
      <c r="BC89" s="38" t="n"/>
      <c r="BD89" s="38" t="n"/>
      <c r="BE89" s="35" t="n"/>
      <c r="BF89" s="35" t="n"/>
      <c r="BG89" s="38" t="n"/>
      <c r="BH89" s="38" t="n"/>
      <c r="BI89" s="38" t="n"/>
      <c r="BJ89" s="35" t="n"/>
      <c r="BK89" s="38" t="n"/>
      <c r="BL89" s="33">
        <f>IF(OR(AU89="",AV89=""),"",AV89-AU89)</f>
        <v/>
      </c>
      <c r="BM89" s="33">
        <f>IF(OR(AV89="",AW89=""),"",AW89-AV89)</f>
        <v/>
      </c>
      <c r="BN89" s="33">
        <f>IF(OR(AW89="",AX89=""),"",AX89-AW89)</f>
        <v/>
      </c>
      <c r="BO89" s="33">
        <f>IF(OR(AX89="",BA89=""),"",BA89-AX89)</f>
        <v/>
      </c>
      <c r="BP89" s="33">
        <f>IF(OR(AV89="",BA89=""),"",BA89-AV89)</f>
        <v/>
      </c>
      <c r="BQ89" s="33">
        <f>IF(OR(BB89="",BD89=""),"",BD89-BB89)</f>
        <v/>
      </c>
      <c r="BR89" s="33">
        <f>IF(OR(AX89="",BD89=""),"",BD89-AX89)</f>
        <v/>
      </c>
      <c r="BS89" s="33">
        <f>IF(OR(AW89="",BD89=""),"",BD89-AW89)</f>
        <v/>
      </c>
      <c r="BT89" s="33">
        <f>IF(OR(AV89="",BD89=""),"",BD89-AV89)</f>
        <v/>
      </c>
      <c r="BU89" s="33">
        <f>IF(OR(AU89="",BD89=""),"",BD89-AU89)</f>
        <v/>
      </c>
      <c r="BV89" s="33">
        <f>IF(OR(BB89="",BG89=""),"",BG89-BB89)</f>
        <v/>
      </c>
      <c r="BW89" s="33">
        <f>IF(OR(BG89="",BH89=""),"",BH89-BG89)</f>
        <v/>
      </c>
      <c r="BX89" s="33">
        <f>IF(OR(BG89="",BI89=""),"",BI89-BG89)</f>
        <v/>
      </c>
      <c r="BY89" s="39">
        <f>IF(OR(AX89="",BK89=""),"",ROUND((BK89-AX89)/30.44,1))</f>
        <v/>
      </c>
      <c r="BZ89" s="37">
        <f>IF(BR89="","",IF(BR89&lt;=30,1,0))</f>
        <v/>
      </c>
      <c r="CA89" s="37">
        <f>IF(BR89="","",IF(BR89&gt;40.5,1,0))</f>
        <v/>
      </c>
      <c r="CB89" s="37">
        <f>IF(BR89="","",IF(BR89&gt;60,1,0))</f>
        <v/>
      </c>
      <c r="CC89" s="37">
        <f>IF(BR89="","",IF(BR89&gt;67,1,0))</f>
        <v/>
      </c>
      <c r="CD89" s="37">
        <f>IF(BT89="","",IF(BT89&lt;=30,1,0))</f>
        <v/>
      </c>
      <c r="CE89" s="37">
        <f>IF(BQ89="","",IF(BQ89&lt;=28,1,0))</f>
        <v/>
      </c>
      <c r="CF89" s="37">
        <f>IF(OR(BV89="",BE89&lt;&gt;"ניתוח"),"",IF(BV89&lt;=30,1,0))</f>
        <v/>
      </c>
      <c r="CG89" s="37">
        <f>IF(BU89="","",IF(BU89&lt;=56,1,0))</f>
        <v/>
      </c>
      <c r="CH89" s="37">
        <f>IF(BW89="","",IF(BW89&lt;=42,1,0))</f>
        <v/>
      </c>
      <c r="CI89" s="37">
        <f>IF(BX89="","",IF(BX89&lt;=100,1,0))</f>
        <v/>
      </c>
      <c r="CJ89" s="33">
        <f>IF(A89="","",COUNTIF(Delays!$B$5:$B$404,A89))</f>
        <v/>
      </c>
      <c r="CK89" s="35" t="n"/>
    </row>
    <row r="90">
      <c r="A90" s="33">
        <f>IF(OR(B90="",C90="",D90="",AX90=""),"","RET-"&amp;RIGHT(YEAR(AX90),2)&amp;"-"&amp;TEXT(B90,"000")&amp;"-"&amp;C90&amp;"-"&amp;D90&amp;"-"&amp;TEXT(MONTH(AX90),"00"))</f>
        <v/>
      </c>
      <c r="B90" s="34" t="n">
        <v>85</v>
      </c>
      <c r="C90" s="35" t="n"/>
      <c r="D90" s="35" t="n"/>
      <c r="E90" s="33">
        <f>IF(AX90="","",YEAR(AX90))</f>
        <v/>
      </c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6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7">
        <f>IF(Y90="","",IF(OR(Y90="III",Y90="IV",Y90="IVA",Y90="IVB",Y90="IVC"),1,0))</f>
        <v/>
      </c>
      <c r="AA90" s="35" t="n"/>
      <c r="AB90" s="35" t="n"/>
      <c r="AC90" s="35" t="n"/>
      <c r="AD90" s="35" t="n"/>
      <c r="AE90" s="35" t="n"/>
      <c r="AF90" s="35" t="n"/>
      <c r="AG90" s="35" t="n"/>
      <c r="AH90" s="35" t="n"/>
      <c r="AI90" s="35" t="n"/>
      <c r="AJ90" s="35" t="n"/>
      <c r="AK90" s="35" t="n"/>
      <c r="AL90" s="35" t="n"/>
      <c r="AM90" s="35" t="n"/>
      <c r="AN90" s="35" t="n"/>
      <c r="AO90" s="35" t="n"/>
      <c r="AP90" s="35" t="n"/>
      <c r="AQ90" s="35" t="n"/>
      <c r="AR90" s="35" t="n"/>
      <c r="AS90" s="35" t="n"/>
      <c r="AT90" s="35" t="n"/>
      <c r="AU90" s="38" t="n"/>
      <c r="AV90" s="38" t="n"/>
      <c r="AW90" s="38" t="n"/>
      <c r="AX90" s="38" t="n"/>
      <c r="AY90" s="38" t="n"/>
      <c r="AZ90" s="38" t="n"/>
      <c r="BA90" s="38" t="n"/>
      <c r="BB90" s="38" t="n"/>
      <c r="BC90" s="38" t="n"/>
      <c r="BD90" s="38" t="n"/>
      <c r="BE90" s="35" t="n"/>
      <c r="BF90" s="35" t="n"/>
      <c r="BG90" s="38" t="n"/>
      <c r="BH90" s="38" t="n"/>
      <c r="BI90" s="38" t="n"/>
      <c r="BJ90" s="35" t="n"/>
      <c r="BK90" s="38" t="n"/>
      <c r="BL90" s="33">
        <f>IF(OR(AU90="",AV90=""),"",AV90-AU90)</f>
        <v/>
      </c>
      <c r="BM90" s="33">
        <f>IF(OR(AV90="",AW90=""),"",AW90-AV90)</f>
        <v/>
      </c>
      <c r="BN90" s="33">
        <f>IF(OR(AW90="",AX90=""),"",AX90-AW90)</f>
        <v/>
      </c>
      <c r="BO90" s="33">
        <f>IF(OR(AX90="",BA90=""),"",BA90-AX90)</f>
        <v/>
      </c>
      <c r="BP90" s="33">
        <f>IF(OR(AV90="",BA90=""),"",BA90-AV90)</f>
        <v/>
      </c>
      <c r="BQ90" s="33">
        <f>IF(OR(BB90="",BD90=""),"",BD90-BB90)</f>
        <v/>
      </c>
      <c r="BR90" s="33">
        <f>IF(OR(AX90="",BD90=""),"",BD90-AX90)</f>
        <v/>
      </c>
      <c r="BS90" s="33">
        <f>IF(OR(AW90="",BD90=""),"",BD90-AW90)</f>
        <v/>
      </c>
      <c r="BT90" s="33">
        <f>IF(OR(AV90="",BD90=""),"",BD90-AV90)</f>
        <v/>
      </c>
      <c r="BU90" s="33">
        <f>IF(OR(AU90="",BD90=""),"",BD90-AU90)</f>
        <v/>
      </c>
      <c r="BV90" s="33">
        <f>IF(OR(BB90="",BG90=""),"",BG90-BB90)</f>
        <v/>
      </c>
      <c r="BW90" s="33">
        <f>IF(OR(BG90="",BH90=""),"",BH90-BG90)</f>
        <v/>
      </c>
      <c r="BX90" s="33">
        <f>IF(OR(BG90="",BI90=""),"",BI90-BG90)</f>
        <v/>
      </c>
      <c r="BY90" s="39">
        <f>IF(OR(AX90="",BK90=""),"",ROUND((BK90-AX90)/30.44,1))</f>
        <v/>
      </c>
      <c r="BZ90" s="37">
        <f>IF(BR90="","",IF(BR90&lt;=30,1,0))</f>
        <v/>
      </c>
      <c r="CA90" s="37">
        <f>IF(BR90="","",IF(BR90&gt;40.5,1,0))</f>
        <v/>
      </c>
      <c r="CB90" s="37">
        <f>IF(BR90="","",IF(BR90&gt;60,1,0))</f>
        <v/>
      </c>
      <c r="CC90" s="37">
        <f>IF(BR90="","",IF(BR90&gt;67,1,0))</f>
        <v/>
      </c>
      <c r="CD90" s="37">
        <f>IF(BT90="","",IF(BT90&lt;=30,1,0))</f>
        <v/>
      </c>
      <c r="CE90" s="37">
        <f>IF(BQ90="","",IF(BQ90&lt;=28,1,0))</f>
        <v/>
      </c>
      <c r="CF90" s="37">
        <f>IF(OR(BV90="",BE90&lt;&gt;"ניתוח"),"",IF(BV90&lt;=30,1,0))</f>
        <v/>
      </c>
      <c r="CG90" s="37">
        <f>IF(BU90="","",IF(BU90&lt;=56,1,0))</f>
        <v/>
      </c>
      <c r="CH90" s="37">
        <f>IF(BW90="","",IF(BW90&lt;=42,1,0))</f>
        <v/>
      </c>
      <c r="CI90" s="37">
        <f>IF(BX90="","",IF(BX90&lt;=100,1,0))</f>
        <v/>
      </c>
      <c r="CJ90" s="33">
        <f>IF(A90="","",COUNTIF(Delays!$B$5:$B$404,A90))</f>
        <v/>
      </c>
      <c r="CK90" s="35" t="n"/>
    </row>
    <row r="91">
      <c r="A91" s="33">
        <f>IF(OR(B91="",C91="",D91="",AX91=""),"","RET-"&amp;RIGHT(YEAR(AX91),2)&amp;"-"&amp;TEXT(B91,"000")&amp;"-"&amp;C91&amp;"-"&amp;D91&amp;"-"&amp;TEXT(MONTH(AX91),"00"))</f>
        <v/>
      </c>
      <c r="B91" s="34" t="n">
        <v>86</v>
      </c>
      <c r="C91" s="35" t="n"/>
      <c r="D91" s="35" t="n"/>
      <c r="E91" s="33">
        <f>IF(AX91="","",YEAR(AX91))</f>
        <v/>
      </c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6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7">
        <f>IF(Y91="","",IF(OR(Y91="III",Y91="IV",Y91="IVA",Y91="IVB",Y91="IVC"),1,0))</f>
        <v/>
      </c>
      <c r="AA91" s="35" t="n"/>
      <c r="AB91" s="35" t="n"/>
      <c r="AC91" s="35" t="n"/>
      <c r="AD91" s="35" t="n"/>
      <c r="AE91" s="35" t="n"/>
      <c r="AF91" s="35" t="n"/>
      <c r="AG91" s="35" t="n"/>
      <c r="AH91" s="35" t="n"/>
      <c r="AI91" s="35" t="n"/>
      <c r="AJ91" s="35" t="n"/>
      <c r="AK91" s="35" t="n"/>
      <c r="AL91" s="35" t="n"/>
      <c r="AM91" s="35" t="n"/>
      <c r="AN91" s="35" t="n"/>
      <c r="AO91" s="35" t="n"/>
      <c r="AP91" s="35" t="n"/>
      <c r="AQ91" s="35" t="n"/>
      <c r="AR91" s="35" t="n"/>
      <c r="AS91" s="35" t="n"/>
      <c r="AT91" s="35" t="n"/>
      <c r="AU91" s="38" t="n"/>
      <c r="AV91" s="38" t="n"/>
      <c r="AW91" s="38" t="n"/>
      <c r="AX91" s="38" t="n"/>
      <c r="AY91" s="38" t="n"/>
      <c r="AZ91" s="38" t="n"/>
      <c r="BA91" s="38" t="n"/>
      <c r="BB91" s="38" t="n"/>
      <c r="BC91" s="38" t="n"/>
      <c r="BD91" s="38" t="n"/>
      <c r="BE91" s="35" t="n"/>
      <c r="BF91" s="35" t="n"/>
      <c r="BG91" s="38" t="n"/>
      <c r="BH91" s="38" t="n"/>
      <c r="BI91" s="38" t="n"/>
      <c r="BJ91" s="35" t="n"/>
      <c r="BK91" s="38" t="n"/>
      <c r="BL91" s="33">
        <f>IF(OR(AU91="",AV91=""),"",AV91-AU91)</f>
        <v/>
      </c>
      <c r="BM91" s="33">
        <f>IF(OR(AV91="",AW91=""),"",AW91-AV91)</f>
        <v/>
      </c>
      <c r="BN91" s="33">
        <f>IF(OR(AW91="",AX91=""),"",AX91-AW91)</f>
        <v/>
      </c>
      <c r="BO91" s="33">
        <f>IF(OR(AX91="",BA91=""),"",BA91-AX91)</f>
        <v/>
      </c>
      <c r="BP91" s="33">
        <f>IF(OR(AV91="",BA91=""),"",BA91-AV91)</f>
        <v/>
      </c>
      <c r="BQ91" s="33">
        <f>IF(OR(BB91="",BD91=""),"",BD91-BB91)</f>
        <v/>
      </c>
      <c r="BR91" s="33">
        <f>IF(OR(AX91="",BD91=""),"",BD91-AX91)</f>
        <v/>
      </c>
      <c r="BS91" s="33">
        <f>IF(OR(AW91="",BD91=""),"",BD91-AW91)</f>
        <v/>
      </c>
      <c r="BT91" s="33">
        <f>IF(OR(AV91="",BD91=""),"",BD91-AV91)</f>
        <v/>
      </c>
      <c r="BU91" s="33">
        <f>IF(OR(AU91="",BD91=""),"",BD91-AU91)</f>
        <v/>
      </c>
      <c r="BV91" s="33">
        <f>IF(OR(BB91="",BG91=""),"",BG91-BB91)</f>
        <v/>
      </c>
      <c r="BW91" s="33">
        <f>IF(OR(BG91="",BH91=""),"",BH91-BG91)</f>
        <v/>
      </c>
      <c r="BX91" s="33">
        <f>IF(OR(BG91="",BI91=""),"",BI91-BG91)</f>
        <v/>
      </c>
      <c r="BY91" s="39">
        <f>IF(OR(AX91="",BK91=""),"",ROUND((BK91-AX91)/30.44,1))</f>
        <v/>
      </c>
      <c r="BZ91" s="37">
        <f>IF(BR91="","",IF(BR91&lt;=30,1,0))</f>
        <v/>
      </c>
      <c r="CA91" s="37">
        <f>IF(BR91="","",IF(BR91&gt;40.5,1,0))</f>
        <v/>
      </c>
      <c r="CB91" s="37">
        <f>IF(BR91="","",IF(BR91&gt;60,1,0))</f>
        <v/>
      </c>
      <c r="CC91" s="37">
        <f>IF(BR91="","",IF(BR91&gt;67,1,0))</f>
        <v/>
      </c>
      <c r="CD91" s="37">
        <f>IF(BT91="","",IF(BT91&lt;=30,1,0))</f>
        <v/>
      </c>
      <c r="CE91" s="37">
        <f>IF(BQ91="","",IF(BQ91&lt;=28,1,0))</f>
        <v/>
      </c>
      <c r="CF91" s="37">
        <f>IF(OR(BV91="",BE91&lt;&gt;"ניתוח"),"",IF(BV91&lt;=30,1,0))</f>
        <v/>
      </c>
      <c r="CG91" s="37">
        <f>IF(BU91="","",IF(BU91&lt;=56,1,0))</f>
        <v/>
      </c>
      <c r="CH91" s="37">
        <f>IF(BW91="","",IF(BW91&lt;=42,1,0))</f>
        <v/>
      </c>
      <c r="CI91" s="37">
        <f>IF(BX91="","",IF(BX91&lt;=100,1,0))</f>
        <v/>
      </c>
      <c r="CJ91" s="33">
        <f>IF(A91="","",COUNTIF(Delays!$B$5:$B$404,A91))</f>
        <v/>
      </c>
      <c r="CK91" s="35" t="n"/>
    </row>
    <row r="92">
      <c r="A92" s="33">
        <f>IF(OR(B92="",C92="",D92="",AX92=""),"","RET-"&amp;RIGHT(YEAR(AX92),2)&amp;"-"&amp;TEXT(B92,"000")&amp;"-"&amp;C92&amp;"-"&amp;D92&amp;"-"&amp;TEXT(MONTH(AX92),"00"))</f>
        <v/>
      </c>
      <c r="B92" s="34" t="n">
        <v>87</v>
      </c>
      <c r="C92" s="35" t="n"/>
      <c r="D92" s="35" t="n"/>
      <c r="E92" s="33">
        <f>IF(AX92="","",YEAR(AX92))</f>
        <v/>
      </c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6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7">
        <f>IF(Y92="","",IF(OR(Y92="III",Y92="IV",Y92="IVA",Y92="IVB",Y92="IVC"),1,0))</f>
        <v/>
      </c>
      <c r="AA92" s="35" t="n"/>
      <c r="AB92" s="35" t="n"/>
      <c r="AC92" s="35" t="n"/>
      <c r="AD92" s="35" t="n"/>
      <c r="AE92" s="35" t="n"/>
      <c r="AF92" s="35" t="n"/>
      <c r="AG92" s="35" t="n"/>
      <c r="AH92" s="35" t="n"/>
      <c r="AI92" s="35" t="n"/>
      <c r="AJ92" s="35" t="n"/>
      <c r="AK92" s="35" t="n"/>
      <c r="AL92" s="35" t="n"/>
      <c r="AM92" s="35" t="n"/>
      <c r="AN92" s="35" t="n"/>
      <c r="AO92" s="35" t="n"/>
      <c r="AP92" s="35" t="n"/>
      <c r="AQ92" s="35" t="n"/>
      <c r="AR92" s="35" t="n"/>
      <c r="AS92" s="35" t="n"/>
      <c r="AT92" s="35" t="n"/>
      <c r="AU92" s="38" t="n"/>
      <c r="AV92" s="38" t="n"/>
      <c r="AW92" s="38" t="n"/>
      <c r="AX92" s="38" t="n"/>
      <c r="AY92" s="38" t="n"/>
      <c r="AZ92" s="38" t="n"/>
      <c r="BA92" s="38" t="n"/>
      <c r="BB92" s="38" t="n"/>
      <c r="BC92" s="38" t="n"/>
      <c r="BD92" s="38" t="n"/>
      <c r="BE92" s="35" t="n"/>
      <c r="BF92" s="35" t="n"/>
      <c r="BG92" s="38" t="n"/>
      <c r="BH92" s="38" t="n"/>
      <c r="BI92" s="38" t="n"/>
      <c r="BJ92" s="35" t="n"/>
      <c r="BK92" s="38" t="n"/>
      <c r="BL92" s="33">
        <f>IF(OR(AU92="",AV92=""),"",AV92-AU92)</f>
        <v/>
      </c>
      <c r="BM92" s="33">
        <f>IF(OR(AV92="",AW92=""),"",AW92-AV92)</f>
        <v/>
      </c>
      <c r="BN92" s="33">
        <f>IF(OR(AW92="",AX92=""),"",AX92-AW92)</f>
        <v/>
      </c>
      <c r="BO92" s="33">
        <f>IF(OR(AX92="",BA92=""),"",BA92-AX92)</f>
        <v/>
      </c>
      <c r="BP92" s="33">
        <f>IF(OR(AV92="",BA92=""),"",BA92-AV92)</f>
        <v/>
      </c>
      <c r="BQ92" s="33">
        <f>IF(OR(BB92="",BD92=""),"",BD92-BB92)</f>
        <v/>
      </c>
      <c r="BR92" s="33">
        <f>IF(OR(AX92="",BD92=""),"",BD92-AX92)</f>
        <v/>
      </c>
      <c r="BS92" s="33">
        <f>IF(OR(AW92="",BD92=""),"",BD92-AW92)</f>
        <v/>
      </c>
      <c r="BT92" s="33">
        <f>IF(OR(AV92="",BD92=""),"",BD92-AV92)</f>
        <v/>
      </c>
      <c r="BU92" s="33">
        <f>IF(OR(AU92="",BD92=""),"",BD92-AU92)</f>
        <v/>
      </c>
      <c r="BV92" s="33">
        <f>IF(OR(BB92="",BG92=""),"",BG92-BB92)</f>
        <v/>
      </c>
      <c r="BW92" s="33">
        <f>IF(OR(BG92="",BH92=""),"",BH92-BG92)</f>
        <v/>
      </c>
      <c r="BX92" s="33">
        <f>IF(OR(BG92="",BI92=""),"",BI92-BG92)</f>
        <v/>
      </c>
      <c r="BY92" s="39">
        <f>IF(OR(AX92="",BK92=""),"",ROUND((BK92-AX92)/30.44,1))</f>
        <v/>
      </c>
      <c r="BZ92" s="37">
        <f>IF(BR92="","",IF(BR92&lt;=30,1,0))</f>
        <v/>
      </c>
      <c r="CA92" s="37">
        <f>IF(BR92="","",IF(BR92&gt;40.5,1,0))</f>
        <v/>
      </c>
      <c r="CB92" s="37">
        <f>IF(BR92="","",IF(BR92&gt;60,1,0))</f>
        <v/>
      </c>
      <c r="CC92" s="37">
        <f>IF(BR92="","",IF(BR92&gt;67,1,0))</f>
        <v/>
      </c>
      <c r="CD92" s="37">
        <f>IF(BT92="","",IF(BT92&lt;=30,1,0))</f>
        <v/>
      </c>
      <c r="CE92" s="37">
        <f>IF(BQ92="","",IF(BQ92&lt;=28,1,0))</f>
        <v/>
      </c>
      <c r="CF92" s="37">
        <f>IF(OR(BV92="",BE92&lt;&gt;"ניתוח"),"",IF(BV92&lt;=30,1,0))</f>
        <v/>
      </c>
      <c r="CG92" s="37">
        <f>IF(BU92="","",IF(BU92&lt;=56,1,0))</f>
        <v/>
      </c>
      <c r="CH92" s="37">
        <f>IF(BW92="","",IF(BW92&lt;=42,1,0))</f>
        <v/>
      </c>
      <c r="CI92" s="37">
        <f>IF(BX92="","",IF(BX92&lt;=100,1,0))</f>
        <v/>
      </c>
      <c r="CJ92" s="33">
        <f>IF(A92="","",COUNTIF(Delays!$B$5:$B$404,A92))</f>
        <v/>
      </c>
      <c r="CK92" s="35" t="n"/>
    </row>
    <row r="93">
      <c r="A93" s="33">
        <f>IF(OR(B93="",C93="",D93="",AX93=""),"","RET-"&amp;RIGHT(YEAR(AX93),2)&amp;"-"&amp;TEXT(B93,"000")&amp;"-"&amp;C93&amp;"-"&amp;D93&amp;"-"&amp;TEXT(MONTH(AX93),"00"))</f>
        <v/>
      </c>
      <c r="B93" s="34" t="n">
        <v>88</v>
      </c>
      <c r="C93" s="35" t="n"/>
      <c r="D93" s="35" t="n"/>
      <c r="E93" s="33">
        <f>IF(AX93="","",YEAR(AX93))</f>
        <v/>
      </c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6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7">
        <f>IF(Y93="","",IF(OR(Y93="III",Y93="IV",Y93="IVA",Y93="IVB",Y93="IVC"),1,0))</f>
        <v/>
      </c>
      <c r="AA93" s="35" t="n"/>
      <c r="AB93" s="35" t="n"/>
      <c r="AC93" s="35" t="n"/>
      <c r="AD93" s="35" t="n"/>
      <c r="AE93" s="35" t="n"/>
      <c r="AF93" s="35" t="n"/>
      <c r="AG93" s="35" t="n"/>
      <c r="AH93" s="35" t="n"/>
      <c r="AI93" s="35" t="n"/>
      <c r="AJ93" s="35" t="n"/>
      <c r="AK93" s="35" t="n"/>
      <c r="AL93" s="35" t="n"/>
      <c r="AM93" s="35" t="n"/>
      <c r="AN93" s="35" t="n"/>
      <c r="AO93" s="35" t="n"/>
      <c r="AP93" s="35" t="n"/>
      <c r="AQ93" s="35" t="n"/>
      <c r="AR93" s="35" t="n"/>
      <c r="AS93" s="35" t="n"/>
      <c r="AT93" s="35" t="n"/>
      <c r="AU93" s="38" t="n"/>
      <c r="AV93" s="38" t="n"/>
      <c r="AW93" s="38" t="n"/>
      <c r="AX93" s="38" t="n"/>
      <c r="AY93" s="38" t="n"/>
      <c r="AZ93" s="38" t="n"/>
      <c r="BA93" s="38" t="n"/>
      <c r="BB93" s="38" t="n"/>
      <c r="BC93" s="38" t="n"/>
      <c r="BD93" s="38" t="n"/>
      <c r="BE93" s="35" t="n"/>
      <c r="BF93" s="35" t="n"/>
      <c r="BG93" s="38" t="n"/>
      <c r="BH93" s="38" t="n"/>
      <c r="BI93" s="38" t="n"/>
      <c r="BJ93" s="35" t="n"/>
      <c r="BK93" s="38" t="n"/>
      <c r="BL93" s="33">
        <f>IF(OR(AU93="",AV93=""),"",AV93-AU93)</f>
        <v/>
      </c>
      <c r="BM93" s="33">
        <f>IF(OR(AV93="",AW93=""),"",AW93-AV93)</f>
        <v/>
      </c>
      <c r="BN93" s="33">
        <f>IF(OR(AW93="",AX93=""),"",AX93-AW93)</f>
        <v/>
      </c>
      <c r="BO93" s="33">
        <f>IF(OR(AX93="",BA93=""),"",BA93-AX93)</f>
        <v/>
      </c>
      <c r="BP93" s="33">
        <f>IF(OR(AV93="",BA93=""),"",BA93-AV93)</f>
        <v/>
      </c>
      <c r="BQ93" s="33">
        <f>IF(OR(BB93="",BD93=""),"",BD93-BB93)</f>
        <v/>
      </c>
      <c r="BR93" s="33">
        <f>IF(OR(AX93="",BD93=""),"",BD93-AX93)</f>
        <v/>
      </c>
      <c r="BS93" s="33">
        <f>IF(OR(AW93="",BD93=""),"",BD93-AW93)</f>
        <v/>
      </c>
      <c r="BT93" s="33">
        <f>IF(OR(AV93="",BD93=""),"",BD93-AV93)</f>
        <v/>
      </c>
      <c r="BU93" s="33">
        <f>IF(OR(AU93="",BD93=""),"",BD93-AU93)</f>
        <v/>
      </c>
      <c r="BV93" s="33">
        <f>IF(OR(BB93="",BG93=""),"",BG93-BB93)</f>
        <v/>
      </c>
      <c r="BW93" s="33">
        <f>IF(OR(BG93="",BH93=""),"",BH93-BG93)</f>
        <v/>
      </c>
      <c r="BX93" s="33">
        <f>IF(OR(BG93="",BI93=""),"",BI93-BG93)</f>
        <v/>
      </c>
      <c r="BY93" s="39">
        <f>IF(OR(AX93="",BK93=""),"",ROUND((BK93-AX93)/30.44,1))</f>
        <v/>
      </c>
      <c r="BZ93" s="37">
        <f>IF(BR93="","",IF(BR93&lt;=30,1,0))</f>
        <v/>
      </c>
      <c r="CA93" s="37">
        <f>IF(BR93="","",IF(BR93&gt;40.5,1,0))</f>
        <v/>
      </c>
      <c r="CB93" s="37">
        <f>IF(BR93="","",IF(BR93&gt;60,1,0))</f>
        <v/>
      </c>
      <c r="CC93" s="37">
        <f>IF(BR93="","",IF(BR93&gt;67,1,0))</f>
        <v/>
      </c>
      <c r="CD93" s="37">
        <f>IF(BT93="","",IF(BT93&lt;=30,1,0))</f>
        <v/>
      </c>
      <c r="CE93" s="37">
        <f>IF(BQ93="","",IF(BQ93&lt;=28,1,0))</f>
        <v/>
      </c>
      <c r="CF93" s="37">
        <f>IF(OR(BV93="",BE93&lt;&gt;"ניתוח"),"",IF(BV93&lt;=30,1,0))</f>
        <v/>
      </c>
      <c r="CG93" s="37">
        <f>IF(BU93="","",IF(BU93&lt;=56,1,0))</f>
        <v/>
      </c>
      <c r="CH93" s="37">
        <f>IF(BW93="","",IF(BW93&lt;=42,1,0))</f>
        <v/>
      </c>
      <c r="CI93" s="37">
        <f>IF(BX93="","",IF(BX93&lt;=100,1,0))</f>
        <v/>
      </c>
      <c r="CJ93" s="33">
        <f>IF(A93="","",COUNTIF(Delays!$B$5:$B$404,A93))</f>
        <v/>
      </c>
      <c r="CK93" s="35" t="n"/>
    </row>
    <row r="94">
      <c r="A94" s="33">
        <f>IF(OR(B94="",C94="",D94="",AX94=""),"","RET-"&amp;RIGHT(YEAR(AX94),2)&amp;"-"&amp;TEXT(B94,"000")&amp;"-"&amp;C94&amp;"-"&amp;D94&amp;"-"&amp;TEXT(MONTH(AX94),"00"))</f>
        <v/>
      </c>
      <c r="B94" s="34" t="n">
        <v>89</v>
      </c>
      <c r="C94" s="35" t="n"/>
      <c r="D94" s="35" t="n"/>
      <c r="E94" s="33">
        <f>IF(AX94="","",YEAR(AX94))</f>
        <v/>
      </c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6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7">
        <f>IF(Y94="","",IF(OR(Y94="III",Y94="IV",Y94="IVA",Y94="IVB",Y94="IVC"),1,0))</f>
        <v/>
      </c>
      <c r="AA94" s="35" t="n"/>
      <c r="AB94" s="35" t="n"/>
      <c r="AC94" s="35" t="n"/>
      <c r="AD94" s="35" t="n"/>
      <c r="AE94" s="35" t="n"/>
      <c r="AF94" s="35" t="n"/>
      <c r="AG94" s="35" t="n"/>
      <c r="AH94" s="35" t="n"/>
      <c r="AI94" s="35" t="n"/>
      <c r="AJ94" s="35" t="n"/>
      <c r="AK94" s="35" t="n"/>
      <c r="AL94" s="35" t="n"/>
      <c r="AM94" s="35" t="n"/>
      <c r="AN94" s="35" t="n"/>
      <c r="AO94" s="35" t="n"/>
      <c r="AP94" s="35" t="n"/>
      <c r="AQ94" s="35" t="n"/>
      <c r="AR94" s="35" t="n"/>
      <c r="AS94" s="35" t="n"/>
      <c r="AT94" s="35" t="n"/>
      <c r="AU94" s="38" t="n"/>
      <c r="AV94" s="38" t="n"/>
      <c r="AW94" s="38" t="n"/>
      <c r="AX94" s="38" t="n"/>
      <c r="AY94" s="38" t="n"/>
      <c r="AZ94" s="38" t="n"/>
      <c r="BA94" s="38" t="n"/>
      <c r="BB94" s="38" t="n"/>
      <c r="BC94" s="38" t="n"/>
      <c r="BD94" s="38" t="n"/>
      <c r="BE94" s="35" t="n"/>
      <c r="BF94" s="35" t="n"/>
      <c r="BG94" s="38" t="n"/>
      <c r="BH94" s="38" t="n"/>
      <c r="BI94" s="38" t="n"/>
      <c r="BJ94" s="35" t="n"/>
      <c r="BK94" s="38" t="n"/>
      <c r="BL94" s="33">
        <f>IF(OR(AU94="",AV94=""),"",AV94-AU94)</f>
        <v/>
      </c>
      <c r="BM94" s="33">
        <f>IF(OR(AV94="",AW94=""),"",AW94-AV94)</f>
        <v/>
      </c>
      <c r="BN94" s="33">
        <f>IF(OR(AW94="",AX94=""),"",AX94-AW94)</f>
        <v/>
      </c>
      <c r="BO94" s="33">
        <f>IF(OR(AX94="",BA94=""),"",BA94-AX94)</f>
        <v/>
      </c>
      <c r="BP94" s="33">
        <f>IF(OR(AV94="",BA94=""),"",BA94-AV94)</f>
        <v/>
      </c>
      <c r="BQ94" s="33">
        <f>IF(OR(BB94="",BD94=""),"",BD94-BB94)</f>
        <v/>
      </c>
      <c r="BR94" s="33">
        <f>IF(OR(AX94="",BD94=""),"",BD94-AX94)</f>
        <v/>
      </c>
      <c r="BS94" s="33">
        <f>IF(OR(AW94="",BD94=""),"",BD94-AW94)</f>
        <v/>
      </c>
      <c r="BT94" s="33">
        <f>IF(OR(AV94="",BD94=""),"",BD94-AV94)</f>
        <v/>
      </c>
      <c r="BU94" s="33">
        <f>IF(OR(AU94="",BD94=""),"",BD94-AU94)</f>
        <v/>
      </c>
      <c r="BV94" s="33">
        <f>IF(OR(BB94="",BG94=""),"",BG94-BB94)</f>
        <v/>
      </c>
      <c r="BW94" s="33">
        <f>IF(OR(BG94="",BH94=""),"",BH94-BG94)</f>
        <v/>
      </c>
      <c r="BX94" s="33">
        <f>IF(OR(BG94="",BI94=""),"",BI94-BG94)</f>
        <v/>
      </c>
      <c r="BY94" s="39">
        <f>IF(OR(AX94="",BK94=""),"",ROUND((BK94-AX94)/30.44,1))</f>
        <v/>
      </c>
      <c r="BZ94" s="37">
        <f>IF(BR94="","",IF(BR94&lt;=30,1,0))</f>
        <v/>
      </c>
      <c r="CA94" s="37">
        <f>IF(BR94="","",IF(BR94&gt;40.5,1,0))</f>
        <v/>
      </c>
      <c r="CB94" s="37">
        <f>IF(BR94="","",IF(BR94&gt;60,1,0))</f>
        <v/>
      </c>
      <c r="CC94" s="37">
        <f>IF(BR94="","",IF(BR94&gt;67,1,0))</f>
        <v/>
      </c>
      <c r="CD94" s="37">
        <f>IF(BT94="","",IF(BT94&lt;=30,1,0))</f>
        <v/>
      </c>
      <c r="CE94" s="37">
        <f>IF(BQ94="","",IF(BQ94&lt;=28,1,0))</f>
        <v/>
      </c>
      <c r="CF94" s="37">
        <f>IF(OR(BV94="",BE94&lt;&gt;"ניתוח"),"",IF(BV94&lt;=30,1,0))</f>
        <v/>
      </c>
      <c r="CG94" s="37">
        <f>IF(BU94="","",IF(BU94&lt;=56,1,0))</f>
        <v/>
      </c>
      <c r="CH94" s="37">
        <f>IF(BW94="","",IF(BW94&lt;=42,1,0))</f>
        <v/>
      </c>
      <c r="CI94" s="37">
        <f>IF(BX94="","",IF(BX94&lt;=100,1,0))</f>
        <v/>
      </c>
      <c r="CJ94" s="33">
        <f>IF(A94="","",COUNTIF(Delays!$B$5:$B$404,A94))</f>
        <v/>
      </c>
      <c r="CK94" s="35" t="n"/>
    </row>
    <row r="95">
      <c r="A95" s="33">
        <f>IF(OR(B95="",C95="",D95="",AX95=""),"","RET-"&amp;RIGHT(YEAR(AX95),2)&amp;"-"&amp;TEXT(B95,"000")&amp;"-"&amp;C95&amp;"-"&amp;D95&amp;"-"&amp;TEXT(MONTH(AX95),"00"))</f>
        <v/>
      </c>
      <c r="B95" s="34" t="n">
        <v>90</v>
      </c>
      <c r="C95" s="35" t="n"/>
      <c r="D95" s="35" t="n"/>
      <c r="E95" s="33">
        <f>IF(AX95="","",YEAR(AX95))</f>
        <v/>
      </c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6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7">
        <f>IF(Y95="","",IF(OR(Y95="III",Y95="IV",Y95="IVA",Y95="IVB",Y95="IVC"),1,0))</f>
        <v/>
      </c>
      <c r="AA95" s="35" t="n"/>
      <c r="AB95" s="35" t="n"/>
      <c r="AC95" s="35" t="n"/>
      <c r="AD95" s="35" t="n"/>
      <c r="AE95" s="35" t="n"/>
      <c r="AF95" s="35" t="n"/>
      <c r="AG95" s="35" t="n"/>
      <c r="AH95" s="35" t="n"/>
      <c r="AI95" s="35" t="n"/>
      <c r="AJ95" s="35" t="n"/>
      <c r="AK95" s="35" t="n"/>
      <c r="AL95" s="35" t="n"/>
      <c r="AM95" s="35" t="n"/>
      <c r="AN95" s="35" t="n"/>
      <c r="AO95" s="35" t="n"/>
      <c r="AP95" s="35" t="n"/>
      <c r="AQ95" s="35" t="n"/>
      <c r="AR95" s="35" t="n"/>
      <c r="AS95" s="35" t="n"/>
      <c r="AT95" s="35" t="n"/>
      <c r="AU95" s="38" t="n"/>
      <c r="AV95" s="38" t="n"/>
      <c r="AW95" s="38" t="n"/>
      <c r="AX95" s="38" t="n"/>
      <c r="AY95" s="38" t="n"/>
      <c r="AZ95" s="38" t="n"/>
      <c r="BA95" s="38" t="n"/>
      <c r="BB95" s="38" t="n"/>
      <c r="BC95" s="38" t="n"/>
      <c r="BD95" s="38" t="n"/>
      <c r="BE95" s="35" t="n"/>
      <c r="BF95" s="35" t="n"/>
      <c r="BG95" s="38" t="n"/>
      <c r="BH95" s="38" t="n"/>
      <c r="BI95" s="38" t="n"/>
      <c r="BJ95" s="35" t="n"/>
      <c r="BK95" s="38" t="n"/>
      <c r="BL95" s="33">
        <f>IF(OR(AU95="",AV95=""),"",AV95-AU95)</f>
        <v/>
      </c>
      <c r="BM95" s="33">
        <f>IF(OR(AV95="",AW95=""),"",AW95-AV95)</f>
        <v/>
      </c>
      <c r="BN95" s="33">
        <f>IF(OR(AW95="",AX95=""),"",AX95-AW95)</f>
        <v/>
      </c>
      <c r="BO95" s="33">
        <f>IF(OR(AX95="",BA95=""),"",BA95-AX95)</f>
        <v/>
      </c>
      <c r="BP95" s="33">
        <f>IF(OR(AV95="",BA95=""),"",BA95-AV95)</f>
        <v/>
      </c>
      <c r="BQ95" s="33">
        <f>IF(OR(BB95="",BD95=""),"",BD95-BB95)</f>
        <v/>
      </c>
      <c r="BR95" s="33">
        <f>IF(OR(AX95="",BD95=""),"",BD95-AX95)</f>
        <v/>
      </c>
      <c r="BS95" s="33">
        <f>IF(OR(AW95="",BD95=""),"",BD95-AW95)</f>
        <v/>
      </c>
      <c r="BT95" s="33">
        <f>IF(OR(AV95="",BD95=""),"",BD95-AV95)</f>
        <v/>
      </c>
      <c r="BU95" s="33">
        <f>IF(OR(AU95="",BD95=""),"",BD95-AU95)</f>
        <v/>
      </c>
      <c r="BV95" s="33">
        <f>IF(OR(BB95="",BG95=""),"",BG95-BB95)</f>
        <v/>
      </c>
      <c r="BW95" s="33">
        <f>IF(OR(BG95="",BH95=""),"",BH95-BG95)</f>
        <v/>
      </c>
      <c r="BX95" s="33">
        <f>IF(OR(BG95="",BI95=""),"",BI95-BG95)</f>
        <v/>
      </c>
      <c r="BY95" s="39">
        <f>IF(OR(AX95="",BK95=""),"",ROUND((BK95-AX95)/30.44,1))</f>
        <v/>
      </c>
      <c r="BZ95" s="37">
        <f>IF(BR95="","",IF(BR95&lt;=30,1,0))</f>
        <v/>
      </c>
      <c r="CA95" s="37">
        <f>IF(BR95="","",IF(BR95&gt;40.5,1,0))</f>
        <v/>
      </c>
      <c r="CB95" s="37">
        <f>IF(BR95="","",IF(BR95&gt;60,1,0))</f>
        <v/>
      </c>
      <c r="CC95" s="37">
        <f>IF(BR95="","",IF(BR95&gt;67,1,0))</f>
        <v/>
      </c>
      <c r="CD95" s="37">
        <f>IF(BT95="","",IF(BT95&lt;=30,1,0))</f>
        <v/>
      </c>
      <c r="CE95" s="37">
        <f>IF(BQ95="","",IF(BQ95&lt;=28,1,0))</f>
        <v/>
      </c>
      <c r="CF95" s="37">
        <f>IF(OR(BV95="",BE95&lt;&gt;"ניתוח"),"",IF(BV95&lt;=30,1,0))</f>
        <v/>
      </c>
      <c r="CG95" s="37">
        <f>IF(BU95="","",IF(BU95&lt;=56,1,0))</f>
        <v/>
      </c>
      <c r="CH95" s="37">
        <f>IF(BW95="","",IF(BW95&lt;=42,1,0))</f>
        <v/>
      </c>
      <c r="CI95" s="37">
        <f>IF(BX95="","",IF(BX95&lt;=100,1,0))</f>
        <v/>
      </c>
      <c r="CJ95" s="33">
        <f>IF(A95="","",COUNTIF(Delays!$B$5:$B$404,A95))</f>
        <v/>
      </c>
      <c r="CK95" s="35" t="n"/>
    </row>
    <row r="96">
      <c r="A96" s="33">
        <f>IF(OR(B96="",C96="",D96="",AX96=""),"","RET-"&amp;RIGHT(YEAR(AX96),2)&amp;"-"&amp;TEXT(B96,"000")&amp;"-"&amp;C96&amp;"-"&amp;D96&amp;"-"&amp;TEXT(MONTH(AX96),"00"))</f>
        <v/>
      </c>
      <c r="B96" s="34" t="n">
        <v>91</v>
      </c>
      <c r="C96" s="35" t="n"/>
      <c r="D96" s="35" t="n"/>
      <c r="E96" s="33">
        <f>IF(AX96="","",YEAR(AX96))</f>
        <v/>
      </c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6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7">
        <f>IF(Y96="","",IF(OR(Y96="III",Y96="IV",Y96="IVA",Y96="IVB",Y96="IVC"),1,0))</f>
        <v/>
      </c>
      <c r="AA96" s="35" t="n"/>
      <c r="AB96" s="35" t="n"/>
      <c r="AC96" s="35" t="n"/>
      <c r="AD96" s="35" t="n"/>
      <c r="AE96" s="35" t="n"/>
      <c r="AF96" s="35" t="n"/>
      <c r="AG96" s="35" t="n"/>
      <c r="AH96" s="35" t="n"/>
      <c r="AI96" s="35" t="n"/>
      <c r="AJ96" s="35" t="n"/>
      <c r="AK96" s="35" t="n"/>
      <c r="AL96" s="35" t="n"/>
      <c r="AM96" s="35" t="n"/>
      <c r="AN96" s="35" t="n"/>
      <c r="AO96" s="35" t="n"/>
      <c r="AP96" s="35" t="n"/>
      <c r="AQ96" s="35" t="n"/>
      <c r="AR96" s="35" t="n"/>
      <c r="AS96" s="35" t="n"/>
      <c r="AT96" s="35" t="n"/>
      <c r="AU96" s="38" t="n"/>
      <c r="AV96" s="38" t="n"/>
      <c r="AW96" s="38" t="n"/>
      <c r="AX96" s="38" t="n"/>
      <c r="AY96" s="38" t="n"/>
      <c r="AZ96" s="38" t="n"/>
      <c r="BA96" s="38" t="n"/>
      <c r="BB96" s="38" t="n"/>
      <c r="BC96" s="38" t="n"/>
      <c r="BD96" s="38" t="n"/>
      <c r="BE96" s="35" t="n"/>
      <c r="BF96" s="35" t="n"/>
      <c r="BG96" s="38" t="n"/>
      <c r="BH96" s="38" t="n"/>
      <c r="BI96" s="38" t="n"/>
      <c r="BJ96" s="35" t="n"/>
      <c r="BK96" s="38" t="n"/>
      <c r="BL96" s="33">
        <f>IF(OR(AU96="",AV96=""),"",AV96-AU96)</f>
        <v/>
      </c>
      <c r="BM96" s="33">
        <f>IF(OR(AV96="",AW96=""),"",AW96-AV96)</f>
        <v/>
      </c>
      <c r="BN96" s="33">
        <f>IF(OR(AW96="",AX96=""),"",AX96-AW96)</f>
        <v/>
      </c>
      <c r="BO96" s="33">
        <f>IF(OR(AX96="",BA96=""),"",BA96-AX96)</f>
        <v/>
      </c>
      <c r="BP96" s="33">
        <f>IF(OR(AV96="",BA96=""),"",BA96-AV96)</f>
        <v/>
      </c>
      <c r="BQ96" s="33">
        <f>IF(OR(BB96="",BD96=""),"",BD96-BB96)</f>
        <v/>
      </c>
      <c r="BR96" s="33">
        <f>IF(OR(AX96="",BD96=""),"",BD96-AX96)</f>
        <v/>
      </c>
      <c r="BS96" s="33">
        <f>IF(OR(AW96="",BD96=""),"",BD96-AW96)</f>
        <v/>
      </c>
      <c r="BT96" s="33">
        <f>IF(OR(AV96="",BD96=""),"",BD96-AV96)</f>
        <v/>
      </c>
      <c r="BU96" s="33">
        <f>IF(OR(AU96="",BD96=""),"",BD96-AU96)</f>
        <v/>
      </c>
      <c r="BV96" s="33">
        <f>IF(OR(BB96="",BG96=""),"",BG96-BB96)</f>
        <v/>
      </c>
      <c r="BW96" s="33">
        <f>IF(OR(BG96="",BH96=""),"",BH96-BG96)</f>
        <v/>
      </c>
      <c r="BX96" s="33">
        <f>IF(OR(BG96="",BI96=""),"",BI96-BG96)</f>
        <v/>
      </c>
      <c r="BY96" s="39">
        <f>IF(OR(AX96="",BK96=""),"",ROUND((BK96-AX96)/30.44,1))</f>
        <v/>
      </c>
      <c r="BZ96" s="37">
        <f>IF(BR96="","",IF(BR96&lt;=30,1,0))</f>
        <v/>
      </c>
      <c r="CA96" s="37">
        <f>IF(BR96="","",IF(BR96&gt;40.5,1,0))</f>
        <v/>
      </c>
      <c r="CB96" s="37">
        <f>IF(BR96="","",IF(BR96&gt;60,1,0))</f>
        <v/>
      </c>
      <c r="CC96" s="37">
        <f>IF(BR96="","",IF(BR96&gt;67,1,0))</f>
        <v/>
      </c>
      <c r="CD96" s="37">
        <f>IF(BT96="","",IF(BT96&lt;=30,1,0))</f>
        <v/>
      </c>
      <c r="CE96" s="37">
        <f>IF(BQ96="","",IF(BQ96&lt;=28,1,0))</f>
        <v/>
      </c>
      <c r="CF96" s="37">
        <f>IF(OR(BV96="",BE96&lt;&gt;"ניתוח"),"",IF(BV96&lt;=30,1,0))</f>
        <v/>
      </c>
      <c r="CG96" s="37">
        <f>IF(BU96="","",IF(BU96&lt;=56,1,0))</f>
        <v/>
      </c>
      <c r="CH96" s="37">
        <f>IF(BW96="","",IF(BW96&lt;=42,1,0))</f>
        <v/>
      </c>
      <c r="CI96" s="37">
        <f>IF(BX96="","",IF(BX96&lt;=100,1,0))</f>
        <v/>
      </c>
      <c r="CJ96" s="33">
        <f>IF(A96="","",COUNTIF(Delays!$B$5:$B$404,A96))</f>
        <v/>
      </c>
      <c r="CK96" s="35" t="n"/>
    </row>
    <row r="97">
      <c r="A97" s="33">
        <f>IF(OR(B97="",C97="",D97="",AX97=""),"","RET-"&amp;RIGHT(YEAR(AX97),2)&amp;"-"&amp;TEXT(B97,"000")&amp;"-"&amp;C97&amp;"-"&amp;D97&amp;"-"&amp;TEXT(MONTH(AX97),"00"))</f>
        <v/>
      </c>
      <c r="B97" s="34" t="n">
        <v>92</v>
      </c>
      <c r="C97" s="35" t="n"/>
      <c r="D97" s="35" t="n"/>
      <c r="E97" s="33">
        <f>IF(AX97="","",YEAR(AX97))</f>
        <v/>
      </c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6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7">
        <f>IF(Y97="","",IF(OR(Y97="III",Y97="IV",Y97="IVA",Y97="IVB",Y97="IVC"),1,0))</f>
        <v/>
      </c>
      <c r="AA97" s="35" t="n"/>
      <c r="AB97" s="35" t="n"/>
      <c r="AC97" s="35" t="n"/>
      <c r="AD97" s="35" t="n"/>
      <c r="AE97" s="35" t="n"/>
      <c r="AF97" s="35" t="n"/>
      <c r="AG97" s="35" t="n"/>
      <c r="AH97" s="35" t="n"/>
      <c r="AI97" s="35" t="n"/>
      <c r="AJ97" s="35" t="n"/>
      <c r="AK97" s="35" t="n"/>
      <c r="AL97" s="35" t="n"/>
      <c r="AM97" s="35" t="n"/>
      <c r="AN97" s="35" t="n"/>
      <c r="AO97" s="35" t="n"/>
      <c r="AP97" s="35" t="n"/>
      <c r="AQ97" s="35" t="n"/>
      <c r="AR97" s="35" t="n"/>
      <c r="AS97" s="35" t="n"/>
      <c r="AT97" s="35" t="n"/>
      <c r="AU97" s="38" t="n"/>
      <c r="AV97" s="38" t="n"/>
      <c r="AW97" s="38" t="n"/>
      <c r="AX97" s="38" t="n"/>
      <c r="AY97" s="38" t="n"/>
      <c r="AZ97" s="38" t="n"/>
      <c r="BA97" s="38" t="n"/>
      <c r="BB97" s="38" t="n"/>
      <c r="BC97" s="38" t="n"/>
      <c r="BD97" s="38" t="n"/>
      <c r="BE97" s="35" t="n"/>
      <c r="BF97" s="35" t="n"/>
      <c r="BG97" s="38" t="n"/>
      <c r="BH97" s="38" t="n"/>
      <c r="BI97" s="38" t="n"/>
      <c r="BJ97" s="35" t="n"/>
      <c r="BK97" s="38" t="n"/>
      <c r="BL97" s="33">
        <f>IF(OR(AU97="",AV97=""),"",AV97-AU97)</f>
        <v/>
      </c>
      <c r="BM97" s="33">
        <f>IF(OR(AV97="",AW97=""),"",AW97-AV97)</f>
        <v/>
      </c>
      <c r="BN97" s="33">
        <f>IF(OR(AW97="",AX97=""),"",AX97-AW97)</f>
        <v/>
      </c>
      <c r="BO97" s="33">
        <f>IF(OR(AX97="",BA97=""),"",BA97-AX97)</f>
        <v/>
      </c>
      <c r="BP97" s="33">
        <f>IF(OR(AV97="",BA97=""),"",BA97-AV97)</f>
        <v/>
      </c>
      <c r="BQ97" s="33">
        <f>IF(OR(BB97="",BD97=""),"",BD97-BB97)</f>
        <v/>
      </c>
      <c r="BR97" s="33">
        <f>IF(OR(AX97="",BD97=""),"",BD97-AX97)</f>
        <v/>
      </c>
      <c r="BS97" s="33">
        <f>IF(OR(AW97="",BD97=""),"",BD97-AW97)</f>
        <v/>
      </c>
      <c r="BT97" s="33">
        <f>IF(OR(AV97="",BD97=""),"",BD97-AV97)</f>
        <v/>
      </c>
      <c r="BU97" s="33">
        <f>IF(OR(AU97="",BD97=""),"",BD97-AU97)</f>
        <v/>
      </c>
      <c r="BV97" s="33">
        <f>IF(OR(BB97="",BG97=""),"",BG97-BB97)</f>
        <v/>
      </c>
      <c r="BW97" s="33">
        <f>IF(OR(BG97="",BH97=""),"",BH97-BG97)</f>
        <v/>
      </c>
      <c r="BX97" s="33">
        <f>IF(OR(BG97="",BI97=""),"",BI97-BG97)</f>
        <v/>
      </c>
      <c r="BY97" s="39">
        <f>IF(OR(AX97="",BK97=""),"",ROUND((BK97-AX97)/30.44,1))</f>
        <v/>
      </c>
      <c r="BZ97" s="37">
        <f>IF(BR97="","",IF(BR97&lt;=30,1,0))</f>
        <v/>
      </c>
      <c r="CA97" s="37">
        <f>IF(BR97="","",IF(BR97&gt;40.5,1,0))</f>
        <v/>
      </c>
      <c r="CB97" s="37">
        <f>IF(BR97="","",IF(BR97&gt;60,1,0))</f>
        <v/>
      </c>
      <c r="CC97" s="37">
        <f>IF(BR97="","",IF(BR97&gt;67,1,0))</f>
        <v/>
      </c>
      <c r="CD97" s="37">
        <f>IF(BT97="","",IF(BT97&lt;=30,1,0))</f>
        <v/>
      </c>
      <c r="CE97" s="37">
        <f>IF(BQ97="","",IF(BQ97&lt;=28,1,0))</f>
        <v/>
      </c>
      <c r="CF97" s="37">
        <f>IF(OR(BV97="",BE97&lt;&gt;"ניתוח"),"",IF(BV97&lt;=30,1,0))</f>
        <v/>
      </c>
      <c r="CG97" s="37">
        <f>IF(BU97="","",IF(BU97&lt;=56,1,0))</f>
        <v/>
      </c>
      <c r="CH97" s="37">
        <f>IF(BW97="","",IF(BW97&lt;=42,1,0))</f>
        <v/>
      </c>
      <c r="CI97" s="37">
        <f>IF(BX97="","",IF(BX97&lt;=100,1,0))</f>
        <v/>
      </c>
      <c r="CJ97" s="33">
        <f>IF(A97="","",COUNTIF(Delays!$B$5:$B$404,A97))</f>
        <v/>
      </c>
      <c r="CK97" s="35" t="n"/>
    </row>
    <row r="98">
      <c r="A98" s="33">
        <f>IF(OR(B98="",C98="",D98="",AX98=""),"","RET-"&amp;RIGHT(YEAR(AX98),2)&amp;"-"&amp;TEXT(B98,"000")&amp;"-"&amp;C98&amp;"-"&amp;D98&amp;"-"&amp;TEXT(MONTH(AX98),"00"))</f>
        <v/>
      </c>
      <c r="B98" s="34" t="n">
        <v>93</v>
      </c>
      <c r="C98" s="35" t="n"/>
      <c r="D98" s="35" t="n"/>
      <c r="E98" s="33">
        <f>IF(AX98="","",YEAR(AX98))</f>
        <v/>
      </c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6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7">
        <f>IF(Y98="","",IF(OR(Y98="III",Y98="IV",Y98="IVA",Y98="IVB",Y98="IVC"),1,0))</f>
        <v/>
      </c>
      <c r="AA98" s="35" t="n"/>
      <c r="AB98" s="35" t="n"/>
      <c r="AC98" s="35" t="n"/>
      <c r="AD98" s="35" t="n"/>
      <c r="AE98" s="35" t="n"/>
      <c r="AF98" s="35" t="n"/>
      <c r="AG98" s="35" t="n"/>
      <c r="AH98" s="35" t="n"/>
      <c r="AI98" s="35" t="n"/>
      <c r="AJ98" s="35" t="n"/>
      <c r="AK98" s="35" t="n"/>
      <c r="AL98" s="35" t="n"/>
      <c r="AM98" s="35" t="n"/>
      <c r="AN98" s="35" t="n"/>
      <c r="AO98" s="35" t="n"/>
      <c r="AP98" s="35" t="n"/>
      <c r="AQ98" s="35" t="n"/>
      <c r="AR98" s="35" t="n"/>
      <c r="AS98" s="35" t="n"/>
      <c r="AT98" s="35" t="n"/>
      <c r="AU98" s="38" t="n"/>
      <c r="AV98" s="38" t="n"/>
      <c r="AW98" s="38" t="n"/>
      <c r="AX98" s="38" t="n"/>
      <c r="AY98" s="38" t="n"/>
      <c r="AZ98" s="38" t="n"/>
      <c r="BA98" s="38" t="n"/>
      <c r="BB98" s="38" t="n"/>
      <c r="BC98" s="38" t="n"/>
      <c r="BD98" s="38" t="n"/>
      <c r="BE98" s="35" t="n"/>
      <c r="BF98" s="35" t="n"/>
      <c r="BG98" s="38" t="n"/>
      <c r="BH98" s="38" t="n"/>
      <c r="BI98" s="38" t="n"/>
      <c r="BJ98" s="35" t="n"/>
      <c r="BK98" s="38" t="n"/>
      <c r="BL98" s="33">
        <f>IF(OR(AU98="",AV98=""),"",AV98-AU98)</f>
        <v/>
      </c>
      <c r="BM98" s="33">
        <f>IF(OR(AV98="",AW98=""),"",AW98-AV98)</f>
        <v/>
      </c>
      <c r="BN98" s="33">
        <f>IF(OR(AW98="",AX98=""),"",AX98-AW98)</f>
        <v/>
      </c>
      <c r="BO98" s="33">
        <f>IF(OR(AX98="",BA98=""),"",BA98-AX98)</f>
        <v/>
      </c>
      <c r="BP98" s="33">
        <f>IF(OR(AV98="",BA98=""),"",BA98-AV98)</f>
        <v/>
      </c>
      <c r="BQ98" s="33">
        <f>IF(OR(BB98="",BD98=""),"",BD98-BB98)</f>
        <v/>
      </c>
      <c r="BR98" s="33">
        <f>IF(OR(AX98="",BD98=""),"",BD98-AX98)</f>
        <v/>
      </c>
      <c r="BS98" s="33">
        <f>IF(OR(AW98="",BD98=""),"",BD98-AW98)</f>
        <v/>
      </c>
      <c r="BT98" s="33">
        <f>IF(OR(AV98="",BD98=""),"",BD98-AV98)</f>
        <v/>
      </c>
      <c r="BU98" s="33">
        <f>IF(OR(AU98="",BD98=""),"",BD98-AU98)</f>
        <v/>
      </c>
      <c r="BV98" s="33">
        <f>IF(OR(BB98="",BG98=""),"",BG98-BB98)</f>
        <v/>
      </c>
      <c r="BW98" s="33">
        <f>IF(OR(BG98="",BH98=""),"",BH98-BG98)</f>
        <v/>
      </c>
      <c r="BX98" s="33">
        <f>IF(OR(BG98="",BI98=""),"",BI98-BG98)</f>
        <v/>
      </c>
      <c r="BY98" s="39">
        <f>IF(OR(AX98="",BK98=""),"",ROUND((BK98-AX98)/30.44,1))</f>
        <v/>
      </c>
      <c r="BZ98" s="37">
        <f>IF(BR98="","",IF(BR98&lt;=30,1,0))</f>
        <v/>
      </c>
      <c r="CA98" s="37">
        <f>IF(BR98="","",IF(BR98&gt;40.5,1,0))</f>
        <v/>
      </c>
      <c r="CB98" s="37">
        <f>IF(BR98="","",IF(BR98&gt;60,1,0))</f>
        <v/>
      </c>
      <c r="CC98" s="37">
        <f>IF(BR98="","",IF(BR98&gt;67,1,0))</f>
        <v/>
      </c>
      <c r="CD98" s="37">
        <f>IF(BT98="","",IF(BT98&lt;=30,1,0))</f>
        <v/>
      </c>
      <c r="CE98" s="37">
        <f>IF(BQ98="","",IF(BQ98&lt;=28,1,0))</f>
        <v/>
      </c>
      <c r="CF98" s="37">
        <f>IF(OR(BV98="",BE98&lt;&gt;"ניתוח"),"",IF(BV98&lt;=30,1,0))</f>
        <v/>
      </c>
      <c r="CG98" s="37">
        <f>IF(BU98="","",IF(BU98&lt;=56,1,0))</f>
        <v/>
      </c>
      <c r="CH98" s="37">
        <f>IF(BW98="","",IF(BW98&lt;=42,1,0))</f>
        <v/>
      </c>
      <c r="CI98" s="37">
        <f>IF(BX98="","",IF(BX98&lt;=100,1,0))</f>
        <v/>
      </c>
      <c r="CJ98" s="33">
        <f>IF(A98="","",COUNTIF(Delays!$B$5:$B$404,A98))</f>
        <v/>
      </c>
      <c r="CK98" s="35" t="n"/>
    </row>
    <row r="99">
      <c r="A99" s="33">
        <f>IF(OR(B99="",C99="",D99="",AX99=""),"","RET-"&amp;RIGHT(YEAR(AX99),2)&amp;"-"&amp;TEXT(B99,"000")&amp;"-"&amp;C99&amp;"-"&amp;D99&amp;"-"&amp;TEXT(MONTH(AX99),"00"))</f>
        <v/>
      </c>
      <c r="B99" s="34" t="n">
        <v>94</v>
      </c>
      <c r="C99" s="35" t="n"/>
      <c r="D99" s="35" t="n"/>
      <c r="E99" s="33">
        <f>IF(AX99="","",YEAR(AX99))</f>
        <v/>
      </c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6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7">
        <f>IF(Y99="","",IF(OR(Y99="III",Y99="IV",Y99="IVA",Y99="IVB",Y99="IVC"),1,0))</f>
        <v/>
      </c>
      <c r="AA99" s="35" t="n"/>
      <c r="AB99" s="35" t="n"/>
      <c r="AC99" s="35" t="n"/>
      <c r="AD99" s="35" t="n"/>
      <c r="AE99" s="35" t="n"/>
      <c r="AF99" s="35" t="n"/>
      <c r="AG99" s="35" t="n"/>
      <c r="AH99" s="35" t="n"/>
      <c r="AI99" s="35" t="n"/>
      <c r="AJ99" s="35" t="n"/>
      <c r="AK99" s="35" t="n"/>
      <c r="AL99" s="35" t="n"/>
      <c r="AM99" s="35" t="n"/>
      <c r="AN99" s="35" t="n"/>
      <c r="AO99" s="35" t="n"/>
      <c r="AP99" s="35" t="n"/>
      <c r="AQ99" s="35" t="n"/>
      <c r="AR99" s="35" t="n"/>
      <c r="AS99" s="35" t="n"/>
      <c r="AT99" s="35" t="n"/>
      <c r="AU99" s="38" t="n"/>
      <c r="AV99" s="38" t="n"/>
      <c r="AW99" s="38" t="n"/>
      <c r="AX99" s="38" t="n"/>
      <c r="AY99" s="38" t="n"/>
      <c r="AZ99" s="38" t="n"/>
      <c r="BA99" s="38" t="n"/>
      <c r="BB99" s="38" t="n"/>
      <c r="BC99" s="38" t="n"/>
      <c r="BD99" s="38" t="n"/>
      <c r="BE99" s="35" t="n"/>
      <c r="BF99" s="35" t="n"/>
      <c r="BG99" s="38" t="n"/>
      <c r="BH99" s="38" t="n"/>
      <c r="BI99" s="38" t="n"/>
      <c r="BJ99" s="35" t="n"/>
      <c r="BK99" s="38" t="n"/>
      <c r="BL99" s="33">
        <f>IF(OR(AU99="",AV99=""),"",AV99-AU99)</f>
        <v/>
      </c>
      <c r="BM99" s="33">
        <f>IF(OR(AV99="",AW99=""),"",AW99-AV99)</f>
        <v/>
      </c>
      <c r="BN99" s="33">
        <f>IF(OR(AW99="",AX99=""),"",AX99-AW99)</f>
        <v/>
      </c>
      <c r="BO99" s="33">
        <f>IF(OR(AX99="",BA99=""),"",BA99-AX99)</f>
        <v/>
      </c>
      <c r="BP99" s="33">
        <f>IF(OR(AV99="",BA99=""),"",BA99-AV99)</f>
        <v/>
      </c>
      <c r="BQ99" s="33">
        <f>IF(OR(BB99="",BD99=""),"",BD99-BB99)</f>
        <v/>
      </c>
      <c r="BR99" s="33">
        <f>IF(OR(AX99="",BD99=""),"",BD99-AX99)</f>
        <v/>
      </c>
      <c r="BS99" s="33">
        <f>IF(OR(AW99="",BD99=""),"",BD99-AW99)</f>
        <v/>
      </c>
      <c r="BT99" s="33">
        <f>IF(OR(AV99="",BD99=""),"",BD99-AV99)</f>
        <v/>
      </c>
      <c r="BU99" s="33">
        <f>IF(OR(AU99="",BD99=""),"",BD99-AU99)</f>
        <v/>
      </c>
      <c r="BV99" s="33">
        <f>IF(OR(BB99="",BG99=""),"",BG99-BB99)</f>
        <v/>
      </c>
      <c r="BW99" s="33">
        <f>IF(OR(BG99="",BH99=""),"",BH99-BG99)</f>
        <v/>
      </c>
      <c r="BX99" s="33">
        <f>IF(OR(BG99="",BI99=""),"",BI99-BG99)</f>
        <v/>
      </c>
      <c r="BY99" s="39">
        <f>IF(OR(AX99="",BK99=""),"",ROUND((BK99-AX99)/30.44,1))</f>
        <v/>
      </c>
      <c r="BZ99" s="37">
        <f>IF(BR99="","",IF(BR99&lt;=30,1,0))</f>
        <v/>
      </c>
      <c r="CA99" s="37">
        <f>IF(BR99="","",IF(BR99&gt;40.5,1,0))</f>
        <v/>
      </c>
      <c r="CB99" s="37">
        <f>IF(BR99="","",IF(BR99&gt;60,1,0))</f>
        <v/>
      </c>
      <c r="CC99" s="37">
        <f>IF(BR99="","",IF(BR99&gt;67,1,0))</f>
        <v/>
      </c>
      <c r="CD99" s="37">
        <f>IF(BT99="","",IF(BT99&lt;=30,1,0))</f>
        <v/>
      </c>
      <c r="CE99" s="37">
        <f>IF(BQ99="","",IF(BQ99&lt;=28,1,0))</f>
        <v/>
      </c>
      <c r="CF99" s="37">
        <f>IF(OR(BV99="",BE99&lt;&gt;"ניתוח"),"",IF(BV99&lt;=30,1,0))</f>
        <v/>
      </c>
      <c r="CG99" s="37">
        <f>IF(BU99="","",IF(BU99&lt;=56,1,0))</f>
        <v/>
      </c>
      <c r="CH99" s="37">
        <f>IF(BW99="","",IF(BW99&lt;=42,1,0))</f>
        <v/>
      </c>
      <c r="CI99" s="37">
        <f>IF(BX99="","",IF(BX99&lt;=100,1,0))</f>
        <v/>
      </c>
      <c r="CJ99" s="33">
        <f>IF(A99="","",COUNTIF(Delays!$B$5:$B$404,A99))</f>
        <v/>
      </c>
      <c r="CK99" s="35" t="n"/>
    </row>
    <row r="100">
      <c r="A100" s="33">
        <f>IF(OR(B100="",C100="",D100="",AX100=""),"","RET-"&amp;RIGHT(YEAR(AX100),2)&amp;"-"&amp;TEXT(B100,"000")&amp;"-"&amp;C100&amp;"-"&amp;D100&amp;"-"&amp;TEXT(MONTH(AX100),"00"))</f>
        <v/>
      </c>
      <c r="B100" s="34" t="n">
        <v>95</v>
      </c>
      <c r="C100" s="35" t="n"/>
      <c r="D100" s="35" t="n"/>
      <c r="E100" s="33">
        <f>IF(AX100="","",YEAR(AX100))</f>
        <v/>
      </c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6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7">
        <f>IF(Y100="","",IF(OR(Y100="III",Y100="IV",Y100="IVA",Y100="IVB",Y100="IVC"),1,0))</f>
        <v/>
      </c>
      <c r="AA100" s="35" t="n"/>
      <c r="AB100" s="35" t="n"/>
      <c r="AC100" s="35" t="n"/>
      <c r="AD100" s="35" t="n"/>
      <c r="AE100" s="35" t="n"/>
      <c r="AF100" s="35" t="n"/>
      <c r="AG100" s="35" t="n"/>
      <c r="AH100" s="35" t="n"/>
      <c r="AI100" s="35" t="n"/>
      <c r="AJ100" s="35" t="n"/>
      <c r="AK100" s="35" t="n"/>
      <c r="AL100" s="35" t="n"/>
      <c r="AM100" s="35" t="n"/>
      <c r="AN100" s="35" t="n"/>
      <c r="AO100" s="35" t="n"/>
      <c r="AP100" s="35" t="n"/>
      <c r="AQ100" s="35" t="n"/>
      <c r="AR100" s="35" t="n"/>
      <c r="AS100" s="35" t="n"/>
      <c r="AT100" s="35" t="n"/>
      <c r="AU100" s="38" t="n"/>
      <c r="AV100" s="38" t="n"/>
      <c r="AW100" s="38" t="n"/>
      <c r="AX100" s="38" t="n"/>
      <c r="AY100" s="38" t="n"/>
      <c r="AZ100" s="38" t="n"/>
      <c r="BA100" s="38" t="n"/>
      <c r="BB100" s="38" t="n"/>
      <c r="BC100" s="38" t="n"/>
      <c r="BD100" s="38" t="n"/>
      <c r="BE100" s="35" t="n"/>
      <c r="BF100" s="35" t="n"/>
      <c r="BG100" s="38" t="n"/>
      <c r="BH100" s="38" t="n"/>
      <c r="BI100" s="38" t="n"/>
      <c r="BJ100" s="35" t="n"/>
      <c r="BK100" s="38" t="n"/>
      <c r="BL100" s="33">
        <f>IF(OR(AU100="",AV100=""),"",AV100-AU100)</f>
        <v/>
      </c>
      <c r="BM100" s="33">
        <f>IF(OR(AV100="",AW100=""),"",AW100-AV100)</f>
        <v/>
      </c>
      <c r="BN100" s="33">
        <f>IF(OR(AW100="",AX100=""),"",AX100-AW100)</f>
        <v/>
      </c>
      <c r="BO100" s="33">
        <f>IF(OR(AX100="",BA100=""),"",BA100-AX100)</f>
        <v/>
      </c>
      <c r="BP100" s="33">
        <f>IF(OR(AV100="",BA100=""),"",BA100-AV100)</f>
        <v/>
      </c>
      <c r="BQ100" s="33">
        <f>IF(OR(BB100="",BD100=""),"",BD100-BB100)</f>
        <v/>
      </c>
      <c r="BR100" s="33">
        <f>IF(OR(AX100="",BD100=""),"",BD100-AX100)</f>
        <v/>
      </c>
      <c r="BS100" s="33">
        <f>IF(OR(AW100="",BD100=""),"",BD100-AW100)</f>
        <v/>
      </c>
      <c r="BT100" s="33">
        <f>IF(OR(AV100="",BD100=""),"",BD100-AV100)</f>
        <v/>
      </c>
      <c r="BU100" s="33">
        <f>IF(OR(AU100="",BD100=""),"",BD100-AU100)</f>
        <v/>
      </c>
      <c r="BV100" s="33">
        <f>IF(OR(BB100="",BG100=""),"",BG100-BB100)</f>
        <v/>
      </c>
      <c r="BW100" s="33">
        <f>IF(OR(BG100="",BH100=""),"",BH100-BG100)</f>
        <v/>
      </c>
      <c r="BX100" s="33">
        <f>IF(OR(BG100="",BI100=""),"",BI100-BG100)</f>
        <v/>
      </c>
      <c r="BY100" s="39">
        <f>IF(OR(AX100="",BK100=""),"",ROUND((BK100-AX100)/30.44,1))</f>
        <v/>
      </c>
      <c r="BZ100" s="37">
        <f>IF(BR100="","",IF(BR100&lt;=30,1,0))</f>
        <v/>
      </c>
      <c r="CA100" s="37">
        <f>IF(BR100="","",IF(BR100&gt;40.5,1,0))</f>
        <v/>
      </c>
      <c r="CB100" s="37">
        <f>IF(BR100="","",IF(BR100&gt;60,1,0))</f>
        <v/>
      </c>
      <c r="CC100" s="37">
        <f>IF(BR100="","",IF(BR100&gt;67,1,0))</f>
        <v/>
      </c>
      <c r="CD100" s="37">
        <f>IF(BT100="","",IF(BT100&lt;=30,1,0))</f>
        <v/>
      </c>
      <c r="CE100" s="37">
        <f>IF(BQ100="","",IF(BQ100&lt;=28,1,0))</f>
        <v/>
      </c>
      <c r="CF100" s="37">
        <f>IF(OR(BV100="",BE100&lt;&gt;"ניתוח"),"",IF(BV100&lt;=30,1,0))</f>
        <v/>
      </c>
      <c r="CG100" s="37">
        <f>IF(BU100="","",IF(BU100&lt;=56,1,0))</f>
        <v/>
      </c>
      <c r="CH100" s="37">
        <f>IF(BW100="","",IF(BW100&lt;=42,1,0))</f>
        <v/>
      </c>
      <c r="CI100" s="37">
        <f>IF(BX100="","",IF(BX100&lt;=100,1,0))</f>
        <v/>
      </c>
      <c r="CJ100" s="33">
        <f>IF(A100="","",COUNTIF(Delays!$B$5:$B$404,A100))</f>
        <v/>
      </c>
      <c r="CK100" s="35" t="n"/>
    </row>
    <row r="101">
      <c r="A101" s="33">
        <f>IF(OR(B101="",C101="",D101="",AX101=""),"","RET-"&amp;RIGHT(YEAR(AX101),2)&amp;"-"&amp;TEXT(B101,"000")&amp;"-"&amp;C101&amp;"-"&amp;D101&amp;"-"&amp;TEXT(MONTH(AX101),"00"))</f>
        <v/>
      </c>
      <c r="B101" s="34" t="n">
        <v>96</v>
      </c>
      <c r="C101" s="35" t="n"/>
      <c r="D101" s="35" t="n"/>
      <c r="E101" s="33">
        <f>IF(AX101="","",YEAR(AX101))</f>
        <v/>
      </c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6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7">
        <f>IF(Y101="","",IF(OR(Y101="III",Y101="IV",Y101="IVA",Y101="IVB",Y101="IVC"),1,0))</f>
        <v/>
      </c>
      <c r="AA101" s="35" t="n"/>
      <c r="AB101" s="35" t="n"/>
      <c r="AC101" s="35" t="n"/>
      <c r="AD101" s="35" t="n"/>
      <c r="AE101" s="35" t="n"/>
      <c r="AF101" s="35" t="n"/>
      <c r="AG101" s="35" t="n"/>
      <c r="AH101" s="35" t="n"/>
      <c r="AI101" s="35" t="n"/>
      <c r="AJ101" s="35" t="n"/>
      <c r="AK101" s="35" t="n"/>
      <c r="AL101" s="35" t="n"/>
      <c r="AM101" s="35" t="n"/>
      <c r="AN101" s="35" t="n"/>
      <c r="AO101" s="35" t="n"/>
      <c r="AP101" s="35" t="n"/>
      <c r="AQ101" s="35" t="n"/>
      <c r="AR101" s="35" t="n"/>
      <c r="AS101" s="35" t="n"/>
      <c r="AT101" s="35" t="n"/>
      <c r="AU101" s="38" t="n"/>
      <c r="AV101" s="38" t="n"/>
      <c r="AW101" s="38" t="n"/>
      <c r="AX101" s="38" t="n"/>
      <c r="AY101" s="38" t="n"/>
      <c r="AZ101" s="38" t="n"/>
      <c r="BA101" s="38" t="n"/>
      <c r="BB101" s="38" t="n"/>
      <c r="BC101" s="38" t="n"/>
      <c r="BD101" s="38" t="n"/>
      <c r="BE101" s="35" t="n"/>
      <c r="BF101" s="35" t="n"/>
      <c r="BG101" s="38" t="n"/>
      <c r="BH101" s="38" t="n"/>
      <c r="BI101" s="38" t="n"/>
      <c r="BJ101" s="35" t="n"/>
      <c r="BK101" s="38" t="n"/>
      <c r="BL101" s="33">
        <f>IF(OR(AU101="",AV101=""),"",AV101-AU101)</f>
        <v/>
      </c>
      <c r="BM101" s="33">
        <f>IF(OR(AV101="",AW101=""),"",AW101-AV101)</f>
        <v/>
      </c>
      <c r="BN101" s="33">
        <f>IF(OR(AW101="",AX101=""),"",AX101-AW101)</f>
        <v/>
      </c>
      <c r="BO101" s="33">
        <f>IF(OR(AX101="",BA101=""),"",BA101-AX101)</f>
        <v/>
      </c>
      <c r="BP101" s="33">
        <f>IF(OR(AV101="",BA101=""),"",BA101-AV101)</f>
        <v/>
      </c>
      <c r="BQ101" s="33">
        <f>IF(OR(BB101="",BD101=""),"",BD101-BB101)</f>
        <v/>
      </c>
      <c r="BR101" s="33">
        <f>IF(OR(AX101="",BD101=""),"",BD101-AX101)</f>
        <v/>
      </c>
      <c r="BS101" s="33">
        <f>IF(OR(AW101="",BD101=""),"",BD101-AW101)</f>
        <v/>
      </c>
      <c r="BT101" s="33">
        <f>IF(OR(AV101="",BD101=""),"",BD101-AV101)</f>
        <v/>
      </c>
      <c r="BU101" s="33">
        <f>IF(OR(AU101="",BD101=""),"",BD101-AU101)</f>
        <v/>
      </c>
      <c r="BV101" s="33">
        <f>IF(OR(BB101="",BG101=""),"",BG101-BB101)</f>
        <v/>
      </c>
      <c r="BW101" s="33">
        <f>IF(OR(BG101="",BH101=""),"",BH101-BG101)</f>
        <v/>
      </c>
      <c r="BX101" s="33">
        <f>IF(OR(BG101="",BI101=""),"",BI101-BG101)</f>
        <v/>
      </c>
      <c r="BY101" s="39">
        <f>IF(OR(AX101="",BK101=""),"",ROUND((BK101-AX101)/30.44,1))</f>
        <v/>
      </c>
      <c r="BZ101" s="37">
        <f>IF(BR101="","",IF(BR101&lt;=30,1,0))</f>
        <v/>
      </c>
      <c r="CA101" s="37">
        <f>IF(BR101="","",IF(BR101&gt;40.5,1,0))</f>
        <v/>
      </c>
      <c r="CB101" s="37">
        <f>IF(BR101="","",IF(BR101&gt;60,1,0))</f>
        <v/>
      </c>
      <c r="CC101" s="37">
        <f>IF(BR101="","",IF(BR101&gt;67,1,0))</f>
        <v/>
      </c>
      <c r="CD101" s="37">
        <f>IF(BT101="","",IF(BT101&lt;=30,1,0))</f>
        <v/>
      </c>
      <c r="CE101" s="37">
        <f>IF(BQ101="","",IF(BQ101&lt;=28,1,0))</f>
        <v/>
      </c>
      <c r="CF101" s="37">
        <f>IF(OR(BV101="",BE101&lt;&gt;"ניתוח"),"",IF(BV101&lt;=30,1,0))</f>
        <v/>
      </c>
      <c r="CG101" s="37">
        <f>IF(BU101="","",IF(BU101&lt;=56,1,0))</f>
        <v/>
      </c>
      <c r="CH101" s="37">
        <f>IF(BW101="","",IF(BW101&lt;=42,1,0))</f>
        <v/>
      </c>
      <c r="CI101" s="37">
        <f>IF(BX101="","",IF(BX101&lt;=100,1,0))</f>
        <v/>
      </c>
      <c r="CJ101" s="33">
        <f>IF(A101="","",COUNTIF(Delays!$B$5:$B$404,A101))</f>
        <v/>
      </c>
      <c r="CK101" s="35" t="n"/>
    </row>
    <row r="102">
      <c r="A102" s="33">
        <f>IF(OR(B102="",C102="",D102="",AX102=""),"","RET-"&amp;RIGHT(YEAR(AX102),2)&amp;"-"&amp;TEXT(B102,"000")&amp;"-"&amp;C102&amp;"-"&amp;D102&amp;"-"&amp;TEXT(MONTH(AX102),"00"))</f>
        <v/>
      </c>
      <c r="B102" s="34" t="n">
        <v>97</v>
      </c>
      <c r="C102" s="35" t="n"/>
      <c r="D102" s="35" t="n"/>
      <c r="E102" s="33">
        <f>IF(AX102="","",YEAR(AX102))</f>
        <v/>
      </c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6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7">
        <f>IF(Y102="","",IF(OR(Y102="III",Y102="IV",Y102="IVA",Y102="IVB",Y102="IVC"),1,0))</f>
        <v/>
      </c>
      <c r="AA102" s="35" t="n"/>
      <c r="AB102" s="35" t="n"/>
      <c r="AC102" s="35" t="n"/>
      <c r="AD102" s="35" t="n"/>
      <c r="AE102" s="35" t="n"/>
      <c r="AF102" s="35" t="n"/>
      <c r="AG102" s="35" t="n"/>
      <c r="AH102" s="35" t="n"/>
      <c r="AI102" s="35" t="n"/>
      <c r="AJ102" s="35" t="n"/>
      <c r="AK102" s="35" t="n"/>
      <c r="AL102" s="35" t="n"/>
      <c r="AM102" s="35" t="n"/>
      <c r="AN102" s="35" t="n"/>
      <c r="AO102" s="35" t="n"/>
      <c r="AP102" s="35" t="n"/>
      <c r="AQ102" s="35" t="n"/>
      <c r="AR102" s="35" t="n"/>
      <c r="AS102" s="35" t="n"/>
      <c r="AT102" s="35" t="n"/>
      <c r="AU102" s="38" t="n"/>
      <c r="AV102" s="38" t="n"/>
      <c r="AW102" s="38" t="n"/>
      <c r="AX102" s="38" t="n"/>
      <c r="AY102" s="38" t="n"/>
      <c r="AZ102" s="38" t="n"/>
      <c r="BA102" s="38" t="n"/>
      <c r="BB102" s="38" t="n"/>
      <c r="BC102" s="38" t="n"/>
      <c r="BD102" s="38" t="n"/>
      <c r="BE102" s="35" t="n"/>
      <c r="BF102" s="35" t="n"/>
      <c r="BG102" s="38" t="n"/>
      <c r="BH102" s="38" t="n"/>
      <c r="BI102" s="38" t="n"/>
      <c r="BJ102" s="35" t="n"/>
      <c r="BK102" s="38" t="n"/>
      <c r="BL102" s="33">
        <f>IF(OR(AU102="",AV102=""),"",AV102-AU102)</f>
        <v/>
      </c>
      <c r="BM102" s="33">
        <f>IF(OR(AV102="",AW102=""),"",AW102-AV102)</f>
        <v/>
      </c>
      <c r="BN102" s="33">
        <f>IF(OR(AW102="",AX102=""),"",AX102-AW102)</f>
        <v/>
      </c>
      <c r="BO102" s="33">
        <f>IF(OR(AX102="",BA102=""),"",BA102-AX102)</f>
        <v/>
      </c>
      <c r="BP102" s="33">
        <f>IF(OR(AV102="",BA102=""),"",BA102-AV102)</f>
        <v/>
      </c>
      <c r="BQ102" s="33">
        <f>IF(OR(BB102="",BD102=""),"",BD102-BB102)</f>
        <v/>
      </c>
      <c r="BR102" s="33">
        <f>IF(OR(AX102="",BD102=""),"",BD102-AX102)</f>
        <v/>
      </c>
      <c r="BS102" s="33">
        <f>IF(OR(AW102="",BD102=""),"",BD102-AW102)</f>
        <v/>
      </c>
      <c r="BT102" s="33">
        <f>IF(OR(AV102="",BD102=""),"",BD102-AV102)</f>
        <v/>
      </c>
      <c r="BU102" s="33">
        <f>IF(OR(AU102="",BD102=""),"",BD102-AU102)</f>
        <v/>
      </c>
      <c r="BV102" s="33">
        <f>IF(OR(BB102="",BG102=""),"",BG102-BB102)</f>
        <v/>
      </c>
      <c r="BW102" s="33">
        <f>IF(OR(BG102="",BH102=""),"",BH102-BG102)</f>
        <v/>
      </c>
      <c r="BX102" s="33">
        <f>IF(OR(BG102="",BI102=""),"",BI102-BG102)</f>
        <v/>
      </c>
      <c r="BY102" s="39">
        <f>IF(OR(AX102="",BK102=""),"",ROUND((BK102-AX102)/30.44,1))</f>
        <v/>
      </c>
      <c r="BZ102" s="37">
        <f>IF(BR102="","",IF(BR102&lt;=30,1,0))</f>
        <v/>
      </c>
      <c r="CA102" s="37">
        <f>IF(BR102="","",IF(BR102&gt;40.5,1,0))</f>
        <v/>
      </c>
      <c r="CB102" s="37">
        <f>IF(BR102="","",IF(BR102&gt;60,1,0))</f>
        <v/>
      </c>
      <c r="CC102" s="37">
        <f>IF(BR102="","",IF(BR102&gt;67,1,0))</f>
        <v/>
      </c>
      <c r="CD102" s="37">
        <f>IF(BT102="","",IF(BT102&lt;=30,1,0))</f>
        <v/>
      </c>
      <c r="CE102" s="37">
        <f>IF(BQ102="","",IF(BQ102&lt;=28,1,0))</f>
        <v/>
      </c>
      <c r="CF102" s="37">
        <f>IF(OR(BV102="",BE102&lt;&gt;"ניתוח"),"",IF(BV102&lt;=30,1,0))</f>
        <v/>
      </c>
      <c r="CG102" s="37">
        <f>IF(BU102="","",IF(BU102&lt;=56,1,0))</f>
        <v/>
      </c>
      <c r="CH102" s="37">
        <f>IF(BW102="","",IF(BW102&lt;=42,1,0))</f>
        <v/>
      </c>
      <c r="CI102" s="37">
        <f>IF(BX102="","",IF(BX102&lt;=100,1,0))</f>
        <v/>
      </c>
      <c r="CJ102" s="33">
        <f>IF(A102="","",COUNTIF(Delays!$B$5:$B$404,A102))</f>
        <v/>
      </c>
      <c r="CK102" s="35" t="n"/>
    </row>
    <row r="103">
      <c r="A103" s="33">
        <f>IF(OR(B103="",C103="",D103="",AX103=""),"","RET-"&amp;RIGHT(YEAR(AX103),2)&amp;"-"&amp;TEXT(B103,"000")&amp;"-"&amp;C103&amp;"-"&amp;D103&amp;"-"&amp;TEXT(MONTH(AX103),"00"))</f>
        <v/>
      </c>
      <c r="B103" s="34" t="n">
        <v>98</v>
      </c>
      <c r="C103" s="35" t="n"/>
      <c r="D103" s="35" t="n"/>
      <c r="E103" s="33">
        <f>IF(AX103="","",YEAR(AX103))</f>
        <v/>
      </c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6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7">
        <f>IF(Y103="","",IF(OR(Y103="III",Y103="IV",Y103="IVA",Y103="IVB",Y103="IVC"),1,0))</f>
        <v/>
      </c>
      <c r="AA103" s="35" t="n"/>
      <c r="AB103" s="35" t="n"/>
      <c r="AC103" s="35" t="n"/>
      <c r="AD103" s="35" t="n"/>
      <c r="AE103" s="35" t="n"/>
      <c r="AF103" s="35" t="n"/>
      <c r="AG103" s="35" t="n"/>
      <c r="AH103" s="35" t="n"/>
      <c r="AI103" s="35" t="n"/>
      <c r="AJ103" s="35" t="n"/>
      <c r="AK103" s="35" t="n"/>
      <c r="AL103" s="35" t="n"/>
      <c r="AM103" s="35" t="n"/>
      <c r="AN103" s="35" t="n"/>
      <c r="AO103" s="35" t="n"/>
      <c r="AP103" s="35" t="n"/>
      <c r="AQ103" s="35" t="n"/>
      <c r="AR103" s="35" t="n"/>
      <c r="AS103" s="35" t="n"/>
      <c r="AT103" s="35" t="n"/>
      <c r="AU103" s="38" t="n"/>
      <c r="AV103" s="38" t="n"/>
      <c r="AW103" s="38" t="n"/>
      <c r="AX103" s="38" t="n"/>
      <c r="AY103" s="38" t="n"/>
      <c r="AZ103" s="38" t="n"/>
      <c r="BA103" s="38" t="n"/>
      <c r="BB103" s="38" t="n"/>
      <c r="BC103" s="38" t="n"/>
      <c r="BD103" s="38" t="n"/>
      <c r="BE103" s="35" t="n"/>
      <c r="BF103" s="35" t="n"/>
      <c r="BG103" s="38" t="n"/>
      <c r="BH103" s="38" t="n"/>
      <c r="BI103" s="38" t="n"/>
      <c r="BJ103" s="35" t="n"/>
      <c r="BK103" s="38" t="n"/>
      <c r="BL103" s="33">
        <f>IF(OR(AU103="",AV103=""),"",AV103-AU103)</f>
        <v/>
      </c>
      <c r="BM103" s="33">
        <f>IF(OR(AV103="",AW103=""),"",AW103-AV103)</f>
        <v/>
      </c>
      <c r="BN103" s="33">
        <f>IF(OR(AW103="",AX103=""),"",AX103-AW103)</f>
        <v/>
      </c>
      <c r="BO103" s="33">
        <f>IF(OR(AX103="",BA103=""),"",BA103-AX103)</f>
        <v/>
      </c>
      <c r="BP103" s="33">
        <f>IF(OR(AV103="",BA103=""),"",BA103-AV103)</f>
        <v/>
      </c>
      <c r="BQ103" s="33">
        <f>IF(OR(BB103="",BD103=""),"",BD103-BB103)</f>
        <v/>
      </c>
      <c r="BR103" s="33">
        <f>IF(OR(AX103="",BD103=""),"",BD103-AX103)</f>
        <v/>
      </c>
      <c r="BS103" s="33">
        <f>IF(OR(AW103="",BD103=""),"",BD103-AW103)</f>
        <v/>
      </c>
      <c r="BT103" s="33">
        <f>IF(OR(AV103="",BD103=""),"",BD103-AV103)</f>
        <v/>
      </c>
      <c r="BU103" s="33">
        <f>IF(OR(AU103="",BD103=""),"",BD103-AU103)</f>
        <v/>
      </c>
      <c r="BV103" s="33">
        <f>IF(OR(BB103="",BG103=""),"",BG103-BB103)</f>
        <v/>
      </c>
      <c r="BW103" s="33">
        <f>IF(OR(BG103="",BH103=""),"",BH103-BG103)</f>
        <v/>
      </c>
      <c r="BX103" s="33">
        <f>IF(OR(BG103="",BI103=""),"",BI103-BG103)</f>
        <v/>
      </c>
      <c r="BY103" s="39">
        <f>IF(OR(AX103="",BK103=""),"",ROUND((BK103-AX103)/30.44,1))</f>
        <v/>
      </c>
      <c r="BZ103" s="37">
        <f>IF(BR103="","",IF(BR103&lt;=30,1,0))</f>
        <v/>
      </c>
      <c r="CA103" s="37">
        <f>IF(BR103="","",IF(BR103&gt;40.5,1,0))</f>
        <v/>
      </c>
      <c r="CB103" s="37">
        <f>IF(BR103="","",IF(BR103&gt;60,1,0))</f>
        <v/>
      </c>
      <c r="CC103" s="37">
        <f>IF(BR103="","",IF(BR103&gt;67,1,0))</f>
        <v/>
      </c>
      <c r="CD103" s="37">
        <f>IF(BT103="","",IF(BT103&lt;=30,1,0))</f>
        <v/>
      </c>
      <c r="CE103" s="37">
        <f>IF(BQ103="","",IF(BQ103&lt;=28,1,0))</f>
        <v/>
      </c>
      <c r="CF103" s="37">
        <f>IF(OR(BV103="",BE103&lt;&gt;"ניתוח"),"",IF(BV103&lt;=30,1,0))</f>
        <v/>
      </c>
      <c r="CG103" s="37">
        <f>IF(BU103="","",IF(BU103&lt;=56,1,0))</f>
        <v/>
      </c>
      <c r="CH103" s="37">
        <f>IF(BW103="","",IF(BW103&lt;=42,1,0))</f>
        <v/>
      </c>
      <c r="CI103" s="37">
        <f>IF(BX103="","",IF(BX103&lt;=100,1,0))</f>
        <v/>
      </c>
      <c r="CJ103" s="33">
        <f>IF(A103="","",COUNTIF(Delays!$B$5:$B$404,A103))</f>
        <v/>
      </c>
      <c r="CK103" s="35" t="n"/>
    </row>
    <row r="104">
      <c r="A104" s="33">
        <f>IF(OR(B104="",C104="",D104="",AX104=""),"","RET-"&amp;RIGHT(YEAR(AX104),2)&amp;"-"&amp;TEXT(B104,"000")&amp;"-"&amp;C104&amp;"-"&amp;D104&amp;"-"&amp;TEXT(MONTH(AX104),"00"))</f>
        <v/>
      </c>
      <c r="B104" s="34" t="n">
        <v>99</v>
      </c>
      <c r="C104" s="35" t="n"/>
      <c r="D104" s="35" t="n"/>
      <c r="E104" s="33">
        <f>IF(AX104="","",YEAR(AX104))</f>
        <v/>
      </c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6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7">
        <f>IF(Y104="","",IF(OR(Y104="III",Y104="IV",Y104="IVA",Y104="IVB",Y104="IVC"),1,0))</f>
        <v/>
      </c>
      <c r="AA104" s="35" t="n"/>
      <c r="AB104" s="35" t="n"/>
      <c r="AC104" s="35" t="n"/>
      <c r="AD104" s="35" t="n"/>
      <c r="AE104" s="35" t="n"/>
      <c r="AF104" s="35" t="n"/>
      <c r="AG104" s="35" t="n"/>
      <c r="AH104" s="35" t="n"/>
      <c r="AI104" s="35" t="n"/>
      <c r="AJ104" s="35" t="n"/>
      <c r="AK104" s="35" t="n"/>
      <c r="AL104" s="35" t="n"/>
      <c r="AM104" s="35" t="n"/>
      <c r="AN104" s="35" t="n"/>
      <c r="AO104" s="35" t="n"/>
      <c r="AP104" s="35" t="n"/>
      <c r="AQ104" s="35" t="n"/>
      <c r="AR104" s="35" t="n"/>
      <c r="AS104" s="35" t="n"/>
      <c r="AT104" s="35" t="n"/>
      <c r="AU104" s="38" t="n"/>
      <c r="AV104" s="38" t="n"/>
      <c r="AW104" s="38" t="n"/>
      <c r="AX104" s="38" t="n"/>
      <c r="AY104" s="38" t="n"/>
      <c r="AZ104" s="38" t="n"/>
      <c r="BA104" s="38" t="n"/>
      <c r="BB104" s="38" t="n"/>
      <c r="BC104" s="38" t="n"/>
      <c r="BD104" s="38" t="n"/>
      <c r="BE104" s="35" t="n"/>
      <c r="BF104" s="35" t="n"/>
      <c r="BG104" s="38" t="n"/>
      <c r="BH104" s="38" t="n"/>
      <c r="BI104" s="38" t="n"/>
      <c r="BJ104" s="35" t="n"/>
      <c r="BK104" s="38" t="n"/>
      <c r="BL104" s="33">
        <f>IF(OR(AU104="",AV104=""),"",AV104-AU104)</f>
        <v/>
      </c>
      <c r="BM104" s="33">
        <f>IF(OR(AV104="",AW104=""),"",AW104-AV104)</f>
        <v/>
      </c>
      <c r="BN104" s="33">
        <f>IF(OR(AW104="",AX104=""),"",AX104-AW104)</f>
        <v/>
      </c>
      <c r="BO104" s="33">
        <f>IF(OR(AX104="",BA104=""),"",BA104-AX104)</f>
        <v/>
      </c>
      <c r="BP104" s="33">
        <f>IF(OR(AV104="",BA104=""),"",BA104-AV104)</f>
        <v/>
      </c>
      <c r="BQ104" s="33">
        <f>IF(OR(BB104="",BD104=""),"",BD104-BB104)</f>
        <v/>
      </c>
      <c r="BR104" s="33">
        <f>IF(OR(AX104="",BD104=""),"",BD104-AX104)</f>
        <v/>
      </c>
      <c r="BS104" s="33">
        <f>IF(OR(AW104="",BD104=""),"",BD104-AW104)</f>
        <v/>
      </c>
      <c r="BT104" s="33">
        <f>IF(OR(AV104="",BD104=""),"",BD104-AV104)</f>
        <v/>
      </c>
      <c r="BU104" s="33">
        <f>IF(OR(AU104="",BD104=""),"",BD104-AU104)</f>
        <v/>
      </c>
      <c r="BV104" s="33">
        <f>IF(OR(BB104="",BG104=""),"",BG104-BB104)</f>
        <v/>
      </c>
      <c r="BW104" s="33">
        <f>IF(OR(BG104="",BH104=""),"",BH104-BG104)</f>
        <v/>
      </c>
      <c r="BX104" s="33">
        <f>IF(OR(BG104="",BI104=""),"",BI104-BG104)</f>
        <v/>
      </c>
      <c r="BY104" s="39">
        <f>IF(OR(AX104="",BK104=""),"",ROUND((BK104-AX104)/30.44,1))</f>
        <v/>
      </c>
      <c r="BZ104" s="37">
        <f>IF(BR104="","",IF(BR104&lt;=30,1,0))</f>
        <v/>
      </c>
      <c r="CA104" s="37">
        <f>IF(BR104="","",IF(BR104&gt;40.5,1,0))</f>
        <v/>
      </c>
      <c r="CB104" s="37">
        <f>IF(BR104="","",IF(BR104&gt;60,1,0))</f>
        <v/>
      </c>
      <c r="CC104" s="37">
        <f>IF(BR104="","",IF(BR104&gt;67,1,0))</f>
        <v/>
      </c>
      <c r="CD104" s="37">
        <f>IF(BT104="","",IF(BT104&lt;=30,1,0))</f>
        <v/>
      </c>
      <c r="CE104" s="37">
        <f>IF(BQ104="","",IF(BQ104&lt;=28,1,0))</f>
        <v/>
      </c>
      <c r="CF104" s="37">
        <f>IF(OR(BV104="",BE104&lt;&gt;"ניתוח"),"",IF(BV104&lt;=30,1,0))</f>
        <v/>
      </c>
      <c r="CG104" s="37">
        <f>IF(BU104="","",IF(BU104&lt;=56,1,0))</f>
        <v/>
      </c>
      <c r="CH104" s="37">
        <f>IF(BW104="","",IF(BW104&lt;=42,1,0))</f>
        <v/>
      </c>
      <c r="CI104" s="37">
        <f>IF(BX104="","",IF(BX104&lt;=100,1,0))</f>
        <v/>
      </c>
      <c r="CJ104" s="33">
        <f>IF(A104="","",COUNTIF(Delays!$B$5:$B$404,A104))</f>
        <v/>
      </c>
      <c r="CK104" s="35" t="n"/>
    </row>
    <row r="105">
      <c r="A105" s="33">
        <f>IF(OR(B105="",C105="",D105="",AX105=""),"","RET-"&amp;RIGHT(YEAR(AX105),2)&amp;"-"&amp;TEXT(B105,"000")&amp;"-"&amp;C105&amp;"-"&amp;D105&amp;"-"&amp;TEXT(MONTH(AX105),"00"))</f>
        <v/>
      </c>
      <c r="B105" s="34" t="n">
        <v>100</v>
      </c>
      <c r="C105" s="35" t="n"/>
      <c r="D105" s="35" t="n"/>
      <c r="E105" s="33">
        <f>IF(AX105="","",YEAR(AX105))</f>
        <v/>
      </c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6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7">
        <f>IF(Y105="","",IF(OR(Y105="III",Y105="IV",Y105="IVA",Y105="IVB",Y105="IVC"),1,0))</f>
        <v/>
      </c>
      <c r="AA105" s="35" t="n"/>
      <c r="AB105" s="35" t="n"/>
      <c r="AC105" s="35" t="n"/>
      <c r="AD105" s="35" t="n"/>
      <c r="AE105" s="35" t="n"/>
      <c r="AF105" s="35" t="n"/>
      <c r="AG105" s="35" t="n"/>
      <c r="AH105" s="35" t="n"/>
      <c r="AI105" s="35" t="n"/>
      <c r="AJ105" s="35" t="n"/>
      <c r="AK105" s="35" t="n"/>
      <c r="AL105" s="35" t="n"/>
      <c r="AM105" s="35" t="n"/>
      <c r="AN105" s="35" t="n"/>
      <c r="AO105" s="35" t="n"/>
      <c r="AP105" s="35" t="n"/>
      <c r="AQ105" s="35" t="n"/>
      <c r="AR105" s="35" t="n"/>
      <c r="AS105" s="35" t="n"/>
      <c r="AT105" s="35" t="n"/>
      <c r="AU105" s="38" t="n"/>
      <c r="AV105" s="38" t="n"/>
      <c r="AW105" s="38" t="n"/>
      <c r="AX105" s="38" t="n"/>
      <c r="AY105" s="38" t="n"/>
      <c r="AZ105" s="38" t="n"/>
      <c r="BA105" s="38" t="n"/>
      <c r="BB105" s="38" t="n"/>
      <c r="BC105" s="38" t="n"/>
      <c r="BD105" s="38" t="n"/>
      <c r="BE105" s="35" t="n"/>
      <c r="BF105" s="35" t="n"/>
      <c r="BG105" s="38" t="n"/>
      <c r="BH105" s="38" t="n"/>
      <c r="BI105" s="38" t="n"/>
      <c r="BJ105" s="35" t="n"/>
      <c r="BK105" s="38" t="n"/>
      <c r="BL105" s="33">
        <f>IF(OR(AU105="",AV105=""),"",AV105-AU105)</f>
        <v/>
      </c>
      <c r="BM105" s="33">
        <f>IF(OR(AV105="",AW105=""),"",AW105-AV105)</f>
        <v/>
      </c>
      <c r="BN105" s="33">
        <f>IF(OR(AW105="",AX105=""),"",AX105-AW105)</f>
        <v/>
      </c>
      <c r="BO105" s="33">
        <f>IF(OR(AX105="",BA105=""),"",BA105-AX105)</f>
        <v/>
      </c>
      <c r="BP105" s="33">
        <f>IF(OR(AV105="",BA105=""),"",BA105-AV105)</f>
        <v/>
      </c>
      <c r="BQ105" s="33">
        <f>IF(OR(BB105="",BD105=""),"",BD105-BB105)</f>
        <v/>
      </c>
      <c r="BR105" s="33">
        <f>IF(OR(AX105="",BD105=""),"",BD105-AX105)</f>
        <v/>
      </c>
      <c r="BS105" s="33">
        <f>IF(OR(AW105="",BD105=""),"",BD105-AW105)</f>
        <v/>
      </c>
      <c r="BT105" s="33">
        <f>IF(OR(AV105="",BD105=""),"",BD105-AV105)</f>
        <v/>
      </c>
      <c r="BU105" s="33">
        <f>IF(OR(AU105="",BD105=""),"",BD105-AU105)</f>
        <v/>
      </c>
      <c r="BV105" s="33">
        <f>IF(OR(BB105="",BG105=""),"",BG105-BB105)</f>
        <v/>
      </c>
      <c r="BW105" s="33">
        <f>IF(OR(BG105="",BH105=""),"",BH105-BG105)</f>
        <v/>
      </c>
      <c r="BX105" s="33">
        <f>IF(OR(BG105="",BI105=""),"",BI105-BG105)</f>
        <v/>
      </c>
      <c r="BY105" s="39">
        <f>IF(OR(AX105="",BK105=""),"",ROUND((BK105-AX105)/30.44,1))</f>
        <v/>
      </c>
      <c r="BZ105" s="37">
        <f>IF(BR105="","",IF(BR105&lt;=30,1,0))</f>
        <v/>
      </c>
      <c r="CA105" s="37">
        <f>IF(BR105="","",IF(BR105&gt;40.5,1,0))</f>
        <v/>
      </c>
      <c r="CB105" s="37">
        <f>IF(BR105="","",IF(BR105&gt;60,1,0))</f>
        <v/>
      </c>
      <c r="CC105" s="37">
        <f>IF(BR105="","",IF(BR105&gt;67,1,0))</f>
        <v/>
      </c>
      <c r="CD105" s="37">
        <f>IF(BT105="","",IF(BT105&lt;=30,1,0))</f>
        <v/>
      </c>
      <c r="CE105" s="37">
        <f>IF(BQ105="","",IF(BQ105&lt;=28,1,0))</f>
        <v/>
      </c>
      <c r="CF105" s="37">
        <f>IF(OR(BV105="",BE105&lt;&gt;"ניתוח"),"",IF(BV105&lt;=30,1,0))</f>
        <v/>
      </c>
      <c r="CG105" s="37">
        <f>IF(BU105="","",IF(BU105&lt;=56,1,0))</f>
        <v/>
      </c>
      <c r="CH105" s="37">
        <f>IF(BW105="","",IF(BW105&lt;=42,1,0))</f>
        <v/>
      </c>
      <c r="CI105" s="37">
        <f>IF(BX105="","",IF(BX105&lt;=100,1,0))</f>
        <v/>
      </c>
      <c r="CJ105" s="33">
        <f>IF(A105="","",COUNTIF(Delays!$B$5:$B$404,A105))</f>
        <v/>
      </c>
      <c r="CK105" s="35" t="n"/>
    </row>
    <row r="106">
      <c r="A106" s="33">
        <f>IF(OR(B106="",C106="",D106="",AX106=""),"","RET-"&amp;RIGHT(YEAR(AX106),2)&amp;"-"&amp;TEXT(B106,"000")&amp;"-"&amp;C106&amp;"-"&amp;D106&amp;"-"&amp;TEXT(MONTH(AX106),"00"))</f>
        <v/>
      </c>
      <c r="B106" s="34" t="n">
        <v>101</v>
      </c>
      <c r="C106" s="35" t="n"/>
      <c r="D106" s="35" t="n"/>
      <c r="E106" s="33">
        <f>IF(AX106="","",YEAR(AX106))</f>
        <v/>
      </c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6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7">
        <f>IF(Y106="","",IF(OR(Y106="III",Y106="IV",Y106="IVA",Y106="IVB",Y106="IVC"),1,0))</f>
        <v/>
      </c>
      <c r="AA106" s="35" t="n"/>
      <c r="AB106" s="35" t="n"/>
      <c r="AC106" s="35" t="n"/>
      <c r="AD106" s="35" t="n"/>
      <c r="AE106" s="35" t="n"/>
      <c r="AF106" s="35" t="n"/>
      <c r="AG106" s="35" t="n"/>
      <c r="AH106" s="35" t="n"/>
      <c r="AI106" s="35" t="n"/>
      <c r="AJ106" s="35" t="n"/>
      <c r="AK106" s="35" t="n"/>
      <c r="AL106" s="35" t="n"/>
      <c r="AM106" s="35" t="n"/>
      <c r="AN106" s="35" t="n"/>
      <c r="AO106" s="35" t="n"/>
      <c r="AP106" s="35" t="n"/>
      <c r="AQ106" s="35" t="n"/>
      <c r="AR106" s="35" t="n"/>
      <c r="AS106" s="35" t="n"/>
      <c r="AT106" s="35" t="n"/>
      <c r="AU106" s="38" t="n"/>
      <c r="AV106" s="38" t="n"/>
      <c r="AW106" s="38" t="n"/>
      <c r="AX106" s="38" t="n"/>
      <c r="AY106" s="38" t="n"/>
      <c r="AZ106" s="38" t="n"/>
      <c r="BA106" s="38" t="n"/>
      <c r="BB106" s="38" t="n"/>
      <c r="BC106" s="38" t="n"/>
      <c r="BD106" s="38" t="n"/>
      <c r="BE106" s="35" t="n"/>
      <c r="BF106" s="35" t="n"/>
      <c r="BG106" s="38" t="n"/>
      <c r="BH106" s="38" t="n"/>
      <c r="BI106" s="38" t="n"/>
      <c r="BJ106" s="35" t="n"/>
      <c r="BK106" s="38" t="n"/>
      <c r="BL106" s="33">
        <f>IF(OR(AU106="",AV106=""),"",AV106-AU106)</f>
        <v/>
      </c>
      <c r="BM106" s="33">
        <f>IF(OR(AV106="",AW106=""),"",AW106-AV106)</f>
        <v/>
      </c>
      <c r="BN106" s="33">
        <f>IF(OR(AW106="",AX106=""),"",AX106-AW106)</f>
        <v/>
      </c>
      <c r="BO106" s="33">
        <f>IF(OR(AX106="",BA106=""),"",BA106-AX106)</f>
        <v/>
      </c>
      <c r="BP106" s="33">
        <f>IF(OR(AV106="",BA106=""),"",BA106-AV106)</f>
        <v/>
      </c>
      <c r="BQ106" s="33">
        <f>IF(OR(BB106="",BD106=""),"",BD106-BB106)</f>
        <v/>
      </c>
      <c r="BR106" s="33">
        <f>IF(OR(AX106="",BD106=""),"",BD106-AX106)</f>
        <v/>
      </c>
      <c r="BS106" s="33">
        <f>IF(OR(AW106="",BD106=""),"",BD106-AW106)</f>
        <v/>
      </c>
      <c r="BT106" s="33">
        <f>IF(OR(AV106="",BD106=""),"",BD106-AV106)</f>
        <v/>
      </c>
      <c r="BU106" s="33">
        <f>IF(OR(AU106="",BD106=""),"",BD106-AU106)</f>
        <v/>
      </c>
      <c r="BV106" s="33">
        <f>IF(OR(BB106="",BG106=""),"",BG106-BB106)</f>
        <v/>
      </c>
      <c r="BW106" s="33">
        <f>IF(OR(BG106="",BH106=""),"",BH106-BG106)</f>
        <v/>
      </c>
      <c r="BX106" s="33">
        <f>IF(OR(BG106="",BI106=""),"",BI106-BG106)</f>
        <v/>
      </c>
      <c r="BY106" s="39">
        <f>IF(OR(AX106="",BK106=""),"",ROUND((BK106-AX106)/30.44,1))</f>
        <v/>
      </c>
      <c r="BZ106" s="37">
        <f>IF(BR106="","",IF(BR106&lt;=30,1,0))</f>
        <v/>
      </c>
      <c r="CA106" s="37">
        <f>IF(BR106="","",IF(BR106&gt;40.5,1,0))</f>
        <v/>
      </c>
      <c r="CB106" s="37">
        <f>IF(BR106="","",IF(BR106&gt;60,1,0))</f>
        <v/>
      </c>
      <c r="CC106" s="37">
        <f>IF(BR106="","",IF(BR106&gt;67,1,0))</f>
        <v/>
      </c>
      <c r="CD106" s="37">
        <f>IF(BT106="","",IF(BT106&lt;=30,1,0))</f>
        <v/>
      </c>
      <c r="CE106" s="37">
        <f>IF(BQ106="","",IF(BQ106&lt;=28,1,0))</f>
        <v/>
      </c>
      <c r="CF106" s="37">
        <f>IF(OR(BV106="",BE106&lt;&gt;"ניתוח"),"",IF(BV106&lt;=30,1,0))</f>
        <v/>
      </c>
      <c r="CG106" s="37">
        <f>IF(BU106="","",IF(BU106&lt;=56,1,0))</f>
        <v/>
      </c>
      <c r="CH106" s="37">
        <f>IF(BW106="","",IF(BW106&lt;=42,1,0))</f>
        <v/>
      </c>
      <c r="CI106" s="37">
        <f>IF(BX106="","",IF(BX106&lt;=100,1,0))</f>
        <v/>
      </c>
      <c r="CJ106" s="33">
        <f>IF(A106="","",COUNTIF(Delays!$B$5:$B$404,A106))</f>
        <v/>
      </c>
      <c r="CK106" s="35" t="n"/>
    </row>
    <row r="107">
      <c r="A107" s="33">
        <f>IF(OR(B107="",C107="",D107="",AX107=""),"","RET-"&amp;RIGHT(YEAR(AX107),2)&amp;"-"&amp;TEXT(B107,"000")&amp;"-"&amp;C107&amp;"-"&amp;D107&amp;"-"&amp;TEXT(MONTH(AX107),"00"))</f>
        <v/>
      </c>
      <c r="B107" s="34" t="n">
        <v>102</v>
      </c>
      <c r="C107" s="35" t="n"/>
      <c r="D107" s="35" t="n"/>
      <c r="E107" s="33">
        <f>IF(AX107="","",YEAR(AX107))</f>
        <v/>
      </c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6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7">
        <f>IF(Y107="","",IF(OR(Y107="III",Y107="IV",Y107="IVA",Y107="IVB",Y107="IVC"),1,0))</f>
        <v/>
      </c>
      <c r="AA107" s="35" t="n"/>
      <c r="AB107" s="35" t="n"/>
      <c r="AC107" s="35" t="n"/>
      <c r="AD107" s="35" t="n"/>
      <c r="AE107" s="35" t="n"/>
      <c r="AF107" s="35" t="n"/>
      <c r="AG107" s="35" t="n"/>
      <c r="AH107" s="35" t="n"/>
      <c r="AI107" s="35" t="n"/>
      <c r="AJ107" s="35" t="n"/>
      <c r="AK107" s="35" t="n"/>
      <c r="AL107" s="35" t="n"/>
      <c r="AM107" s="35" t="n"/>
      <c r="AN107" s="35" t="n"/>
      <c r="AO107" s="35" t="n"/>
      <c r="AP107" s="35" t="n"/>
      <c r="AQ107" s="35" t="n"/>
      <c r="AR107" s="35" t="n"/>
      <c r="AS107" s="35" t="n"/>
      <c r="AT107" s="35" t="n"/>
      <c r="AU107" s="38" t="n"/>
      <c r="AV107" s="38" t="n"/>
      <c r="AW107" s="38" t="n"/>
      <c r="AX107" s="38" t="n"/>
      <c r="AY107" s="38" t="n"/>
      <c r="AZ107" s="38" t="n"/>
      <c r="BA107" s="38" t="n"/>
      <c r="BB107" s="38" t="n"/>
      <c r="BC107" s="38" t="n"/>
      <c r="BD107" s="38" t="n"/>
      <c r="BE107" s="35" t="n"/>
      <c r="BF107" s="35" t="n"/>
      <c r="BG107" s="38" t="n"/>
      <c r="BH107" s="38" t="n"/>
      <c r="BI107" s="38" t="n"/>
      <c r="BJ107" s="35" t="n"/>
      <c r="BK107" s="38" t="n"/>
      <c r="BL107" s="33">
        <f>IF(OR(AU107="",AV107=""),"",AV107-AU107)</f>
        <v/>
      </c>
      <c r="BM107" s="33">
        <f>IF(OR(AV107="",AW107=""),"",AW107-AV107)</f>
        <v/>
      </c>
      <c r="BN107" s="33">
        <f>IF(OR(AW107="",AX107=""),"",AX107-AW107)</f>
        <v/>
      </c>
      <c r="BO107" s="33">
        <f>IF(OR(AX107="",BA107=""),"",BA107-AX107)</f>
        <v/>
      </c>
      <c r="BP107" s="33">
        <f>IF(OR(AV107="",BA107=""),"",BA107-AV107)</f>
        <v/>
      </c>
      <c r="BQ107" s="33">
        <f>IF(OR(BB107="",BD107=""),"",BD107-BB107)</f>
        <v/>
      </c>
      <c r="BR107" s="33">
        <f>IF(OR(AX107="",BD107=""),"",BD107-AX107)</f>
        <v/>
      </c>
      <c r="BS107" s="33">
        <f>IF(OR(AW107="",BD107=""),"",BD107-AW107)</f>
        <v/>
      </c>
      <c r="BT107" s="33">
        <f>IF(OR(AV107="",BD107=""),"",BD107-AV107)</f>
        <v/>
      </c>
      <c r="BU107" s="33">
        <f>IF(OR(AU107="",BD107=""),"",BD107-AU107)</f>
        <v/>
      </c>
      <c r="BV107" s="33">
        <f>IF(OR(BB107="",BG107=""),"",BG107-BB107)</f>
        <v/>
      </c>
      <c r="BW107" s="33">
        <f>IF(OR(BG107="",BH107=""),"",BH107-BG107)</f>
        <v/>
      </c>
      <c r="BX107" s="33">
        <f>IF(OR(BG107="",BI107=""),"",BI107-BG107)</f>
        <v/>
      </c>
      <c r="BY107" s="39">
        <f>IF(OR(AX107="",BK107=""),"",ROUND((BK107-AX107)/30.44,1))</f>
        <v/>
      </c>
      <c r="BZ107" s="37">
        <f>IF(BR107="","",IF(BR107&lt;=30,1,0))</f>
        <v/>
      </c>
      <c r="CA107" s="37">
        <f>IF(BR107="","",IF(BR107&gt;40.5,1,0))</f>
        <v/>
      </c>
      <c r="CB107" s="37">
        <f>IF(BR107="","",IF(BR107&gt;60,1,0))</f>
        <v/>
      </c>
      <c r="CC107" s="37">
        <f>IF(BR107="","",IF(BR107&gt;67,1,0))</f>
        <v/>
      </c>
      <c r="CD107" s="37">
        <f>IF(BT107="","",IF(BT107&lt;=30,1,0))</f>
        <v/>
      </c>
      <c r="CE107" s="37">
        <f>IF(BQ107="","",IF(BQ107&lt;=28,1,0))</f>
        <v/>
      </c>
      <c r="CF107" s="37">
        <f>IF(OR(BV107="",BE107&lt;&gt;"ניתוח"),"",IF(BV107&lt;=30,1,0))</f>
        <v/>
      </c>
      <c r="CG107" s="37">
        <f>IF(BU107="","",IF(BU107&lt;=56,1,0))</f>
        <v/>
      </c>
      <c r="CH107" s="37">
        <f>IF(BW107="","",IF(BW107&lt;=42,1,0))</f>
        <v/>
      </c>
      <c r="CI107" s="37">
        <f>IF(BX107="","",IF(BX107&lt;=100,1,0))</f>
        <v/>
      </c>
      <c r="CJ107" s="33">
        <f>IF(A107="","",COUNTIF(Delays!$B$5:$B$404,A107))</f>
        <v/>
      </c>
      <c r="CK107" s="35" t="n"/>
    </row>
    <row r="108">
      <c r="A108" s="33">
        <f>IF(OR(B108="",C108="",D108="",AX108=""),"","RET-"&amp;RIGHT(YEAR(AX108),2)&amp;"-"&amp;TEXT(B108,"000")&amp;"-"&amp;C108&amp;"-"&amp;D108&amp;"-"&amp;TEXT(MONTH(AX108),"00"))</f>
        <v/>
      </c>
      <c r="B108" s="34" t="n">
        <v>103</v>
      </c>
      <c r="C108" s="35" t="n"/>
      <c r="D108" s="35" t="n"/>
      <c r="E108" s="33">
        <f>IF(AX108="","",YEAR(AX108))</f>
        <v/>
      </c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6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7">
        <f>IF(Y108="","",IF(OR(Y108="III",Y108="IV",Y108="IVA",Y108="IVB",Y108="IVC"),1,0))</f>
        <v/>
      </c>
      <c r="AA108" s="35" t="n"/>
      <c r="AB108" s="35" t="n"/>
      <c r="AC108" s="35" t="n"/>
      <c r="AD108" s="35" t="n"/>
      <c r="AE108" s="35" t="n"/>
      <c r="AF108" s="35" t="n"/>
      <c r="AG108" s="35" t="n"/>
      <c r="AH108" s="35" t="n"/>
      <c r="AI108" s="35" t="n"/>
      <c r="AJ108" s="35" t="n"/>
      <c r="AK108" s="35" t="n"/>
      <c r="AL108" s="35" t="n"/>
      <c r="AM108" s="35" t="n"/>
      <c r="AN108" s="35" t="n"/>
      <c r="AO108" s="35" t="n"/>
      <c r="AP108" s="35" t="n"/>
      <c r="AQ108" s="35" t="n"/>
      <c r="AR108" s="35" t="n"/>
      <c r="AS108" s="35" t="n"/>
      <c r="AT108" s="35" t="n"/>
      <c r="AU108" s="38" t="n"/>
      <c r="AV108" s="38" t="n"/>
      <c r="AW108" s="38" t="n"/>
      <c r="AX108" s="38" t="n"/>
      <c r="AY108" s="38" t="n"/>
      <c r="AZ108" s="38" t="n"/>
      <c r="BA108" s="38" t="n"/>
      <c r="BB108" s="38" t="n"/>
      <c r="BC108" s="38" t="n"/>
      <c r="BD108" s="38" t="n"/>
      <c r="BE108" s="35" t="n"/>
      <c r="BF108" s="35" t="n"/>
      <c r="BG108" s="38" t="n"/>
      <c r="BH108" s="38" t="n"/>
      <c r="BI108" s="38" t="n"/>
      <c r="BJ108" s="35" t="n"/>
      <c r="BK108" s="38" t="n"/>
      <c r="BL108" s="33">
        <f>IF(OR(AU108="",AV108=""),"",AV108-AU108)</f>
        <v/>
      </c>
      <c r="BM108" s="33">
        <f>IF(OR(AV108="",AW108=""),"",AW108-AV108)</f>
        <v/>
      </c>
      <c r="BN108" s="33">
        <f>IF(OR(AW108="",AX108=""),"",AX108-AW108)</f>
        <v/>
      </c>
      <c r="BO108" s="33">
        <f>IF(OR(AX108="",BA108=""),"",BA108-AX108)</f>
        <v/>
      </c>
      <c r="BP108" s="33">
        <f>IF(OR(AV108="",BA108=""),"",BA108-AV108)</f>
        <v/>
      </c>
      <c r="BQ108" s="33">
        <f>IF(OR(BB108="",BD108=""),"",BD108-BB108)</f>
        <v/>
      </c>
      <c r="BR108" s="33">
        <f>IF(OR(AX108="",BD108=""),"",BD108-AX108)</f>
        <v/>
      </c>
      <c r="BS108" s="33">
        <f>IF(OR(AW108="",BD108=""),"",BD108-AW108)</f>
        <v/>
      </c>
      <c r="BT108" s="33">
        <f>IF(OR(AV108="",BD108=""),"",BD108-AV108)</f>
        <v/>
      </c>
      <c r="BU108" s="33">
        <f>IF(OR(AU108="",BD108=""),"",BD108-AU108)</f>
        <v/>
      </c>
      <c r="BV108" s="33">
        <f>IF(OR(BB108="",BG108=""),"",BG108-BB108)</f>
        <v/>
      </c>
      <c r="BW108" s="33">
        <f>IF(OR(BG108="",BH108=""),"",BH108-BG108)</f>
        <v/>
      </c>
      <c r="BX108" s="33">
        <f>IF(OR(BG108="",BI108=""),"",BI108-BG108)</f>
        <v/>
      </c>
      <c r="BY108" s="39">
        <f>IF(OR(AX108="",BK108=""),"",ROUND((BK108-AX108)/30.44,1))</f>
        <v/>
      </c>
      <c r="BZ108" s="37">
        <f>IF(BR108="","",IF(BR108&lt;=30,1,0))</f>
        <v/>
      </c>
      <c r="CA108" s="37">
        <f>IF(BR108="","",IF(BR108&gt;40.5,1,0))</f>
        <v/>
      </c>
      <c r="CB108" s="37">
        <f>IF(BR108="","",IF(BR108&gt;60,1,0))</f>
        <v/>
      </c>
      <c r="CC108" s="37">
        <f>IF(BR108="","",IF(BR108&gt;67,1,0))</f>
        <v/>
      </c>
      <c r="CD108" s="37">
        <f>IF(BT108="","",IF(BT108&lt;=30,1,0))</f>
        <v/>
      </c>
      <c r="CE108" s="37">
        <f>IF(BQ108="","",IF(BQ108&lt;=28,1,0))</f>
        <v/>
      </c>
      <c r="CF108" s="37">
        <f>IF(OR(BV108="",BE108&lt;&gt;"ניתוח"),"",IF(BV108&lt;=30,1,0))</f>
        <v/>
      </c>
      <c r="CG108" s="37">
        <f>IF(BU108="","",IF(BU108&lt;=56,1,0))</f>
        <v/>
      </c>
      <c r="CH108" s="37">
        <f>IF(BW108="","",IF(BW108&lt;=42,1,0))</f>
        <v/>
      </c>
      <c r="CI108" s="37">
        <f>IF(BX108="","",IF(BX108&lt;=100,1,0))</f>
        <v/>
      </c>
      <c r="CJ108" s="33">
        <f>IF(A108="","",COUNTIF(Delays!$B$5:$B$404,A108))</f>
        <v/>
      </c>
      <c r="CK108" s="35" t="n"/>
    </row>
    <row r="109">
      <c r="A109" s="33">
        <f>IF(OR(B109="",C109="",D109="",AX109=""),"","RET-"&amp;RIGHT(YEAR(AX109),2)&amp;"-"&amp;TEXT(B109,"000")&amp;"-"&amp;C109&amp;"-"&amp;D109&amp;"-"&amp;TEXT(MONTH(AX109),"00"))</f>
        <v/>
      </c>
      <c r="B109" s="34" t="n">
        <v>104</v>
      </c>
      <c r="C109" s="35" t="n"/>
      <c r="D109" s="35" t="n"/>
      <c r="E109" s="33">
        <f>IF(AX109="","",YEAR(AX109))</f>
        <v/>
      </c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6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7">
        <f>IF(Y109="","",IF(OR(Y109="III",Y109="IV",Y109="IVA",Y109="IVB",Y109="IVC"),1,0))</f>
        <v/>
      </c>
      <c r="AA109" s="35" t="n"/>
      <c r="AB109" s="35" t="n"/>
      <c r="AC109" s="35" t="n"/>
      <c r="AD109" s="35" t="n"/>
      <c r="AE109" s="35" t="n"/>
      <c r="AF109" s="35" t="n"/>
      <c r="AG109" s="35" t="n"/>
      <c r="AH109" s="35" t="n"/>
      <c r="AI109" s="35" t="n"/>
      <c r="AJ109" s="35" t="n"/>
      <c r="AK109" s="35" t="n"/>
      <c r="AL109" s="35" t="n"/>
      <c r="AM109" s="35" t="n"/>
      <c r="AN109" s="35" t="n"/>
      <c r="AO109" s="35" t="n"/>
      <c r="AP109" s="35" t="n"/>
      <c r="AQ109" s="35" t="n"/>
      <c r="AR109" s="35" t="n"/>
      <c r="AS109" s="35" t="n"/>
      <c r="AT109" s="35" t="n"/>
      <c r="AU109" s="38" t="n"/>
      <c r="AV109" s="38" t="n"/>
      <c r="AW109" s="38" t="n"/>
      <c r="AX109" s="38" t="n"/>
      <c r="AY109" s="38" t="n"/>
      <c r="AZ109" s="38" t="n"/>
      <c r="BA109" s="38" t="n"/>
      <c r="BB109" s="38" t="n"/>
      <c r="BC109" s="38" t="n"/>
      <c r="BD109" s="38" t="n"/>
      <c r="BE109" s="35" t="n"/>
      <c r="BF109" s="35" t="n"/>
      <c r="BG109" s="38" t="n"/>
      <c r="BH109" s="38" t="n"/>
      <c r="BI109" s="38" t="n"/>
      <c r="BJ109" s="35" t="n"/>
      <c r="BK109" s="38" t="n"/>
      <c r="BL109" s="33">
        <f>IF(OR(AU109="",AV109=""),"",AV109-AU109)</f>
        <v/>
      </c>
      <c r="BM109" s="33">
        <f>IF(OR(AV109="",AW109=""),"",AW109-AV109)</f>
        <v/>
      </c>
      <c r="BN109" s="33">
        <f>IF(OR(AW109="",AX109=""),"",AX109-AW109)</f>
        <v/>
      </c>
      <c r="BO109" s="33">
        <f>IF(OR(AX109="",BA109=""),"",BA109-AX109)</f>
        <v/>
      </c>
      <c r="BP109" s="33">
        <f>IF(OR(AV109="",BA109=""),"",BA109-AV109)</f>
        <v/>
      </c>
      <c r="BQ109" s="33">
        <f>IF(OR(BB109="",BD109=""),"",BD109-BB109)</f>
        <v/>
      </c>
      <c r="BR109" s="33">
        <f>IF(OR(AX109="",BD109=""),"",BD109-AX109)</f>
        <v/>
      </c>
      <c r="BS109" s="33">
        <f>IF(OR(AW109="",BD109=""),"",BD109-AW109)</f>
        <v/>
      </c>
      <c r="BT109" s="33">
        <f>IF(OR(AV109="",BD109=""),"",BD109-AV109)</f>
        <v/>
      </c>
      <c r="BU109" s="33">
        <f>IF(OR(AU109="",BD109=""),"",BD109-AU109)</f>
        <v/>
      </c>
      <c r="BV109" s="33">
        <f>IF(OR(BB109="",BG109=""),"",BG109-BB109)</f>
        <v/>
      </c>
      <c r="BW109" s="33">
        <f>IF(OR(BG109="",BH109=""),"",BH109-BG109)</f>
        <v/>
      </c>
      <c r="BX109" s="33">
        <f>IF(OR(BG109="",BI109=""),"",BI109-BG109)</f>
        <v/>
      </c>
      <c r="BY109" s="39">
        <f>IF(OR(AX109="",BK109=""),"",ROUND((BK109-AX109)/30.44,1))</f>
        <v/>
      </c>
      <c r="BZ109" s="37">
        <f>IF(BR109="","",IF(BR109&lt;=30,1,0))</f>
        <v/>
      </c>
      <c r="CA109" s="37">
        <f>IF(BR109="","",IF(BR109&gt;40.5,1,0))</f>
        <v/>
      </c>
      <c r="CB109" s="37">
        <f>IF(BR109="","",IF(BR109&gt;60,1,0))</f>
        <v/>
      </c>
      <c r="CC109" s="37">
        <f>IF(BR109="","",IF(BR109&gt;67,1,0))</f>
        <v/>
      </c>
      <c r="CD109" s="37">
        <f>IF(BT109="","",IF(BT109&lt;=30,1,0))</f>
        <v/>
      </c>
      <c r="CE109" s="37">
        <f>IF(BQ109="","",IF(BQ109&lt;=28,1,0))</f>
        <v/>
      </c>
      <c r="CF109" s="37">
        <f>IF(OR(BV109="",BE109&lt;&gt;"ניתוח"),"",IF(BV109&lt;=30,1,0))</f>
        <v/>
      </c>
      <c r="CG109" s="37">
        <f>IF(BU109="","",IF(BU109&lt;=56,1,0))</f>
        <v/>
      </c>
      <c r="CH109" s="37">
        <f>IF(BW109="","",IF(BW109&lt;=42,1,0))</f>
        <v/>
      </c>
      <c r="CI109" s="37">
        <f>IF(BX109="","",IF(BX109&lt;=100,1,0))</f>
        <v/>
      </c>
      <c r="CJ109" s="33">
        <f>IF(A109="","",COUNTIF(Delays!$B$5:$B$404,A109))</f>
        <v/>
      </c>
      <c r="CK109" s="35" t="n"/>
    </row>
    <row r="110">
      <c r="A110" s="33">
        <f>IF(OR(B110="",C110="",D110="",AX110=""),"","RET-"&amp;RIGHT(YEAR(AX110),2)&amp;"-"&amp;TEXT(B110,"000")&amp;"-"&amp;C110&amp;"-"&amp;D110&amp;"-"&amp;TEXT(MONTH(AX110),"00"))</f>
        <v/>
      </c>
      <c r="B110" s="34" t="n">
        <v>105</v>
      </c>
      <c r="C110" s="35" t="n"/>
      <c r="D110" s="35" t="n"/>
      <c r="E110" s="33">
        <f>IF(AX110="","",YEAR(AX110))</f>
        <v/>
      </c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6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7">
        <f>IF(Y110="","",IF(OR(Y110="III",Y110="IV",Y110="IVA",Y110="IVB",Y110="IVC"),1,0))</f>
        <v/>
      </c>
      <c r="AA110" s="35" t="n"/>
      <c r="AB110" s="35" t="n"/>
      <c r="AC110" s="35" t="n"/>
      <c r="AD110" s="35" t="n"/>
      <c r="AE110" s="35" t="n"/>
      <c r="AF110" s="35" t="n"/>
      <c r="AG110" s="35" t="n"/>
      <c r="AH110" s="35" t="n"/>
      <c r="AI110" s="35" t="n"/>
      <c r="AJ110" s="35" t="n"/>
      <c r="AK110" s="35" t="n"/>
      <c r="AL110" s="35" t="n"/>
      <c r="AM110" s="35" t="n"/>
      <c r="AN110" s="35" t="n"/>
      <c r="AO110" s="35" t="n"/>
      <c r="AP110" s="35" t="n"/>
      <c r="AQ110" s="35" t="n"/>
      <c r="AR110" s="35" t="n"/>
      <c r="AS110" s="35" t="n"/>
      <c r="AT110" s="35" t="n"/>
      <c r="AU110" s="38" t="n"/>
      <c r="AV110" s="38" t="n"/>
      <c r="AW110" s="38" t="n"/>
      <c r="AX110" s="38" t="n"/>
      <c r="AY110" s="38" t="n"/>
      <c r="AZ110" s="38" t="n"/>
      <c r="BA110" s="38" t="n"/>
      <c r="BB110" s="38" t="n"/>
      <c r="BC110" s="38" t="n"/>
      <c r="BD110" s="38" t="n"/>
      <c r="BE110" s="35" t="n"/>
      <c r="BF110" s="35" t="n"/>
      <c r="BG110" s="38" t="n"/>
      <c r="BH110" s="38" t="n"/>
      <c r="BI110" s="38" t="n"/>
      <c r="BJ110" s="35" t="n"/>
      <c r="BK110" s="38" t="n"/>
      <c r="BL110" s="33">
        <f>IF(OR(AU110="",AV110=""),"",AV110-AU110)</f>
        <v/>
      </c>
      <c r="BM110" s="33">
        <f>IF(OR(AV110="",AW110=""),"",AW110-AV110)</f>
        <v/>
      </c>
      <c r="BN110" s="33">
        <f>IF(OR(AW110="",AX110=""),"",AX110-AW110)</f>
        <v/>
      </c>
      <c r="BO110" s="33">
        <f>IF(OR(AX110="",BA110=""),"",BA110-AX110)</f>
        <v/>
      </c>
      <c r="BP110" s="33">
        <f>IF(OR(AV110="",BA110=""),"",BA110-AV110)</f>
        <v/>
      </c>
      <c r="BQ110" s="33">
        <f>IF(OR(BB110="",BD110=""),"",BD110-BB110)</f>
        <v/>
      </c>
      <c r="BR110" s="33">
        <f>IF(OR(AX110="",BD110=""),"",BD110-AX110)</f>
        <v/>
      </c>
      <c r="BS110" s="33">
        <f>IF(OR(AW110="",BD110=""),"",BD110-AW110)</f>
        <v/>
      </c>
      <c r="BT110" s="33">
        <f>IF(OR(AV110="",BD110=""),"",BD110-AV110)</f>
        <v/>
      </c>
      <c r="BU110" s="33">
        <f>IF(OR(AU110="",BD110=""),"",BD110-AU110)</f>
        <v/>
      </c>
      <c r="BV110" s="33">
        <f>IF(OR(BB110="",BG110=""),"",BG110-BB110)</f>
        <v/>
      </c>
      <c r="BW110" s="33">
        <f>IF(OR(BG110="",BH110=""),"",BH110-BG110)</f>
        <v/>
      </c>
      <c r="BX110" s="33">
        <f>IF(OR(BG110="",BI110=""),"",BI110-BG110)</f>
        <v/>
      </c>
      <c r="BY110" s="39">
        <f>IF(OR(AX110="",BK110=""),"",ROUND((BK110-AX110)/30.44,1))</f>
        <v/>
      </c>
      <c r="BZ110" s="37">
        <f>IF(BR110="","",IF(BR110&lt;=30,1,0))</f>
        <v/>
      </c>
      <c r="CA110" s="37">
        <f>IF(BR110="","",IF(BR110&gt;40.5,1,0))</f>
        <v/>
      </c>
      <c r="CB110" s="37">
        <f>IF(BR110="","",IF(BR110&gt;60,1,0))</f>
        <v/>
      </c>
      <c r="CC110" s="37">
        <f>IF(BR110="","",IF(BR110&gt;67,1,0))</f>
        <v/>
      </c>
      <c r="CD110" s="37">
        <f>IF(BT110="","",IF(BT110&lt;=30,1,0))</f>
        <v/>
      </c>
      <c r="CE110" s="37">
        <f>IF(BQ110="","",IF(BQ110&lt;=28,1,0))</f>
        <v/>
      </c>
      <c r="CF110" s="37">
        <f>IF(OR(BV110="",BE110&lt;&gt;"ניתוח"),"",IF(BV110&lt;=30,1,0))</f>
        <v/>
      </c>
      <c r="CG110" s="37">
        <f>IF(BU110="","",IF(BU110&lt;=56,1,0))</f>
        <v/>
      </c>
      <c r="CH110" s="37">
        <f>IF(BW110="","",IF(BW110&lt;=42,1,0))</f>
        <v/>
      </c>
      <c r="CI110" s="37">
        <f>IF(BX110="","",IF(BX110&lt;=100,1,0))</f>
        <v/>
      </c>
      <c r="CJ110" s="33">
        <f>IF(A110="","",COUNTIF(Delays!$B$5:$B$404,A110))</f>
        <v/>
      </c>
      <c r="CK110" s="35" t="n"/>
    </row>
    <row r="111">
      <c r="A111" s="33">
        <f>IF(OR(B111="",C111="",D111="",AX111=""),"","RET-"&amp;RIGHT(YEAR(AX111),2)&amp;"-"&amp;TEXT(B111,"000")&amp;"-"&amp;C111&amp;"-"&amp;D111&amp;"-"&amp;TEXT(MONTH(AX111),"00"))</f>
        <v/>
      </c>
      <c r="B111" s="34" t="n">
        <v>106</v>
      </c>
      <c r="C111" s="35" t="n"/>
      <c r="D111" s="35" t="n"/>
      <c r="E111" s="33">
        <f>IF(AX111="","",YEAR(AX111))</f>
        <v/>
      </c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6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7">
        <f>IF(Y111="","",IF(OR(Y111="III",Y111="IV",Y111="IVA",Y111="IVB",Y111="IVC"),1,0))</f>
        <v/>
      </c>
      <c r="AA111" s="35" t="n"/>
      <c r="AB111" s="35" t="n"/>
      <c r="AC111" s="35" t="n"/>
      <c r="AD111" s="35" t="n"/>
      <c r="AE111" s="35" t="n"/>
      <c r="AF111" s="35" t="n"/>
      <c r="AG111" s="35" t="n"/>
      <c r="AH111" s="35" t="n"/>
      <c r="AI111" s="35" t="n"/>
      <c r="AJ111" s="35" t="n"/>
      <c r="AK111" s="35" t="n"/>
      <c r="AL111" s="35" t="n"/>
      <c r="AM111" s="35" t="n"/>
      <c r="AN111" s="35" t="n"/>
      <c r="AO111" s="35" t="n"/>
      <c r="AP111" s="35" t="n"/>
      <c r="AQ111" s="35" t="n"/>
      <c r="AR111" s="35" t="n"/>
      <c r="AS111" s="35" t="n"/>
      <c r="AT111" s="35" t="n"/>
      <c r="AU111" s="38" t="n"/>
      <c r="AV111" s="38" t="n"/>
      <c r="AW111" s="38" t="n"/>
      <c r="AX111" s="38" t="n"/>
      <c r="AY111" s="38" t="n"/>
      <c r="AZ111" s="38" t="n"/>
      <c r="BA111" s="38" t="n"/>
      <c r="BB111" s="38" t="n"/>
      <c r="BC111" s="38" t="n"/>
      <c r="BD111" s="38" t="n"/>
      <c r="BE111" s="35" t="n"/>
      <c r="BF111" s="35" t="n"/>
      <c r="BG111" s="38" t="n"/>
      <c r="BH111" s="38" t="n"/>
      <c r="BI111" s="38" t="n"/>
      <c r="BJ111" s="35" t="n"/>
      <c r="BK111" s="38" t="n"/>
      <c r="BL111" s="33">
        <f>IF(OR(AU111="",AV111=""),"",AV111-AU111)</f>
        <v/>
      </c>
      <c r="BM111" s="33">
        <f>IF(OR(AV111="",AW111=""),"",AW111-AV111)</f>
        <v/>
      </c>
      <c r="BN111" s="33">
        <f>IF(OR(AW111="",AX111=""),"",AX111-AW111)</f>
        <v/>
      </c>
      <c r="BO111" s="33">
        <f>IF(OR(AX111="",BA111=""),"",BA111-AX111)</f>
        <v/>
      </c>
      <c r="BP111" s="33">
        <f>IF(OR(AV111="",BA111=""),"",BA111-AV111)</f>
        <v/>
      </c>
      <c r="BQ111" s="33">
        <f>IF(OR(BB111="",BD111=""),"",BD111-BB111)</f>
        <v/>
      </c>
      <c r="BR111" s="33">
        <f>IF(OR(AX111="",BD111=""),"",BD111-AX111)</f>
        <v/>
      </c>
      <c r="BS111" s="33">
        <f>IF(OR(AW111="",BD111=""),"",BD111-AW111)</f>
        <v/>
      </c>
      <c r="BT111" s="33">
        <f>IF(OR(AV111="",BD111=""),"",BD111-AV111)</f>
        <v/>
      </c>
      <c r="BU111" s="33">
        <f>IF(OR(AU111="",BD111=""),"",BD111-AU111)</f>
        <v/>
      </c>
      <c r="BV111" s="33">
        <f>IF(OR(BB111="",BG111=""),"",BG111-BB111)</f>
        <v/>
      </c>
      <c r="BW111" s="33">
        <f>IF(OR(BG111="",BH111=""),"",BH111-BG111)</f>
        <v/>
      </c>
      <c r="BX111" s="33">
        <f>IF(OR(BG111="",BI111=""),"",BI111-BG111)</f>
        <v/>
      </c>
      <c r="BY111" s="39">
        <f>IF(OR(AX111="",BK111=""),"",ROUND((BK111-AX111)/30.44,1))</f>
        <v/>
      </c>
      <c r="BZ111" s="37">
        <f>IF(BR111="","",IF(BR111&lt;=30,1,0))</f>
        <v/>
      </c>
      <c r="CA111" s="37">
        <f>IF(BR111="","",IF(BR111&gt;40.5,1,0))</f>
        <v/>
      </c>
      <c r="CB111" s="37">
        <f>IF(BR111="","",IF(BR111&gt;60,1,0))</f>
        <v/>
      </c>
      <c r="CC111" s="37">
        <f>IF(BR111="","",IF(BR111&gt;67,1,0))</f>
        <v/>
      </c>
      <c r="CD111" s="37">
        <f>IF(BT111="","",IF(BT111&lt;=30,1,0))</f>
        <v/>
      </c>
      <c r="CE111" s="37">
        <f>IF(BQ111="","",IF(BQ111&lt;=28,1,0))</f>
        <v/>
      </c>
      <c r="CF111" s="37">
        <f>IF(OR(BV111="",BE111&lt;&gt;"ניתוח"),"",IF(BV111&lt;=30,1,0))</f>
        <v/>
      </c>
      <c r="CG111" s="37">
        <f>IF(BU111="","",IF(BU111&lt;=56,1,0))</f>
        <v/>
      </c>
      <c r="CH111" s="37">
        <f>IF(BW111="","",IF(BW111&lt;=42,1,0))</f>
        <v/>
      </c>
      <c r="CI111" s="37">
        <f>IF(BX111="","",IF(BX111&lt;=100,1,0))</f>
        <v/>
      </c>
      <c r="CJ111" s="33">
        <f>IF(A111="","",COUNTIF(Delays!$B$5:$B$404,A111))</f>
        <v/>
      </c>
      <c r="CK111" s="35" t="n"/>
    </row>
    <row r="112">
      <c r="A112" s="33">
        <f>IF(OR(B112="",C112="",D112="",AX112=""),"","RET-"&amp;RIGHT(YEAR(AX112),2)&amp;"-"&amp;TEXT(B112,"000")&amp;"-"&amp;C112&amp;"-"&amp;D112&amp;"-"&amp;TEXT(MONTH(AX112),"00"))</f>
        <v/>
      </c>
      <c r="B112" s="34" t="n">
        <v>107</v>
      </c>
      <c r="C112" s="35" t="n"/>
      <c r="D112" s="35" t="n"/>
      <c r="E112" s="33">
        <f>IF(AX112="","",YEAR(AX112))</f>
        <v/>
      </c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6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7">
        <f>IF(Y112="","",IF(OR(Y112="III",Y112="IV",Y112="IVA",Y112="IVB",Y112="IVC"),1,0))</f>
        <v/>
      </c>
      <c r="AA112" s="35" t="n"/>
      <c r="AB112" s="35" t="n"/>
      <c r="AC112" s="35" t="n"/>
      <c r="AD112" s="35" t="n"/>
      <c r="AE112" s="35" t="n"/>
      <c r="AF112" s="35" t="n"/>
      <c r="AG112" s="35" t="n"/>
      <c r="AH112" s="35" t="n"/>
      <c r="AI112" s="35" t="n"/>
      <c r="AJ112" s="35" t="n"/>
      <c r="AK112" s="35" t="n"/>
      <c r="AL112" s="35" t="n"/>
      <c r="AM112" s="35" t="n"/>
      <c r="AN112" s="35" t="n"/>
      <c r="AO112" s="35" t="n"/>
      <c r="AP112" s="35" t="n"/>
      <c r="AQ112" s="35" t="n"/>
      <c r="AR112" s="35" t="n"/>
      <c r="AS112" s="35" t="n"/>
      <c r="AT112" s="35" t="n"/>
      <c r="AU112" s="38" t="n"/>
      <c r="AV112" s="38" t="n"/>
      <c r="AW112" s="38" t="n"/>
      <c r="AX112" s="38" t="n"/>
      <c r="AY112" s="38" t="n"/>
      <c r="AZ112" s="38" t="n"/>
      <c r="BA112" s="38" t="n"/>
      <c r="BB112" s="38" t="n"/>
      <c r="BC112" s="38" t="n"/>
      <c r="BD112" s="38" t="n"/>
      <c r="BE112" s="35" t="n"/>
      <c r="BF112" s="35" t="n"/>
      <c r="BG112" s="38" t="n"/>
      <c r="BH112" s="38" t="n"/>
      <c r="BI112" s="38" t="n"/>
      <c r="BJ112" s="35" t="n"/>
      <c r="BK112" s="38" t="n"/>
      <c r="BL112" s="33">
        <f>IF(OR(AU112="",AV112=""),"",AV112-AU112)</f>
        <v/>
      </c>
      <c r="BM112" s="33">
        <f>IF(OR(AV112="",AW112=""),"",AW112-AV112)</f>
        <v/>
      </c>
      <c r="BN112" s="33">
        <f>IF(OR(AW112="",AX112=""),"",AX112-AW112)</f>
        <v/>
      </c>
      <c r="BO112" s="33">
        <f>IF(OR(AX112="",BA112=""),"",BA112-AX112)</f>
        <v/>
      </c>
      <c r="BP112" s="33">
        <f>IF(OR(AV112="",BA112=""),"",BA112-AV112)</f>
        <v/>
      </c>
      <c r="BQ112" s="33">
        <f>IF(OR(BB112="",BD112=""),"",BD112-BB112)</f>
        <v/>
      </c>
      <c r="BR112" s="33">
        <f>IF(OR(AX112="",BD112=""),"",BD112-AX112)</f>
        <v/>
      </c>
      <c r="BS112" s="33">
        <f>IF(OR(AW112="",BD112=""),"",BD112-AW112)</f>
        <v/>
      </c>
      <c r="BT112" s="33">
        <f>IF(OR(AV112="",BD112=""),"",BD112-AV112)</f>
        <v/>
      </c>
      <c r="BU112" s="33">
        <f>IF(OR(AU112="",BD112=""),"",BD112-AU112)</f>
        <v/>
      </c>
      <c r="BV112" s="33">
        <f>IF(OR(BB112="",BG112=""),"",BG112-BB112)</f>
        <v/>
      </c>
      <c r="BW112" s="33">
        <f>IF(OR(BG112="",BH112=""),"",BH112-BG112)</f>
        <v/>
      </c>
      <c r="BX112" s="33">
        <f>IF(OR(BG112="",BI112=""),"",BI112-BG112)</f>
        <v/>
      </c>
      <c r="BY112" s="39">
        <f>IF(OR(AX112="",BK112=""),"",ROUND((BK112-AX112)/30.44,1))</f>
        <v/>
      </c>
      <c r="BZ112" s="37">
        <f>IF(BR112="","",IF(BR112&lt;=30,1,0))</f>
        <v/>
      </c>
      <c r="CA112" s="37">
        <f>IF(BR112="","",IF(BR112&gt;40.5,1,0))</f>
        <v/>
      </c>
      <c r="CB112" s="37">
        <f>IF(BR112="","",IF(BR112&gt;60,1,0))</f>
        <v/>
      </c>
      <c r="CC112" s="37">
        <f>IF(BR112="","",IF(BR112&gt;67,1,0))</f>
        <v/>
      </c>
      <c r="CD112" s="37">
        <f>IF(BT112="","",IF(BT112&lt;=30,1,0))</f>
        <v/>
      </c>
      <c r="CE112" s="37">
        <f>IF(BQ112="","",IF(BQ112&lt;=28,1,0))</f>
        <v/>
      </c>
      <c r="CF112" s="37">
        <f>IF(OR(BV112="",BE112&lt;&gt;"ניתוח"),"",IF(BV112&lt;=30,1,0))</f>
        <v/>
      </c>
      <c r="CG112" s="37">
        <f>IF(BU112="","",IF(BU112&lt;=56,1,0))</f>
        <v/>
      </c>
      <c r="CH112" s="37">
        <f>IF(BW112="","",IF(BW112&lt;=42,1,0))</f>
        <v/>
      </c>
      <c r="CI112" s="37">
        <f>IF(BX112="","",IF(BX112&lt;=100,1,0))</f>
        <v/>
      </c>
      <c r="CJ112" s="33">
        <f>IF(A112="","",COUNTIF(Delays!$B$5:$B$404,A112))</f>
        <v/>
      </c>
      <c r="CK112" s="35" t="n"/>
    </row>
    <row r="113">
      <c r="A113" s="33">
        <f>IF(OR(B113="",C113="",D113="",AX113=""),"","RET-"&amp;RIGHT(YEAR(AX113),2)&amp;"-"&amp;TEXT(B113,"000")&amp;"-"&amp;C113&amp;"-"&amp;D113&amp;"-"&amp;TEXT(MONTH(AX113),"00"))</f>
        <v/>
      </c>
      <c r="B113" s="34" t="n">
        <v>108</v>
      </c>
      <c r="C113" s="35" t="n"/>
      <c r="D113" s="35" t="n"/>
      <c r="E113" s="33">
        <f>IF(AX113="","",YEAR(AX113))</f>
        <v/>
      </c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6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7">
        <f>IF(Y113="","",IF(OR(Y113="III",Y113="IV",Y113="IVA",Y113="IVB",Y113="IVC"),1,0))</f>
        <v/>
      </c>
      <c r="AA113" s="35" t="n"/>
      <c r="AB113" s="35" t="n"/>
      <c r="AC113" s="35" t="n"/>
      <c r="AD113" s="35" t="n"/>
      <c r="AE113" s="35" t="n"/>
      <c r="AF113" s="35" t="n"/>
      <c r="AG113" s="35" t="n"/>
      <c r="AH113" s="35" t="n"/>
      <c r="AI113" s="35" t="n"/>
      <c r="AJ113" s="35" t="n"/>
      <c r="AK113" s="35" t="n"/>
      <c r="AL113" s="35" t="n"/>
      <c r="AM113" s="35" t="n"/>
      <c r="AN113" s="35" t="n"/>
      <c r="AO113" s="35" t="n"/>
      <c r="AP113" s="35" t="n"/>
      <c r="AQ113" s="35" t="n"/>
      <c r="AR113" s="35" t="n"/>
      <c r="AS113" s="35" t="n"/>
      <c r="AT113" s="35" t="n"/>
      <c r="AU113" s="38" t="n"/>
      <c r="AV113" s="38" t="n"/>
      <c r="AW113" s="38" t="n"/>
      <c r="AX113" s="38" t="n"/>
      <c r="AY113" s="38" t="n"/>
      <c r="AZ113" s="38" t="n"/>
      <c r="BA113" s="38" t="n"/>
      <c r="BB113" s="38" t="n"/>
      <c r="BC113" s="38" t="n"/>
      <c r="BD113" s="38" t="n"/>
      <c r="BE113" s="35" t="n"/>
      <c r="BF113" s="35" t="n"/>
      <c r="BG113" s="38" t="n"/>
      <c r="BH113" s="38" t="n"/>
      <c r="BI113" s="38" t="n"/>
      <c r="BJ113" s="35" t="n"/>
      <c r="BK113" s="38" t="n"/>
      <c r="BL113" s="33">
        <f>IF(OR(AU113="",AV113=""),"",AV113-AU113)</f>
        <v/>
      </c>
      <c r="BM113" s="33">
        <f>IF(OR(AV113="",AW113=""),"",AW113-AV113)</f>
        <v/>
      </c>
      <c r="BN113" s="33">
        <f>IF(OR(AW113="",AX113=""),"",AX113-AW113)</f>
        <v/>
      </c>
      <c r="BO113" s="33">
        <f>IF(OR(AX113="",BA113=""),"",BA113-AX113)</f>
        <v/>
      </c>
      <c r="BP113" s="33">
        <f>IF(OR(AV113="",BA113=""),"",BA113-AV113)</f>
        <v/>
      </c>
      <c r="BQ113" s="33">
        <f>IF(OR(BB113="",BD113=""),"",BD113-BB113)</f>
        <v/>
      </c>
      <c r="BR113" s="33">
        <f>IF(OR(AX113="",BD113=""),"",BD113-AX113)</f>
        <v/>
      </c>
      <c r="BS113" s="33">
        <f>IF(OR(AW113="",BD113=""),"",BD113-AW113)</f>
        <v/>
      </c>
      <c r="BT113" s="33">
        <f>IF(OR(AV113="",BD113=""),"",BD113-AV113)</f>
        <v/>
      </c>
      <c r="BU113" s="33">
        <f>IF(OR(AU113="",BD113=""),"",BD113-AU113)</f>
        <v/>
      </c>
      <c r="BV113" s="33">
        <f>IF(OR(BB113="",BG113=""),"",BG113-BB113)</f>
        <v/>
      </c>
      <c r="BW113" s="33">
        <f>IF(OR(BG113="",BH113=""),"",BH113-BG113)</f>
        <v/>
      </c>
      <c r="BX113" s="33">
        <f>IF(OR(BG113="",BI113=""),"",BI113-BG113)</f>
        <v/>
      </c>
      <c r="BY113" s="39">
        <f>IF(OR(AX113="",BK113=""),"",ROUND((BK113-AX113)/30.44,1))</f>
        <v/>
      </c>
      <c r="BZ113" s="37">
        <f>IF(BR113="","",IF(BR113&lt;=30,1,0))</f>
        <v/>
      </c>
      <c r="CA113" s="37">
        <f>IF(BR113="","",IF(BR113&gt;40.5,1,0))</f>
        <v/>
      </c>
      <c r="CB113" s="37">
        <f>IF(BR113="","",IF(BR113&gt;60,1,0))</f>
        <v/>
      </c>
      <c r="CC113" s="37">
        <f>IF(BR113="","",IF(BR113&gt;67,1,0))</f>
        <v/>
      </c>
      <c r="CD113" s="37">
        <f>IF(BT113="","",IF(BT113&lt;=30,1,0))</f>
        <v/>
      </c>
      <c r="CE113" s="37">
        <f>IF(BQ113="","",IF(BQ113&lt;=28,1,0))</f>
        <v/>
      </c>
      <c r="CF113" s="37">
        <f>IF(OR(BV113="",BE113&lt;&gt;"ניתוח"),"",IF(BV113&lt;=30,1,0))</f>
        <v/>
      </c>
      <c r="CG113" s="37">
        <f>IF(BU113="","",IF(BU113&lt;=56,1,0))</f>
        <v/>
      </c>
      <c r="CH113" s="37">
        <f>IF(BW113="","",IF(BW113&lt;=42,1,0))</f>
        <v/>
      </c>
      <c r="CI113" s="37">
        <f>IF(BX113="","",IF(BX113&lt;=100,1,0))</f>
        <v/>
      </c>
      <c r="CJ113" s="33">
        <f>IF(A113="","",COUNTIF(Delays!$B$5:$B$404,A113))</f>
        <v/>
      </c>
      <c r="CK113" s="35" t="n"/>
    </row>
    <row r="114">
      <c r="A114" s="33">
        <f>IF(OR(B114="",C114="",D114="",AX114=""),"","RET-"&amp;RIGHT(YEAR(AX114),2)&amp;"-"&amp;TEXT(B114,"000")&amp;"-"&amp;C114&amp;"-"&amp;D114&amp;"-"&amp;TEXT(MONTH(AX114),"00"))</f>
        <v/>
      </c>
      <c r="B114" s="34" t="n">
        <v>109</v>
      </c>
      <c r="C114" s="35" t="n"/>
      <c r="D114" s="35" t="n"/>
      <c r="E114" s="33">
        <f>IF(AX114="","",YEAR(AX114))</f>
        <v/>
      </c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6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7">
        <f>IF(Y114="","",IF(OR(Y114="III",Y114="IV",Y114="IVA",Y114="IVB",Y114="IVC"),1,0))</f>
        <v/>
      </c>
      <c r="AA114" s="35" t="n"/>
      <c r="AB114" s="35" t="n"/>
      <c r="AC114" s="35" t="n"/>
      <c r="AD114" s="35" t="n"/>
      <c r="AE114" s="35" t="n"/>
      <c r="AF114" s="35" t="n"/>
      <c r="AG114" s="35" t="n"/>
      <c r="AH114" s="35" t="n"/>
      <c r="AI114" s="35" t="n"/>
      <c r="AJ114" s="35" t="n"/>
      <c r="AK114" s="35" t="n"/>
      <c r="AL114" s="35" t="n"/>
      <c r="AM114" s="35" t="n"/>
      <c r="AN114" s="35" t="n"/>
      <c r="AO114" s="35" t="n"/>
      <c r="AP114" s="35" t="n"/>
      <c r="AQ114" s="35" t="n"/>
      <c r="AR114" s="35" t="n"/>
      <c r="AS114" s="35" t="n"/>
      <c r="AT114" s="35" t="n"/>
      <c r="AU114" s="38" t="n"/>
      <c r="AV114" s="38" t="n"/>
      <c r="AW114" s="38" t="n"/>
      <c r="AX114" s="38" t="n"/>
      <c r="AY114" s="38" t="n"/>
      <c r="AZ114" s="38" t="n"/>
      <c r="BA114" s="38" t="n"/>
      <c r="BB114" s="38" t="n"/>
      <c r="BC114" s="38" t="n"/>
      <c r="BD114" s="38" t="n"/>
      <c r="BE114" s="35" t="n"/>
      <c r="BF114" s="35" t="n"/>
      <c r="BG114" s="38" t="n"/>
      <c r="BH114" s="38" t="n"/>
      <c r="BI114" s="38" t="n"/>
      <c r="BJ114" s="35" t="n"/>
      <c r="BK114" s="38" t="n"/>
      <c r="BL114" s="33">
        <f>IF(OR(AU114="",AV114=""),"",AV114-AU114)</f>
        <v/>
      </c>
      <c r="BM114" s="33">
        <f>IF(OR(AV114="",AW114=""),"",AW114-AV114)</f>
        <v/>
      </c>
      <c r="BN114" s="33">
        <f>IF(OR(AW114="",AX114=""),"",AX114-AW114)</f>
        <v/>
      </c>
      <c r="BO114" s="33">
        <f>IF(OR(AX114="",BA114=""),"",BA114-AX114)</f>
        <v/>
      </c>
      <c r="BP114" s="33">
        <f>IF(OR(AV114="",BA114=""),"",BA114-AV114)</f>
        <v/>
      </c>
      <c r="BQ114" s="33">
        <f>IF(OR(BB114="",BD114=""),"",BD114-BB114)</f>
        <v/>
      </c>
      <c r="BR114" s="33">
        <f>IF(OR(AX114="",BD114=""),"",BD114-AX114)</f>
        <v/>
      </c>
      <c r="BS114" s="33">
        <f>IF(OR(AW114="",BD114=""),"",BD114-AW114)</f>
        <v/>
      </c>
      <c r="BT114" s="33">
        <f>IF(OR(AV114="",BD114=""),"",BD114-AV114)</f>
        <v/>
      </c>
      <c r="BU114" s="33">
        <f>IF(OR(AU114="",BD114=""),"",BD114-AU114)</f>
        <v/>
      </c>
      <c r="BV114" s="33">
        <f>IF(OR(BB114="",BG114=""),"",BG114-BB114)</f>
        <v/>
      </c>
      <c r="BW114" s="33">
        <f>IF(OR(BG114="",BH114=""),"",BH114-BG114)</f>
        <v/>
      </c>
      <c r="BX114" s="33">
        <f>IF(OR(BG114="",BI114=""),"",BI114-BG114)</f>
        <v/>
      </c>
      <c r="BY114" s="39">
        <f>IF(OR(AX114="",BK114=""),"",ROUND((BK114-AX114)/30.44,1))</f>
        <v/>
      </c>
      <c r="BZ114" s="37">
        <f>IF(BR114="","",IF(BR114&lt;=30,1,0))</f>
        <v/>
      </c>
      <c r="CA114" s="37">
        <f>IF(BR114="","",IF(BR114&gt;40.5,1,0))</f>
        <v/>
      </c>
      <c r="CB114" s="37">
        <f>IF(BR114="","",IF(BR114&gt;60,1,0))</f>
        <v/>
      </c>
      <c r="CC114" s="37">
        <f>IF(BR114="","",IF(BR114&gt;67,1,0))</f>
        <v/>
      </c>
      <c r="CD114" s="37">
        <f>IF(BT114="","",IF(BT114&lt;=30,1,0))</f>
        <v/>
      </c>
      <c r="CE114" s="37">
        <f>IF(BQ114="","",IF(BQ114&lt;=28,1,0))</f>
        <v/>
      </c>
      <c r="CF114" s="37">
        <f>IF(OR(BV114="",BE114&lt;&gt;"ניתוח"),"",IF(BV114&lt;=30,1,0))</f>
        <v/>
      </c>
      <c r="CG114" s="37">
        <f>IF(BU114="","",IF(BU114&lt;=56,1,0))</f>
        <v/>
      </c>
      <c r="CH114" s="37">
        <f>IF(BW114="","",IF(BW114&lt;=42,1,0))</f>
        <v/>
      </c>
      <c r="CI114" s="37">
        <f>IF(BX114="","",IF(BX114&lt;=100,1,0))</f>
        <v/>
      </c>
      <c r="CJ114" s="33">
        <f>IF(A114="","",COUNTIF(Delays!$B$5:$B$404,A114))</f>
        <v/>
      </c>
      <c r="CK114" s="35" t="n"/>
    </row>
    <row r="115">
      <c r="A115" s="33">
        <f>IF(OR(B115="",C115="",D115="",AX115=""),"","RET-"&amp;RIGHT(YEAR(AX115),2)&amp;"-"&amp;TEXT(B115,"000")&amp;"-"&amp;C115&amp;"-"&amp;D115&amp;"-"&amp;TEXT(MONTH(AX115),"00"))</f>
        <v/>
      </c>
      <c r="B115" s="34" t="n">
        <v>110</v>
      </c>
      <c r="C115" s="35" t="n"/>
      <c r="D115" s="35" t="n"/>
      <c r="E115" s="33">
        <f>IF(AX115="","",YEAR(AX115))</f>
        <v/>
      </c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6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7">
        <f>IF(Y115="","",IF(OR(Y115="III",Y115="IV",Y115="IVA",Y115="IVB",Y115="IVC"),1,0))</f>
        <v/>
      </c>
      <c r="AA115" s="35" t="n"/>
      <c r="AB115" s="35" t="n"/>
      <c r="AC115" s="35" t="n"/>
      <c r="AD115" s="35" t="n"/>
      <c r="AE115" s="35" t="n"/>
      <c r="AF115" s="35" t="n"/>
      <c r="AG115" s="35" t="n"/>
      <c r="AH115" s="35" t="n"/>
      <c r="AI115" s="35" t="n"/>
      <c r="AJ115" s="35" t="n"/>
      <c r="AK115" s="35" t="n"/>
      <c r="AL115" s="35" t="n"/>
      <c r="AM115" s="35" t="n"/>
      <c r="AN115" s="35" t="n"/>
      <c r="AO115" s="35" t="n"/>
      <c r="AP115" s="35" t="n"/>
      <c r="AQ115" s="35" t="n"/>
      <c r="AR115" s="35" t="n"/>
      <c r="AS115" s="35" t="n"/>
      <c r="AT115" s="35" t="n"/>
      <c r="AU115" s="38" t="n"/>
      <c r="AV115" s="38" t="n"/>
      <c r="AW115" s="38" t="n"/>
      <c r="AX115" s="38" t="n"/>
      <c r="AY115" s="38" t="n"/>
      <c r="AZ115" s="38" t="n"/>
      <c r="BA115" s="38" t="n"/>
      <c r="BB115" s="38" t="n"/>
      <c r="BC115" s="38" t="n"/>
      <c r="BD115" s="38" t="n"/>
      <c r="BE115" s="35" t="n"/>
      <c r="BF115" s="35" t="n"/>
      <c r="BG115" s="38" t="n"/>
      <c r="BH115" s="38" t="n"/>
      <c r="BI115" s="38" t="n"/>
      <c r="BJ115" s="35" t="n"/>
      <c r="BK115" s="38" t="n"/>
      <c r="BL115" s="33">
        <f>IF(OR(AU115="",AV115=""),"",AV115-AU115)</f>
        <v/>
      </c>
      <c r="BM115" s="33">
        <f>IF(OR(AV115="",AW115=""),"",AW115-AV115)</f>
        <v/>
      </c>
      <c r="BN115" s="33">
        <f>IF(OR(AW115="",AX115=""),"",AX115-AW115)</f>
        <v/>
      </c>
      <c r="BO115" s="33">
        <f>IF(OR(AX115="",BA115=""),"",BA115-AX115)</f>
        <v/>
      </c>
      <c r="BP115" s="33">
        <f>IF(OR(AV115="",BA115=""),"",BA115-AV115)</f>
        <v/>
      </c>
      <c r="BQ115" s="33">
        <f>IF(OR(BB115="",BD115=""),"",BD115-BB115)</f>
        <v/>
      </c>
      <c r="BR115" s="33">
        <f>IF(OR(AX115="",BD115=""),"",BD115-AX115)</f>
        <v/>
      </c>
      <c r="BS115" s="33">
        <f>IF(OR(AW115="",BD115=""),"",BD115-AW115)</f>
        <v/>
      </c>
      <c r="BT115" s="33">
        <f>IF(OR(AV115="",BD115=""),"",BD115-AV115)</f>
        <v/>
      </c>
      <c r="BU115" s="33">
        <f>IF(OR(AU115="",BD115=""),"",BD115-AU115)</f>
        <v/>
      </c>
      <c r="BV115" s="33">
        <f>IF(OR(BB115="",BG115=""),"",BG115-BB115)</f>
        <v/>
      </c>
      <c r="BW115" s="33">
        <f>IF(OR(BG115="",BH115=""),"",BH115-BG115)</f>
        <v/>
      </c>
      <c r="BX115" s="33">
        <f>IF(OR(BG115="",BI115=""),"",BI115-BG115)</f>
        <v/>
      </c>
      <c r="BY115" s="39">
        <f>IF(OR(AX115="",BK115=""),"",ROUND((BK115-AX115)/30.44,1))</f>
        <v/>
      </c>
      <c r="BZ115" s="37">
        <f>IF(BR115="","",IF(BR115&lt;=30,1,0))</f>
        <v/>
      </c>
      <c r="CA115" s="37">
        <f>IF(BR115="","",IF(BR115&gt;40.5,1,0))</f>
        <v/>
      </c>
      <c r="CB115" s="37">
        <f>IF(BR115="","",IF(BR115&gt;60,1,0))</f>
        <v/>
      </c>
      <c r="CC115" s="37">
        <f>IF(BR115="","",IF(BR115&gt;67,1,0))</f>
        <v/>
      </c>
      <c r="CD115" s="37">
        <f>IF(BT115="","",IF(BT115&lt;=30,1,0))</f>
        <v/>
      </c>
      <c r="CE115" s="37">
        <f>IF(BQ115="","",IF(BQ115&lt;=28,1,0))</f>
        <v/>
      </c>
      <c r="CF115" s="37">
        <f>IF(OR(BV115="",BE115&lt;&gt;"ניתוח"),"",IF(BV115&lt;=30,1,0))</f>
        <v/>
      </c>
      <c r="CG115" s="37">
        <f>IF(BU115="","",IF(BU115&lt;=56,1,0))</f>
        <v/>
      </c>
      <c r="CH115" s="37">
        <f>IF(BW115="","",IF(BW115&lt;=42,1,0))</f>
        <v/>
      </c>
      <c r="CI115" s="37">
        <f>IF(BX115="","",IF(BX115&lt;=100,1,0))</f>
        <v/>
      </c>
      <c r="CJ115" s="33">
        <f>IF(A115="","",COUNTIF(Delays!$B$5:$B$404,A115))</f>
        <v/>
      </c>
      <c r="CK115" s="35" t="n"/>
    </row>
    <row r="116">
      <c r="A116" s="33">
        <f>IF(OR(B116="",C116="",D116="",AX116=""),"","RET-"&amp;RIGHT(YEAR(AX116),2)&amp;"-"&amp;TEXT(B116,"000")&amp;"-"&amp;C116&amp;"-"&amp;D116&amp;"-"&amp;TEXT(MONTH(AX116),"00"))</f>
        <v/>
      </c>
      <c r="B116" s="34" t="n">
        <v>111</v>
      </c>
      <c r="C116" s="35" t="n"/>
      <c r="D116" s="35" t="n"/>
      <c r="E116" s="33">
        <f>IF(AX116="","",YEAR(AX116))</f>
        <v/>
      </c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6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7">
        <f>IF(Y116="","",IF(OR(Y116="III",Y116="IV",Y116="IVA",Y116="IVB",Y116="IVC"),1,0))</f>
        <v/>
      </c>
      <c r="AA116" s="35" t="n"/>
      <c r="AB116" s="35" t="n"/>
      <c r="AC116" s="35" t="n"/>
      <c r="AD116" s="35" t="n"/>
      <c r="AE116" s="35" t="n"/>
      <c r="AF116" s="35" t="n"/>
      <c r="AG116" s="35" t="n"/>
      <c r="AH116" s="35" t="n"/>
      <c r="AI116" s="35" t="n"/>
      <c r="AJ116" s="35" t="n"/>
      <c r="AK116" s="35" t="n"/>
      <c r="AL116" s="35" t="n"/>
      <c r="AM116" s="35" t="n"/>
      <c r="AN116" s="35" t="n"/>
      <c r="AO116" s="35" t="n"/>
      <c r="AP116" s="35" t="n"/>
      <c r="AQ116" s="35" t="n"/>
      <c r="AR116" s="35" t="n"/>
      <c r="AS116" s="35" t="n"/>
      <c r="AT116" s="35" t="n"/>
      <c r="AU116" s="38" t="n"/>
      <c r="AV116" s="38" t="n"/>
      <c r="AW116" s="38" t="n"/>
      <c r="AX116" s="38" t="n"/>
      <c r="AY116" s="38" t="n"/>
      <c r="AZ116" s="38" t="n"/>
      <c r="BA116" s="38" t="n"/>
      <c r="BB116" s="38" t="n"/>
      <c r="BC116" s="38" t="n"/>
      <c r="BD116" s="38" t="n"/>
      <c r="BE116" s="35" t="n"/>
      <c r="BF116" s="35" t="n"/>
      <c r="BG116" s="38" t="n"/>
      <c r="BH116" s="38" t="n"/>
      <c r="BI116" s="38" t="n"/>
      <c r="BJ116" s="35" t="n"/>
      <c r="BK116" s="38" t="n"/>
      <c r="BL116" s="33">
        <f>IF(OR(AU116="",AV116=""),"",AV116-AU116)</f>
        <v/>
      </c>
      <c r="BM116" s="33">
        <f>IF(OR(AV116="",AW116=""),"",AW116-AV116)</f>
        <v/>
      </c>
      <c r="BN116" s="33">
        <f>IF(OR(AW116="",AX116=""),"",AX116-AW116)</f>
        <v/>
      </c>
      <c r="BO116" s="33">
        <f>IF(OR(AX116="",BA116=""),"",BA116-AX116)</f>
        <v/>
      </c>
      <c r="BP116" s="33">
        <f>IF(OR(AV116="",BA116=""),"",BA116-AV116)</f>
        <v/>
      </c>
      <c r="BQ116" s="33">
        <f>IF(OR(BB116="",BD116=""),"",BD116-BB116)</f>
        <v/>
      </c>
      <c r="BR116" s="33">
        <f>IF(OR(AX116="",BD116=""),"",BD116-AX116)</f>
        <v/>
      </c>
      <c r="BS116" s="33">
        <f>IF(OR(AW116="",BD116=""),"",BD116-AW116)</f>
        <v/>
      </c>
      <c r="BT116" s="33">
        <f>IF(OR(AV116="",BD116=""),"",BD116-AV116)</f>
        <v/>
      </c>
      <c r="BU116" s="33">
        <f>IF(OR(AU116="",BD116=""),"",BD116-AU116)</f>
        <v/>
      </c>
      <c r="BV116" s="33">
        <f>IF(OR(BB116="",BG116=""),"",BG116-BB116)</f>
        <v/>
      </c>
      <c r="BW116" s="33">
        <f>IF(OR(BG116="",BH116=""),"",BH116-BG116)</f>
        <v/>
      </c>
      <c r="BX116" s="33">
        <f>IF(OR(BG116="",BI116=""),"",BI116-BG116)</f>
        <v/>
      </c>
      <c r="BY116" s="39">
        <f>IF(OR(AX116="",BK116=""),"",ROUND((BK116-AX116)/30.44,1))</f>
        <v/>
      </c>
      <c r="BZ116" s="37">
        <f>IF(BR116="","",IF(BR116&lt;=30,1,0))</f>
        <v/>
      </c>
      <c r="CA116" s="37">
        <f>IF(BR116="","",IF(BR116&gt;40.5,1,0))</f>
        <v/>
      </c>
      <c r="CB116" s="37">
        <f>IF(BR116="","",IF(BR116&gt;60,1,0))</f>
        <v/>
      </c>
      <c r="CC116" s="37">
        <f>IF(BR116="","",IF(BR116&gt;67,1,0))</f>
        <v/>
      </c>
      <c r="CD116" s="37">
        <f>IF(BT116="","",IF(BT116&lt;=30,1,0))</f>
        <v/>
      </c>
      <c r="CE116" s="37">
        <f>IF(BQ116="","",IF(BQ116&lt;=28,1,0))</f>
        <v/>
      </c>
      <c r="CF116" s="37">
        <f>IF(OR(BV116="",BE116&lt;&gt;"ניתוח"),"",IF(BV116&lt;=30,1,0))</f>
        <v/>
      </c>
      <c r="CG116" s="37">
        <f>IF(BU116="","",IF(BU116&lt;=56,1,0))</f>
        <v/>
      </c>
      <c r="CH116" s="37">
        <f>IF(BW116="","",IF(BW116&lt;=42,1,0))</f>
        <v/>
      </c>
      <c r="CI116" s="37">
        <f>IF(BX116="","",IF(BX116&lt;=100,1,0))</f>
        <v/>
      </c>
      <c r="CJ116" s="33">
        <f>IF(A116="","",COUNTIF(Delays!$B$5:$B$404,A116))</f>
        <v/>
      </c>
      <c r="CK116" s="35" t="n"/>
    </row>
    <row r="117">
      <c r="A117" s="33">
        <f>IF(OR(B117="",C117="",D117="",AX117=""),"","RET-"&amp;RIGHT(YEAR(AX117),2)&amp;"-"&amp;TEXT(B117,"000")&amp;"-"&amp;C117&amp;"-"&amp;D117&amp;"-"&amp;TEXT(MONTH(AX117),"00"))</f>
        <v/>
      </c>
      <c r="B117" s="34" t="n">
        <v>112</v>
      </c>
      <c r="C117" s="35" t="n"/>
      <c r="D117" s="35" t="n"/>
      <c r="E117" s="33">
        <f>IF(AX117="","",YEAR(AX117))</f>
        <v/>
      </c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6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7">
        <f>IF(Y117="","",IF(OR(Y117="III",Y117="IV",Y117="IVA",Y117="IVB",Y117="IVC"),1,0))</f>
        <v/>
      </c>
      <c r="AA117" s="35" t="n"/>
      <c r="AB117" s="35" t="n"/>
      <c r="AC117" s="35" t="n"/>
      <c r="AD117" s="35" t="n"/>
      <c r="AE117" s="35" t="n"/>
      <c r="AF117" s="35" t="n"/>
      <c r="AG117" s="35" t="n"/>
      <c r="AH117" s="35" t="n"/>
      <c r="AI117" s="35" t="n"/>
      <c r="AJ117" s="35" t="n"/>
      <c r="AK117" s="35" t="n"/>
      <c r="AL117" s="35" t="n"/>
      <c r="AM117" s="35" t="n"/>
      <c r="AN117" s="35" t="n"/>
      <c r="AO117" s="35" t="n"/>
      <c r="AP117" s="35" t="n"/>
      <c r="AQ117" s="35" t="n"/>
      <c r="AR117" s="35" t="n"/>
      <c r="AS117" s="35" t="n"/>
      <c r="AT117" s="35" t="n"/>
      <c r="AU117" s="38" t="n"/>
      <c r="AV117" s="38" t="n"/>
      <c r="AW117" s="38" t="n"/>
      <c r="AX117" s="38" t="n"/>
      <c r="AY117" s="38" t="n"/>
      <c r="AZ117" s="38" t="n"/>
      <c r="BA117" s="38" t="n"/>
      <c r="BB117" s="38" t="n"/>
      <c r="BC117" s="38" t="n"/>
      <c r="BD117" s="38" t="n"/>
      <c r="BE117" s="35" t="n"/>
      <c r="BF117" s="35" t="n"/>
      <c r="BG117" s="38" t="n"/>
      <c r="BH117" s="38" t="n"/>
      <c r="BI117" s="38" t="n"/>
      <c r="BJ117" s="35" t="n"/>
      <c r="BK117" s="38" t="n"/>
      <c r="BL117" s="33">
        <f>IF(OR(AU117="",AV117=""),"",AV117-AU117)</f>
        <v/>
      </c>
      <c r="BM117" s="33">
        <f>IF(OR(AV117="",AW117=""),"",AW117-AV117)</f>
        <v/>
      </c>
      <c r="BN117" s="33">
        <f>IF(OR(AW117="",AX117=""),"",AX117-AW117)</f>
        <v/>
      </c>
      <c r="BO117" s="33">
        <f>IF(OR(AX117="",BA117=""),"",BA117-AX117)</f>
        <v/>
      </c>
      <c r="BP117" s="33">
        <f>IF(OR(AV117="",BA117=""),"",BA117-AV117)</f>
        <v/>
      </c>
      <c r="BQ117" s="33">
        <f>IF(OR(BB117="",BD117=""),"",BD117-BB117)</f>
        <v/>
      </c>
      <c r="BR117" s="33">
        <f>IF(OR(AX117="",BD117=""),"",BD117-AX117)</f>
        <v/>
      </c>
      <c r="BS117" s="33">
        <f>IF(OR(AW117="",BD117=""),"",BD117-AW117)</f>
        <v/>
      </c>
      <c r="BT117" s="33">
        <f>IF(OR(AV117="",BD117=""),"",BD117-AV117)</f>
        <v/>
      </c>
      <c r="BU117" s="33">
        <f>IF(OR(AU117="",BD117=""),"",BD117-AU117)</f>
        <v/>
      </c>
      <c r="BV117" s="33">
        <f>IF(OR(BB117="",BG117=""),"",BG117-BB117)</f>
        <v/>
      </c>
      <c r="BW117" s="33">
        <f>IF(OR(BG117="",BH117=""),"",BH117-BG117)</f>
        <v/>
      </c>
      <c r="BX117" s="33">
        <f>IF(OR(BG117="",BI117=""),"",BI117-BG117)</f>
        <v/>
      </c>
      <c r="BY117" s="39">
        <f>IF(OR(AX117="",BK117=""),"",ROUND((BK117-AX117)/30.44,1))</f>
        <v/>
      </c>
      <c r="BZ117" s="37">
        <f>IF(BR117="","",IF(BR117&lt;=30,1,0))</f>
        <v/>
      </c>
      <c r="CA117" s="37">
        <f>IF(BR117="","",IF(BR117&gt;40.5,1,0))</f>
        <v/>
      </c>
      <c r="CB117" s="37">
        <f>IF(BR117="","",IF(BR117&gt;60,1,0))</f>
        <v/>
      </c>
      <c r="CC117" s="37">
        <f>IF(BR117="","",IF(BR117&gt;67,1,0))</f>
        <v/>
      </c>
      <c r="CD117" s="37">
        <f>IF(BT117="","",IF(BT117&lt;=30,1,0))</f>
        <v/>
      </c>
      <c r="CE117" s="37">
        <f>IF(BQ117="","",IF(BQ117&lt;=28,1,0))</f>
        <v/>
      </c>
      <c r="CF117" s="37">
        <f>IF(OR(BV117="",BE117&lt;&gt;"ניתוח"),"",IF(BV117&lt;=30,1,0))</f>
        <v/>
      </c>
      <c r="CG117" s="37">
        <f>IF(BU117="","",IF(BU117&lt;=56,1,0))</f>
        <v/>
      </c>
      <c r="CH117" s="37">
        <f>IF(BW117="","",IF(BW117&lt;=42,1,0))</f>
        <v/>
      </c>
      <c r="CI117" s="37">
        <f>IF(BX117="","",IF(BX117&lt;=100,1,0))</f>
        <v/>
      </c>
      <c r="CJ117" s="33">
        <f>IF(A117="","",COUNTIF(Delays!$B$5:$B$404,A117))</f>
        <v/>
      </c>
      <c r="CK117" s="35" t="n"/>
    </row>
    <row r="118">
      <c r="A118" s="33">
        <f>IF(OR(B118="",C118="",D118="",AX118=""),"","RET-"&amp;RIGHT(YEAR(AX118),2)&amp;"-"&amp;TEXT(B118,"000")&amp;"-"&amp;C118&amp;"-"&amp;D118&amp;"-"&amp;TEXT(MONTH(AX118),"00"))</f>
        <v/>
      </c>
      <c r="B118" s="34" t="n">
        <v>113</v>
      </c>
      <c r="C118" s="35" t="n"/>
      <c r="D118" s="35" t="n"/>
      <c r="E118" s="33">
        <f>IF(AX118="","",YEAR(AX118))</f>
        <v/>
      </c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6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7">
        <f>IF(Y118="","",IF(OR(Y118="III",Y118="IV",Y118="IVA",Y118="IVB",Y118="IVC"),1,0))</f>
        <v/>
      </c>
      <c r="AA118" s="35" t="n"/>
      <c r="AB118" s="35" t="n"/>
      <c r="AC118" s="35" t="n"/>
      <c r="AD118" s="35" t="n"/>
      <c r="AE118" s="35" t="n"/>
      <c r="AF118" s="35" t="n"/>
      <c r="AG118" s="35" t="n"/>
      <c r="AH118" s="35" t="n"/>
      <c r="AI118" s="35" t="n"/>
      <c r="AJ118" s="35" t="n"/>
      <c r="AK118" s="35" t="n"/>
      <c r="AL118" s="35" t="n"/>
      <c r="AM118" s="35" t="n"/>
      <c r="AN118" s="35" t="n"/>
      <c r="AO118" s="35" t="n"/>
      <c r="AP118" s="35" t="n"/>
      <c r="AQ118" s="35" t="n"/>
      <c r="AR118" s="35" t="n"/>
      <c r="AS118" s="35" t="n"/>
      <c r="AT118" s="35" t="n"/>
      <c r="AU118" s="38" t="n"/>
      <c r="AV118" s="38" t="n"/>
      <c r="AW118" s="38" t="n"/>
      <c r="AX118" s="38" t="n"/>
      <c r="AY118" s="38" t="n"/>
      <c r="AZ118" s="38" t="n"/>
      <c r="BA118" s="38" t="n"/>
      <c r="BB118" s="38" t="n"/>
      <c r="BC118" s="38" t="n"/>
      <c r="BD118" s="38" t="n"/>
      <c r="BE118" s="35" t="n"/>
      <c r="BF118" s="35" t="n"/>
      <c r="BG118" s="38" t="n"/>
      <c r="BH118" s="38" t="n"/>
      <c r="BI118" s="38" t="n"/>
      <c r="BJ118" s="35" t="n"/>
      <c r="BK118" s="38" t="n"/>
      <c r="BL118" s="33">
        <f>IF(OR(AU118="",AV118=""),"",AV118-AU118)</f>
        <v/>
      </c>
      <c r="BM118" s="33">
        <f>IF(OR(AV118="",AW118=""),"",AW118-AV118)</f>
        <v/>
      </c>
      <c r="BN118" s="33">
        <f>IF(OR(AW118="",AX118=""),"",AX118-AW118)</f>
        <v/>
      </c>
      <c r="BO118" s="33">
        <f>IF(OR(AX118="",BA118=""),"",BA118-AX118)</f>
        <v/>
      </c>
      <c r="BP118" s="33">
        <f>IF(OR(AV118="",BA118=""),"",BA118-AV118)</f>
        <v/>
      </c>
      <c r="BQ118" s="33">
        <f>IF(OR(BB118="",BD118=""),"",BD118-BB118)</f>
        <v/>
      </c>
      <c r="BR118" s="33">
        <f>IF(OR(AX118="",BD118=""),"",BD118-AX118)</f>
        <v/>
      </c>
      <c r="BS118" s="33">
        <f>IF(OR(AW118="",BD118=""),"",BD118-AW118)</f>
        <v/>
      </c>
      <c r="BT118" s="33">
        <f>IF(OR(AV118="",BD118=""),"",BD118-AV118)</f>
        <v/>
      </c>
      <c r="BU118" s="33">
        <f>IF(OR(AU118="",BD118=""),"",BD118-AU118)</f>
        <v/>
      </c>
      <c r="BV118" s="33">
        <f>IF(OR(BB118="",BG118=""),"",BG118-BB118)</f>
        <v/>
      </c>
      <c r="BW118" s="33">
        <f>IF(OR(BG118="",BH118=""),"",BH118-BG118)</f>
        <v/>
      </c>
      <c r="BX118" s="33">
        <f>IF(OR(BG118="",BI118=""),"",BI118-BG118)</f>
        <v/>
      </c>
      <c r="BY118" s="39">
        <f>IF(OR(AX118="",BK118=""),"",ROUND((BK118-AX118)/30.44,1))</f>
        <v/>
      </c>
      <c r="BZ118" s="37">
        <f>IF(BR118="","",IF(BR118&lt;=30,1,0))</f>
        <v/>
      </c>
      <c r="CA118" s="37">
        <f>IF(BR118="","",IF(BR118&gt;40.5,1,0))</f>
        <v/>
      </c>
      <c r="CB118" s="37">
        <f>IF(BR118="","",IF(BR118&gt;60,1,0))</f>
        <v/>
      </c>
      <c r="CC118" s="37">
        <f>IF(BR118="","",IF(BR118&gt;67,1,0))</f>
        <v/>
      </c>
      <c r="CD118" s="37">
        <f>IF(BT118="","",IF(BT118&lt;=30,1,0))</f>
        <v/>
      </c>
      <c r="CE118" s="37">
        <f>IF(BQ118="","",IF(BQ118&lt;=28,1,0))</f>
        <v/>
      </c>
      <c r="CF118" s="37">
        <f>IF(OR(BV118="",BE118&lt;&gt;"ניתוח"),"",IF(BV118&lt;=30,1,0))</f>
        <v/>
      </c>
      <c r="CG118" s="37">
        <f>IF(BU118="","",IF(BU118&lt;=56,1,0))</f>
        <v/>
      </c>
      <c r="CH118" s="37">
        <f>IF(BW118="","",IF(BW118&lt;=42,1,0))</f>
        <v/>
      </c>
      <c r="CI118" s="37">
        <f>IF(BX118="","",IF(BX118&lt;=100,1,0))</f>
        <v/>
      </c>
      <c r="CJ118" s="33">
        <f>IF(A118="","",COUNTIF(Delays!$B$5:$B$404,A118))</f>
        <v/>
      </c>
      <c r="CK118" s="35" t="n"/>
    </row>
    <row r="119">
      <c r="A119" s="33">
        <f>IF(OR(B119="",C119="",D119="",AX119=""),"","RET-"&amp;RIGHT(YEAR(AX119),2)&amp;"-"&amp;TEXT(B119,"000")&amp;"-"&amp;C119&amp;"-"&amp;D119&amp;"-"&amp;TEXT(MONTH(AX119),"00"))</f>
        <v/>
      </c>
      <c r="B119" s="34" t="n">
        <v>114</v>
      </c>
      <c r="C119" s="35" t="n"/>
      <c r="D119" s="35" t="n"/>
      <c r="E119" s="33">
        <f>IF(AX119="","",YEAR(AX119))</f>
        <v/>
      </c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6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7">
        <f>IF(Y119="","",IF(OR(Y119="III",Y119="IV",Y119="IVA",Y119="IVB",Y119="IVC"),1,0))</f>
        <v/>
      </c>
      <c r="AA119" s="35" t="n"/>
      <c r="AB119" s="35" t="n"/>
      <c r="AC119" s="35" t="n"/>
      <c r="AD119" s="35" t="n"/>
      <c r="AE119" s="35" t="n"/>
      <c r="AF119" s="35" t="n"/>
      <c r="AG119" s="35" t="n"/>
      <c r="AH119" s="35" t="n"/>
      <c r="AI119" s="35" t="n"/>
      <c r="AJ119" s="35" t="n"/>
      <c r="AK119" s="35" t="n"/>
      <c r="AL119" s="35" t="n"/>
      <c r="AM119" s="35" t="n"/>
      <c r="AN119" s="35" t="n"/>
      <c r="AO119" s="35" t="n"/>
      <c r="AP119" s="35" t="n"/>
      <c r="AQ119" s="35" t="n"/>
      <c r="AR119" s="35" t="n"/>
      <c r="AS119" s="35" t="n"/>
      <c r="AT119" s="35" t="n"/>
      <c r="AU119" s="38" t="n"/>
      <c r="AV119" s="38" t="n"/>
      <c r="AW119" s="38" t="n"/>
      <c r="AX119" s="38" t="n"/>
      <c r="AY119" s="38" t="n"/>
      <c r="AZ119" s="38" t="n"/>
      <c r="BA119" s="38" t="n"/>
      <c r="BB119" s="38" t="n"/>
      <c r="BC119" s="38" t="n"/>
      <c r="BD119" s="38" t="n"/>
      <c r="BE119" s="35" t="n"/>
      <c r="BF119" s="35" t="n"/>
      <c r="BG119" s="38" t="n"/>
      <c r="BH119" s="38" t="n"/>
      <c r="BI119" s="38" t="n"/>
      <c r="BJ119" s="35" t="n"/>
      <c r="BK119" s="38" t="n"/>
      <c r="BL119" s="33">
        <f>IF(OR(AU119="",AV119=""),"",AV119-AU119)</f>
        <v/>
      </c>
      <c r="BM119" s="33">
        <f>IF(OR(AV119="",AW119=""),"",AW119-AV119)</f>
        <v/>
      </c>
      <c r="BN119" s="33">
        <f>IF(OR(AW119="",AX119=""),"",AX119-AW119)</f>
        <v/>
      </c>
      <c r="BO119" s="33">
        <f>IF(OR(AX119="",BA119=""),"",BA119-AX119)</f>
        <v/>
      </c>
      <c r="BP119" s="33">
        <f>IF(OR(AV119="",BA119=""),"",BA119-AV119)</f>
        <v/>
      </c>
      <c r="BQ119" s="33">
        <f>IF(OR(BB119="",BD119=""),"",BD119-BB119)</f>
        <v/>
      </c>
      <c r="BR119" s="33">
        <f>IF(OR(AX119="",BD119=""),"",BD119-AX119)</f>
        <v/>
      </c>
      <c r="BS119" s="33">
        <f>IF(OR(AW119="",BD119=""),"",BD119-AW119)</f>
        <v/>
      </c>
      <c r="BT119" s="33">
        <f>IF(OR(AV119="",BD119=""),"",BD119-AV119)</f>
        <v/>
      </c>
      <c r="BU119" s="33">
        <f>IF(OR(AU119="",BD119=""),"",BD119-AU119)</f>
        <v/>
      </c>
      <c r="BV119" s="33">
        <f>IF(OR(BB119="",BG119=""),"",BG119-BB119)</f>
        <v/>
      </c>
      <c r="BW119" s="33">
        <f>IF(OR(BG119="",BH119=""),"",BH119-BG119)</f>
        <v/>
      </c>
      <c r="BX119" s="33">
        <f>IF(OR(BG119="",BI119=""),"",BI119-BG119)</f>
        <v/>
      </c>
      <c r="BY119" s="39">
        <f>IF(OR(AX119="",BK119=""),"",ROUND((BK119-AX119)/30.44,1))</f>
        <v/>
      </c>
      <c r="BZ119" s="37">
        <f>IF(BR119="","",IF(BR119&lt;=30,1,0))</f>
        <v/>
      </c>
      <c r="CA119" s="37">
        <f>IF(BR119="","",IF(BR119&gt;40.5,1,0))</f>
        <v/>
      </c>
      <c r="CB119" s="37">
        <f>IF(BR119="","",IF(BR119&gt;60,1,0))</f>
        <v/>
      </c>
      <c r="CC119" s="37">
        <f>IF(BR119="","",IF(BR119&gt;67,1,0))</f>
        <v/>
      </c>
      <c r="CD119" s="37">
        <f>IF(BT119="","",IF(BT119&lt;=30,1,0))</f>
        <v/>
      </c>
      <c r="CE119" s="37">
        <f>IF(BQ119="","",IF(BQ119&lt;=28,1,0))</f>
        <v/>
      </c>
      <c r="CF119" s="37">
        <f>IF(OR(BV119="",BE119&lt;&gt;"ניתוח"),"",IF(BV119&lt;=30,1,0))</f>
        <v/>
      </c>
      <c r="CG119" s="37">
        <f>IF(BU119="","",IF(BU119&lt;=56,1,0))</f>
        <v/>
      </c>
      <c r="CH119" s="37">
        <f>IF(BW119="","",IF(BW119&lt;=42,1,0))</f>
        <v/>
      </c>
      <c r="CI119" s="37">
        <f>IF(BX119="","",IF(BX119&lt;=100,1,0))</f>
        <v/>
      </c>
      <c r="CJ119" s="33">
        <f>IF(A119="","",COUNTIF(Delays!$B$5:$B$404,A119))</f>
        <v/>
      </c>
      <c r="CK119" s="35" t="n"/>
    </row>
    <row r="120">
      <c r="A120" s="33">
        <f>IF(OR(B120="",C120="",D120="",AX120=""),"","RET-"&amp;RIGHT(YEAR(AX120),2)&amp;"-"&amp;TEXT(B120,"000")&amp;"-"&amp;C120&amp;"-"&amp;D120&amp;"-"&amp;TEXT(MONTH(AX120),"00"))</f>
        <v/>
      </c>
      <c r="B120" s="34" t="n">
        <v>115</v>
      </c>
      <c r="C120" s="35" t="n"/>
      <c r="D120" s="35" t="n"/>
      <c r="E120" s="33">
        <f>IF(AX120="","",YEAR(AX120))</f>
        <v/>
      </c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6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7">
        <f>IF(Y120="","",IF(OR(Y120="III",Y120="IV",Y120="IVA",Y120="IVB",Y120="IVC"),1,0))</f>
        <v/>
      </c>
      <c r="AA120" s="35" t="n"/>
      <c r="AB120" s="35" t="n"/>
      <c r="AC120" s="35" t="n"/>
      <c r="AD120" s="35" t="n"/>
      <c r="AE120" s="35" t="n"/>
      <c r="AF120" s="35" t="n"/>
      <c r="AG120" s="35" t="n"/>
      <c r="AH120" s="35" t="n"/>
      <c r="AI120" s="35" t="n"/>
      <c r="AJ120" s="35" t="n"/>
      <c r="AK120" s="35" t="n"/>
      <c r="AL120" s="35" t="n"/>
      <c r="AM120" s="35" t="n"/>
      <c r="AN120" s="35" t="n"/>
      <c r="AO120" s="35" t="n"/>
      <c r="AP120" s="35" t="n"/>
      <c r="AQ120" s="35" t="n"/>
      <c r="AR120" s="35" t="n"/>
      <c r="AS120" s="35" t="n"/>
      <c r="AT120" s="35" t="n"/>
      <c r="AU120" s="38" t="n"/>
      <c r="AV120" s="38" t="n"/>
      <c r="AW120" s="38" t="n"/>
      <c r="AX120" s="38" t="n"/>
      <c r="AY120" s="38" t="n"/>
      <c r="AZ120" s="38" t="n"/>
      <c r="BA120" s="38" t="n"/>
      <c r="BB120" s="38" t="n"/>
      <c r="BC120" s="38" t="n"/>
      <c r="BD120" s="38" t="n"/>
      <c r="BE120" s="35" t="n"/>
      <c r="BF120" s="35" t="n"/>
      <c r="BG120" s="38" t="n"/>
      <c r="BH120" s="38" t="n"/>
      <c r="BI120" s="38" t="n"/>
      <c r="BJ120" s="35" t="n"/>
      <c r="BK120" s="38" t="n"/>
      <c r="BL120" s="33">
        <f>IF(OR(AU120="",AV120=""),"",AV120-AU120)</f>
        <v/>
      </c>
      <c r="BM120" s="33">
        <f>IF(OR(AV120="",AW120=""),"",AW120-AV120)</f>
        <v/>
      </c>
      <c r="BN120" s="33">
        <f>IF(OR(AW120="",AX120=""),"",AX120-AW120)</f>
        <v/>
      </c>
      <c r="BO120" s="33">
        <f>IF(OR(AX120="",BA120=""),"",BA120-AX120)</f>
        <v/>
      </c>
      <c r="BP120" s="33">
        <f>IF(OR(AV120="",BA120=""),"",BA120-AV120)</f>
        <v/>
      </c>
      <c r="BQ120" s="33">
        <f>IF(OR(BB120="",BD120=""),"",BD120-BB120)</f>
        <v/>
      </c>
      <c r="BR120" s="33">
        <f>IF(OR(AX120="",BD120=""),"",BD120-AX120)</f>
        <v/>
      </c>
      <c r="BS120" s="33">
        <f>IF(OR(AW120="",BD120=""),"",BD120-AW120)</f>
        <v/>
      </c>
      <c r="BT120" s="33">
        <f>IF(OR(AV120="",BD120=""),"",BD120-AV120)</f>
        <v/>
      </c>
      <c r="BU120" s="33">
        <f>IF(OR(AU120="",BD120=""),"",BD120-AU120)</f>
        <v/>
      </c>
      <c r="BV120" s="33">
        <f>IF(OR(BB120="",BG120=""),"",BG120-BB120)</f>
        <v/>
      </c>
      <c r="BW120" s="33">
        <f>IF(OR(BG120="",BH120=""),"",BH120-BG120)</f>
        <v/>
      </c>
      <c r="BX120" s="33">
        <f>IF(OR(BG120="",BI120=""),"",BI120-BG120)</f>
        <v/>
      </c>
      <c r="BY120" s="39">
        <f>IF(OR(AX120="",BK120=""),"",ROUND((BK120-AX120)/30.44,1))</f>
        <v/>
      </c>
      <c r="BZ120" s="37">
        <f>IF(BR120="","",IF(BR120&lt;=30,1,0))</f>
        <v/>
      </c>
      <c r="CA120" s="37">
        <f>IF(BR120="","",IF(BR120&gt;40.5,1,0))</f>
        <v/>
      </c>
      <c r="CB120" s="37">
        <f>IF(BR120="","",IF(BR120&gt;60,1,0))</f>
        <v/>
      </c>
      <c r="CC120" s="37">
        <f>IF(BR120="","",IF(BR120&gt;67,1,0))</f>
        <v/>
      </c>
      <c r="CD120" s="37">
        <f>IF(BT120="","",IF(BT120&lt;=30,1,0))</f>
        <v/>
      </c>
      <c r="CE120" s="37">
        <f>IF(BQ120="","",IF(BQ120&lt;=28,1,0))</f>
        <v/>
      </c>
      <c r="CF120" s="37">
        <f>IF(OR(BV120="",BE120&lt;&gt;"ניתוח"),"",IF(BV120&lt;=30,1,0))</f>
        <v/>
      </c>
      <c r="CG120" s="37">
        <f>IF(BU120="","",IF(BU120&lt;=56,1,0))</f>
        <v/>
      </c>
      <c r="CH120" s="37">
        <f>IF(BW120="","",IF(BW120&lt;=42,1,0))</f>
        <v/>
      </c>
      <c r="CI120" s="37">
        <f>IF(BX120="","",IF(BX120&lt;=100,1,0))</f>
        <v/>
      </c>
      <c r="CJ120" s="33">
        <f>IF(A120="","",COUNTIF(Delays!$B$5:$B$404,A120))</f>
        <v/>
      </c>
      <c r="CK120" s="35" t="n"/>
    </row>
    <row r="121">
      <c r="A121" s="33">
        <f>IF(OR(B121="",C121="",D121="",AX121=""),"","RET-"&amp;RIGHT(YEAR(AX121),2)&amp;"-"&amp;TEXT(B121,"000")&amp;"-"&amp;C121&amp;"-"&amp;D121&amp;"-"&amp;TEXT(MONTH(AX121),"00"))</f>
        <v/>
      </c>
      <c r="B121" s="34" t="n">
        <v>116</v>
      </c>
      <c r="C121" s="35" t="n"/>
      <c r="D121" s="35" t="n"/>
      <c r="E121" s="33">
        <f>IF(AX121="","",YEAR(AX121))</f>
        <v/>
      </c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6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7">
        <f>IF(Y121="","",IF(OR(Y121="III",Y121="IV",Y121="IVA",Y121="IVB",Y121="IVC"),1,0))</f>
        <v/>
      </c>
      <c r="AA121" s="35" t="n"/>
      <c r="AB121" s="35" t="n"/>
      <c r="AC121" s="35" t="n"/>
      <c r="AD121" s="35" t="n"/>
      <c r="AE121" s="35" t="n"/>
      <c r="AF121" s="35" t="n"/>
      <c r="AG121" s="35" t="n"/>
      <c r="AH121" s="35" t="n"/>
      <c r="AI121" s="35" t="n"/>
      <c r="AJ121" s="35" t="n"/>
      <c r="AK121" s="35" t="n"/>
      <c r="AL121" s="35" t="n"/>
      <c r="AM121" s="35" t="n"/>
      <c r="AN121" s="35" t="n"/>
      <c r="AO121" s="35" t="n"/>
      <c r="AP121" s="35" t="n"/>
      <c r="AQ121" s="35" t="n"/>
      <c r="AR121" s="35" t="n"/>
      <c r="AS121" s="35" t="n"/>
      <c r="AT121" s="35" t="n"/>
      <c r="AU121" s="38" t="n"/>
      <c r="AV121" s="38" t="n"/>
      <c r="AW121" s="38" t="n"/>
      <c r="AX121" s="38" t="n"/>
      <c r="AY121" s="38" t="n"/>
      <c r="AZ121" s="38" t="n"/>
      <c r="BA121" s="38" t="n"/>
      <c r="BB121" s="38" t="n"/>
      <c r="BC121" s="38" t="n"/>
      <c r="BD121" s="38" t="n"/>
      <c r="BE121" s="35" t="n"/>
      <c r="BF121" s="35" t="n"/>
      <c r="BG121" s="38" t="n"/>
      <c r="BH121" s="38" t="n"/>
      <c r="BI121" s="38" t="n"/>
      <c r="BJ121" s="35" t="n"/>
      <c r="BK121" s="38" t="n"/>
      <c r="BL121" s="33">
        <f>IF(OR(AU121="",AV121=""),"",AV121-AU121)</f>
        <v/>
      </c>
      <c r="BM121" s="33">
        <f>IF(OR(AV121="",AW121=""),"",AW121-AV121)</f>
        <v/>
      </c>
      <c r="BN121" s="33">
        <f>IF(OR(AW121="",AX121=""),"",AX121-AW121)</f>
        <v/>
      </c>
      <c r="BO121" s="33">
        <f>IF(OR(AX121="",BA121=""),"",BA121-AX121)</f>
        <v/>
      </c>
      <c r="BP121" s="33">
        <f>IF(OR(AV121="",BA121=""),"",BA121-AV121)</f>
        <v/>
      </c>
      <c r="BQ121" s="33">
        <f>IF(OR(BB121="",BD121=""),"",BD121-BB121)</f>
        <v/>
      </c>
      <c r="BR121" s="33">
        <f>IF(OR(AX121="",BD121=""),"",BD121-AX121)</f>
        <v/>
      </c>
      <c r="BS121" s="33">
        <f>IF(OR(AW121="",BD121=""),"",BD121-AW121)</f>
        <v/>
      </c>
      <c r="BT121" s="33">
        <f>IF(OR(AV121="",BD121=""),"",BD121-AV121)</f>
        <v/>
      </c>
      <c r="BU121" s="33">
        <f>IF(OR(AU121="",BD121=""),"",BD121-AU121)</f>
        <v/>
      </c>
      <c r="BV121" s="33">
        <f>IF(OR(BB121="",BG121=""),"",BG121-BB121)</f>
        <v/>
      </c>
      <c r="BW121" s="33">
        <f>IF(OR(BG121="",BH121=""),"",BH121-BG121)</f>
        <v/>
      </c>
      <c r="BX121" s="33">
        <f>IF(OR(BG121="",BI121=""),"",BI121-BG121)</f>
        <v/>
      </c>
      <c r="BY121" s="39">
        <f>IF(OR(AX121="",BK121=""),"",ROUND((BK121-AX121)/30.44,1))</f>
        <v/>
      </c>
      <c r="BZ121" s="37">
        <f>IF(BR121="","",IF(BR121&lt;=30,1,0))</f>
        <v/>
      </c>
      <c r="CA121" s="37">
        <f>IF(BR121="","",IF(BR121&gt;40.5,1,0))</f>
        <v/>
      </c>
      <c r="CB121" s="37">
        <f>IF(BR121="","",IF(BR121&gt;60,1,0))</f>
        <v/>
      </c>
      <c r="CC121" s="37">
        <f>IF(BR121="","",IF(BR121&gt;67,1,0))</f>
        <v/>
      </c>
      <c r="CD121" s="37">
        <f>IF(BT121="","",IF(BT121&lt;=30,1,0))</f>
        <v/>
      </c>
      <c r="CE121" s="37">
        <f>IF(BQ121="","",IF(BQ121&lt;=28,1,0))</f>
        <v/>
      </c>
      <c r="CF121" s="37">
        <f>IF(OR(BV121="",BE121&lt;&gt;"ניתוח"),"",IF(BV121&lt;=30,1,0))</f>
        <v/>
      </c>
      <c r="CG121" s="37">
        <f>IF(BU121="","",IF(BU121&lt;=56,1,0))</f>
        <v/>
      </c>
      <c r="CH121" s="37">
        <f>IF(BW121="","",IF(BW121&lt;=42,1,0))</f>
        <v/>
      </c>
      <c r="CI121" s="37">
        <f>IF(BX121="","",IF(BX121&lt;=100,1,0))</f>
        <v/>
      </c>
      <c r="CJ121" s="33">
        <f>IF(A121="","",COUNTIF(Delays!$B$5:$B$404,A121))</f>
        <v/>
      </c>
      <c r="CK121" s="35" t="n"/>
    </row>
    <row r="122">
      <c r="A122" s="33">
        <f>IF(OR(B122="",C122="",D122="",AX122=""),"","RET-"&amp;RIGHT(YEAR(AX122),2)&amp;"-"&amp;TEXT(B122,"000")&amp;"-"&amp;C122&amp;"-"&amp;D122&amp;"-"&amp;TEXT(MONTH(AX122),"00"))</f>
        <v/>
      </c>
      <c r="B122" s="34" t="n">
        <v>117</v>
      </c>
      <c r="C122" s="35" t="n"/>
      <c r="D122" s="35" t="n"/>
      <c r="E122" s="33">
        <f>IF(AX122="","",YEAR(AX122))</f>
        <v/>
      </c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6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7">
        <f>IF(Y122="","",IF(OR(Y122="III",Y122="IV",Y122="IVA",Y122="IVB",Y122="IVC"),1,0))</f>
        <v/>
      </c>
      <c r="AA122" s="35" t="n"/>
      <c r="AB122" s="35" t="n"/>
      <c r="AC122" s="35" t="n"/>
      <c r="AD122" s="35" t="n"/>
      <c r="AE122" s="35" t="n"/>
      <c r="AF122" s="35" t="n"/>
      <c r="AG122" s="35" t="n"/>
      <c r="AH122" s="35" t="n"/>
      <c r="AI122" s="35" t="n"/>
      <c r="AJ122" s="35" t="n"/>
      <c r="AK122" s="35" t="n"/>
      <c r="AL122" s="35" t="n"/>
      <c r="AM122" s="35" t="n"/>
      <c r="AN122" s="35" t="n"/>
      <c r="AO122" s="35" t="n"/>
      <c r="AP122" s="35" t="n"/>
      <c r="AQ122" s="35" t="n"/>
      <c r="AR122" s="35" t="n"/>
      <c r="AS122" s="35" t="n"/>
      <c r="AT122" s="35" t="n"/>
      <c r="AU122" s="38" t="n"/>
      <c r="AV122" s="38" t="n"/>
      <c r="AW122" s="38" t="n"/>
      <c r="AX122" s="38" t="n"/>
      <c r="AY122" s="38" t="n"/>
      <c r="AZ122" s="38" t="n"/>
      <c r="BA122" s="38" t="n"/>
      <c r="BB122" s="38" t="n"/>
      <c r="BC122" s="38" t="n"/>
      <c r="BD122" s="38" t="n"/>
      <c r="BE122" s="35" t="n"/>
      <c r="BF122" s="35" t="n"/>
      <c r="BG122" s="38" t="n"/>
      <c r="BH122" s="38" t="n"/>
      <c r="BI122" s="38" t="n"/>
      <c r="BJ122" s="35" t="n"/>
      <c r="BK122" s="38" t="n"/>
      <c r="BL122" s="33">
        <f>IF(OR(AU122="",AV122=""),"",AV122-AU122)</f>
        <v/>
      </c>
      <c r="BM122" s="33">
        <f>IF(OR(AV122="",AW122=""),"",AW122-AV122)</f>
        <v/>
      </c>
      <c r="BN122" s="33">
        <f>IF(OR(AW122="",AX122=""),"",AX122-AW122)</f>
        <v/>
      </c>
      <c r="BO122" s="33">
        <f>IF(OR(AX122="",BA122=""),"",BA122-AX122)</f>
        <v/>
      </c>
      <c r="BP122" s="33">
        <f>IF(OR(AV122="",BA122=""),"",BA122-AV122)</f>
        <v/>
      </c>
      <c r="BQ122" s="33">
        <f>IF(OR(BB122="",BD122=""),"",BD122-BB122)</f>
        <v/>
      </c>
      <c r="BR122" s="33">
        <f>IF(OR(AX122="",BD122=""),"",BD122-AX122)</f>
        <v/>
      </c>
      <c r="BS122" s="33">
        <f>IF(OR(AW122="",BD122=""),"",BD122-AW122)</f>
        <v/>
      </c>
      <c r="BT122" s="33">
        <f>IF(OR(AV122="",BD122=""),"",BD122-AV122)</f>
        <v/>
      </c>
      <c r="BU122" s="33">
        <f>IF(OR(AU122="",BD122=""),"",BD122-AU122)</f>
        <v/>
      </c>
      <c r="BV122" s="33">
        <f>IF(OR(BB122="",BG122=""),"",BG122-BB122)</f>
        <v/>
      </c>
      <c r="BW122" s="33">
        <f>IF(OR(BG122="",BH122=""),"",BH122-BG122)</f>
        <v/>
      </c>
      <c r="BX122" s="33">
        <f>IF(OR(BG122="",BI122=""),"",BI122-BG122)</f>
        <v/>
      </c>
      <c r="BY122" s="39">
        <f>IF(OR(AX122="",BK122=""),"",ROUND((BK122-AX122)/30.44,1))</f>
        <v/>
      </c>
      <c r="BZ122" s="37">
        <f>IF(BR122="","",IF(BR122&lt;=30,1,0))</f>
        <v/>
      </c>
      <c r="CA122" s="37">
        <f>IF(BR122="","",IF(BR122&gt;40.5,1,0))</f>
        <v/>
      </c>
      <c r="CB122" s="37">
        <f>IF(BR122="","",IF(BR122&gt;60,1,0))</f>
        <v/>
      </c>
      <c r="CC122" s="37">
        <f>IF(BR122="","",IF(BR122&gt;67,1,0))</f>
        <v/>
      </c>
      <c r="CD122" s="37">
        <f>IF(BT122="","",IF(BT122&lt;=30,1,0))</f>
        <v/>
      </c>
      <c r="CE122" s="37">
        <f>IF(BQ122="","",IF(BQ122&lt;=28,1,0))</f>
        <v/>
      </c>
      <c r="CF122" s="37">
        <f>IF(OR(BV122="",BE122&lt;&gt;"ניתוח"),"",IF(BV122&lt;=30,1,0))</f>
        <v/>
      </c>
      <c r="CG122" s="37">
        <f>IF(BU122="","",IF(BU122&lt;=56,1,0))</f>
        <v/>
      </c>
      <c r="CH122" s="37">
        <f>IF(BW122="","",IF(BW122&lt;=42,1,0))</f>
        <v/>
      </c>
      <c r="CI122" s="37">
        <f>IF(BX122="","",IF(BX122&lt;=100,1,0))</f>
        <v/>
      </c>
      <c r="CJ122" s="33">
        <f>IF(A122="","",COUNTIF(Delays!$B$5:$B$404,A122))</f>
        <v/>
      </c>
      <c r="CK122" s="35" t="n"/>
    </row>
    <row r="123">
      <c r="A123" s="33">
        <f>IF(OR(B123="",C123="",D123="",AX123=""),"","RET-"&amp;RIGHT(YEAR(AX123),2)&amp;"-"&amp;TEXT(B123,"000")&amp;"-"&amp;C123&amp;"-"&amp;D123&amp;"-"&amp;TEXT(MONTH(AX123),"00"))</f>
        <v/>
      </c>
      <c r="B123" s="34" t="n">
        <v>118</v>
      </c>
      <c r="C123" s="35" t="n"/>
      <c r="D123" s="35" t="n"/>
      <c r="E123" s="33">
        <f>IF(AX123="","",YEAR(AX123))</f>
        <v/>
      </c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6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7">
        <f>IF(Y123="","",IF(OR(Y123="III",Y123="IV",Y123="IVA",Y123="IVB",Y123="IVC"),1,0))</f>
        <v/>
      </c>
      <c r="AA123" s="35" t="n"/>
      <c r="AB123" s="35" t="n"/>
      <c r="AC123" s="35" t="n"/>
      <c r="AD123" s="35" t="n"/>
      <c r="AE123" s="35" t="n"/>
      <c r="AF123" s="35" t="n"/>
      <c r="AG123" s="35" t="n"/>
      <c r="AH123" s="35" t="n"/>
      <c r="AI123" s="35" t="n"/>
      <c r="AJ123" s="35" t="n"/>
      <c r="AK123" s="35" t="n"/>
      <c r="AL123" s="35" t="n"/>
      <c r="AM123" s="35" t="n"/>
      <c r="AN123" s="35" t="n"/>
      <c r="AO123" s="35" t="n"/>
      <c r="AP123" s="35" t="n"/>
      <c r="AQ123" s="35" t="n"/>
      <c r="AR123" s="35" t="n"/>
      <c r="AS123" s="35" t="n"/>
      <c r="AT123" s="35" t="n"/>
      <c r="AU123" s="38" t="n"/>
      <c r="AV123" s="38" t="n"/>
      <c r="AW123" s="38" t="n"/>
      <c r="AX123" s="38" t="n"/>
      <c r="AY123" s="38" t="n"/>
      <c r="AZ123" s="38" t="n"/>
      <c r="BA123" s="38" t="n"/>
      <c r="BB123" s="38" t="n"/>
      <c r="BC123" s="38" t="n"/>
      <c r="BD123" s="38" t="n"/>
      <c r="BE123" s="35" t="n"/>
      <c r="BF123" s="35" t="n"/>
      <c r="BG123" s="38" t="n"/>
      <c r="BH123" s="38" t="n"/>
      <c r="BI123" s="38" t="n"/>
      <c r="BJ123" s="35" t="n"/>
      <c r="BK123" s="38" t="n"/>
      <c r="BL123" s="33">
        <f>IF(OR(AU123="",AV123=""),"",AV123-AU123)</f>
        <v/>
      </c>
      <c r="BM123" s="33">
        <f>IF(OR(AV123="",AW123=""),"",AW123-AV123)</f>
        <v/>
      </c>
      <c r="BN123" s="33">
        <f>IF(OR(AW123="",AX123=""),"",AX123-AW123)</f>
        <v/>
      </c>
      <c r="BO123" s="33">
        <f>IF(OR(AX123="",BA123=""),"",BA123-AX123)</f>
        <v/>
      </c>
      <c r="BP123" s="33">
        <f>IF(OR(AV123="",BA123=""),"",BA123-AV123)</f>
        <v/>
      </c>
      <c r="BQ123" s="33">
        <f>IF(OR(BB123="",BD123=""),"",BD123-BB123)</f>
        <v/>
      </c>
      <c r="BR123" s="33">
        <f>IF(OR(AX123="",BD123=""),"",BD123-AX123)</f>
        <v/>
      </c>
      <c r="BS123" s="33">
        <f>IF(OR(AW123="",BD123=""),"",BD123-AW123)</f>
        <v/>
      </c>
      <c r="BT123" s="33">
        <f>IF(OR(AV123="",BD123=""),"",BD123-AV123)</f>
        <v/>
      </c>
      <c r="BU123" s="33">
        <f>IF(OR(AU123="",BD123=""),"",BD123-AU123)</f>
        <v/>
      </c>
      <c r="BV123" s="33">
        <f>IF(OR(BB123="",BG123=""),"",BG123-BB123)</f>
        <v/>
      </c>
      <c r="BW123" s="33">
        <f>IF(OR(BG123="",BH123=""),"",BH123-BG123)</f>
        <v/>
      </c>
      <c r="BX123" s="33">
        <f>IF(OR(BG123="",BI123=""),"",BI123-BG123)</f>
        <v/>
      </c>
      <c r="BY123" s="39">
        <f>IF(OR(AX123="",BK123=""),"",ROUND((BK123-AX123)/30.44,1))</f>
        <v/>
      </c>
      <c r="BZ123" s="37">
        <f>IF(BR123="","",IF(BR123&lt;=30,1,0))</f>
        <v/>
      </c>
      <c r="CA123" s="37">
        <f>IF(BR123="","",IF(BR123&gt;40.5,1,0))</f>
        <v/>
      </c>
      <c r="CB123" s="37">
        <f>IF(BR123="","",IF(BR123&gt;60,1,0))</f>
        <v/>
      </c>
      <c r="CC123" s="37">
        <f>IF(BR123="","",IF(BR123&gt;67,1,0))</f>
        <v/>
      </c>
      <c r="CD123" s="37">
        <f>IF(BT123="","",IF(BT123&lt;=30,1,0))</f>
        <v/>
      </c>
      <c r="CE123" s="37">
        <f>IF(BQ123="","",IF(BQ123&lt;=28,1,0))</f>
        <v/>
      </c>
      <c r="CF123" s="37">
        <f>IF(OR(BV123="",BE123&lt;&gt;"ניתוח"),"",IF(BV123&lt;=30,1,0))</f>
        <v/>
      </c>
      <c r="CG123" s="37">
        <f>IF(BU123="","",IF(BU123&lt;=56,1,0))</f>
        <v/>
      </c>
      <c r="CH123" s="37">
        <f>IF(BW123="","",IF(BW123&lt;=42,1,0))</f>
        <v/>
      </c>
      <c r="CI123" s="37">
        <f>IF(BX123="","",IF(BX123&lt;=100,1,0))</f>
        <v/>
      </c>
      <c r="CJ123" s="33">
        <f>IF(A123="","",COUNTIF(Delays!$B$5:$B$404,A123))</f>
        <v/>
      </c>
      <c r="CK123" s="35" t="n"/>
    </row>
    <row r="124">
      <c r="A124" s="33">
        <f>IF(OR(B124="",C124="",D124="",AX124=""),"","RET-"&amp;RIGHT(YEAR(AX124),2)&amp;"-"&amp;TEXT(B124,"000")&amp;"-"&amp;C124&amp;"-"&amp;D124&amp;"-"&amp;TEXT(MONTH(AX124),"00"))</f>
        <v/>
      </c>
      <c r="B124" s="34" t="n">
        <v>119</v>
      </c>
      <c r="C124" s="35" t="n"/>
      <c r="D124" s="35" t="n"/>
      <c r="E124" s="33">
        <f>IF(AX124="","",YEAR(AX124))</f>
        <v/>
      </c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6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7">
        <f>IF(Y124="","",IF(OR(Y124="III",Y124="IV",Y124="IVA",Y124="IVB",Y124="IVC"),1,0))</f>
        <v/>
      </c>
      <c r="AA124" s="35" t="n"/>
      <c r="AB124" s="35" t="n"/>
      <c r="AC124" s="35" t="n"/>
      <c r="AD124" s="35" t="n"/>
      <c r="AE124" s="35" t="n"/>
      <c r="AF124" s="35" t="n"/>
      <c r="AG124" s="35" t="n"/>
      <c r="AH124" s="35" t="n"/>
      <c r="AI124" s="35" t="n"/>
      <c r="AJ124" s="35" t="n"/>
      <c r="AK124" s="35" t="n"/>
      <c r="AL124" s="35" t="n"/>
      <c r="AM124" s="35" t="n"/>
      <c r="AN124" s="35" t="n"/>
      <c r="AO124" s="35" t="n"/>
      <c r="AP124" s="35" t="n"/>
      <c r="AQ124" s="35" t="n"/>
      <c r="AR124" s="35" t="n"/>
      <c r="AS124" s="35" t="n"/>
      <c r="AT124" s="35" t="n"/>
      <c r="AU124" s="38" t="n"/>
      <c r="AV124" s="38" t="n"/>
      <c r="AW124" s="38" t="n"/>
      <c r="AX124" s="38" t="n"/>
      <c r="AY124" s="38" t="n"/>
      <c r="AZ124" s="38" t="n"/>
      <c r="BA124" s="38" t="n"/>
      <c r="BB124" s="38" t="n"/>
      <c r="BC124" s="38" t="n"/>
      <c r="BD124" s="38" t="n"/>
      <c r="BE124" s="35" t="n"/>
      <c r="BF124" s="35" t="n"/>
      <c r="BG124" s="38" t="n"/>
      <c r="BH124" s="38" t="n"/>
      <c r="BI124" s="38" t="n"/>
      <c r="BJ124" s="35" t="n"/>
      <c r="BK124" s="38" t="n"/>
      <c r="BL124" s="33">
        <f>IF(OR(AU124="",AV124=""),"",AV124-AU124)</f>
        <v/>
      </c>
      <c r="BM124" s="33">
        <f>IF(OR(AV124="",AW124=""),"",AW124-AV124)</f>
        <v/>
      </c>
      <c r="BN124" s="33">
        <f>IF(OR(AW124="",AX124=""),"",AX124-AW124)</f>
        <v/>
      </c>
      <c r="BO124" s="33">
        <f>IF(OR(AX124="",BA124=""),"",BA124-AX124)</f>
        <v/>
      </c>
      <c r="BP124" s="33">
        <f>IF(OR(AV124="",BA124=""),"",BA124-AV124)</f>
        <v/>
      </c>
      <c r="BQ124" s="33">
        <f>IF(OR(BB124="",BD124=""),"",BD124-BB124)</f>
        <v/>
      </c>
      <c r="BR124" s="33">
        <f>IF(OR(AX124="",BD124=""),"",BD124-AX124)</f>
        <v/>
      </c>
      <c r="BS124" s="33">
        <f>IF(OR(AW124="",BD124=""),"",BD124-AW124)</f>
        <v/>
      </c>
      <c r="BT124" s="33">
        <f>IF(OR(AV124="",BD124=""),"",BD124-AV124)</f>
        <v/>
      </c>
      <c r="BU124" s="33">
        <f>IF(OR(AU124="",BD124=""),"",BD124-AU124)</f>
        <v/>
      </c>
      <c r="BV124" s="33">
        <f>IF(OR(BB124="",BG124=""),"",BG124-BB124)</f>
        <v/>
      </c>
      <c r="BW124" s="33">
        <f>IF(OR(BG124="",BH124=""),"",BH124-BG124)</f>
        <v/>
      </c>
      <c r="BX124" s="33">
        <f>IF(OR(BG124="",BI124=""),"",BI124-BG124)</f>
        <v/>
      </c>
      <c r="BY124" s="39">
        <f>IF(OR(AX124="",BK124=""),"",ROUND((BK124-AX124)/30.44,1))</f>
        <v/>
      </c>
      <c r="BZ124" s="37">
        <f>IF(BR124="","",IF(BR124&lt;=30,1,0))</f>
        <v/>
      </c>
      <c r="CA124" s="37">
        <f>IF(BR124="","",IF(BR124&gt;40.5,1,0))</f>
        <v/>
      </c>
      <c r="CB124" s="37">
        <f>IF(BR124="","",IF(BR124&gt;60,1,0))</f>
        <v/>
      </c>
      <c r="CC124" s="37">
        <f>IF(BR124="","",IF(BR124&gt;67,1,0))</f>
        <v/>
      </c>
      <c r="CD124" s="37">
        <f>IF(BT124="","",IF(BT124&lt;=30,1,0))</f>
        <v/>
      </c>
      <c r="CE124" s="37">
        <f>IF(BQ124="","",IF(BQ124&lt;=28,1,0))</f>
        <v/>
      </c>
      <c r="CF124" s="37">
        <f>IF(OR(BV124="",BE124&lt;&gt;"ניתוח"),"",IF(BV124&lt;=30,1,0))</f>
        <v/>
      </c>
      <c r="CG124" s="37">
        <f>IF(BU124="","",IF(BU124&lt;=56,1,0))</f>
        <v/>
      </c>
      <c r="CH124" s="37">
        <f>IF(BW124="","",IF(BW124&lt;=42,1,0))</f>
        <v/>
      </c>
      <c r="CI124" s="37">
        <f>IF(BX124="","",IF(BX124&lt;=100,1,0))</f>
        <v/>
      </c>
      <c r="CJ124" s="33">
        <f>IF(A124="","",COUNTIF(Delays!$B$5:$B$404,A124))</f>
        <v/>
      </c>
      <c r="CK124" s="35" t="n"/>
    </row>
    <row r="125">
      <c r="A125" s="33">
        <f>IF(OR(B125="",C125="",D125="",AX125=""),"","RET-"&amp;RIGHT(YEAR(AX125),2)&amp;"-"&amp;TEXT(B125,"000")&amp;"-"&amp;C125&amp;"-"&amp;D125&amp;"-"&amp;TEXT(MONTH(AX125),"00"))</f>
        <v/>
      </c>
      <c r="B125" s="34" t="n">
        <v>120</v>
      </c>
      <c r="C125" s="35" t="n"/>
      <c r="D125" s="35" t="n"/>
      <c r="E125" s="33">
        <f>IF(AX125="","",YEAR(AX125))</f>
        <v/>
      </c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6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7">
        <f>IF(Y125="","",IF(OR(Y125="III",Y125="IV",Y125="IVA",Y125="IVB",Y125="IVC"),1,0))</f>
        <v/>
      </c>
      <c r="AA125" s="35" t="n"/>
      <c r="AB125" s="35" t="n"/>
      <c r="AC125" s="35" t="n"/>
      <c r="AD125" s="35" t="n"/>
      <c r="AE125" s="35" t="n"/>
      <c r="AF125" s="35" t="n"/>
      <c r="AG125" s="35" t="n"/>
      <c r="AH125" s="35" t="n"/>
      <c r="AI125" s="35" t="n"/>
      <c r="AJ125" s="35" t="n"/>
      <c r="AK125" s="35" t="n"/>
      <c r="AL125" s="35" t="n"/>
      <c r="AM125" s="35" t="n"/>
      <c r="AN125" s="35" t="n"/>
      <c r="AO125" s="35" t="n"/>
      <c r="AP125" s="35" t="n"/>
      <c r="AQ125" s="35" t="n"/>
      <c r="AR125" s="35" t="n"/>
      <c r="AS125" s="35" t="n"/>
      <c r="AT125" s="35" t="n"/>
      <c r="AU125" s="38" t="n"/>
      <c r="AV125" s="38" t="n"/>
      <c r="AW125" s="38" t="n"/>
      <c r="AX125" s="38" t="n"/>
      <c r="AY125" s="38" t="n"/>
      <c r="AZ125" s="38" t="n"/>
      <c r="BA125" s="38" t="n"/>
      <c r="BB125" s="38" t="n"/>
      <c r="BC125" s="38" t="n"/>
      <c r="BD125" s="38" t="n"/>
      <c r="BE125" s="35" t="n"/>
      <c r="BF125" s="35" t="n"/>
      <c r="BG125" s="38" t="n"/>
      <c r="BH125" s="38" t="n"/>
      <c r="BI125" s="38" t="n"/>
      <c r="BJ125" s="35" t="n"/>
      <c r="BK125" s="38" t="n"/>
      <c r="BL125" s="33">
        <f>IF(OR(AU125="",AV125=""),"",AV125-AU125)</f>
        <v/>
      </c>
      <c r="BM125" s="33">
        <f>IF(OR(AV125="",AW125=""),"",AW125-AV125)</f>
        <v/>
      </c>
      <c r="BN125" s="33">
        <f>IF(OR(AW125="",AX125=""),"",AX125-AW125)</f>
        <v/>
      </c>
      <c r="BO125" s="33">
        <f>IF(OR(AX125="",BA125=""),"",BA125-AX125)</f>
        <v/>
      </c>
      <c r="BP125" s="33">
        <f>IF(OR(AV125="",BA125=""),"",BA125-AV125)</f>
        <v/>
      </c>
      <c r="BQ125" s="33">
        <f>IF(OR(BB125="",BD125=""),"",BD125-BB125)</f>
        <v/>
      </c>
      <c r="BR125" s="33">
        <f>IF(OR(AX125="",BD125=""),"",BD125-AX125)</f>
        <v/>
      </c>
      <c r="BS125" s="33">
        <f>IF(OR(AW125="",BD125=""),"",BD125-AW125)</f>
        <v/>
      </c>
      <c r="BT125" s="33">
        <f>IF(OR(AV125="",BD125=""),"",BD125-AV125)</f>
        <v/>
      </c>
      <c r="BU125" s="33">
        <f>IF(OR(AU125="",BD125=""),"",BD125-AU125)</f>
        <v/>
      </c>
      <c r="BV125" s="33">
        <f>IF(OR(BB125="",BG125=""),"",BG125-BB125)</f>
        <v/>
      </c>
      <c r="BW125" s="33">
        <f>IF(OR(BG125="",BH125=""),"",BH125-BG125)</f>
        <v/>
      </c>
      <c r="BX125" s="33">
        <f>IF(OR(BG125="",BI125=""),"",BI125-BG125)</f>
        <v/>
      </c>
      <c r="BY125" s="39">
        <f>IF(OR(AX125="",BK125=""),"",ROUND((BK125-AX125)/30.44,1))</f>
        <v/>
      </c>
      <c r="BZ125" s="37">
        <f>IF(BR125="","",IF(BR125&lt;=30,1,0))</f>
        <v/>
      </c>
      <c r="CA125" s="37">
        <f>IF(BR125="","",IF(BR125&gt;40.5,1,0))</f>
        <v/>
      </c>
      <c r="CB125" s="37">
        <f>IF(BR125="","",IF(BR125&gt;60,1,0))</f>
        <v/>
      </c>
      <c r="CC125" s="37">
        <f>IF(BR125="","",IF(BR125&gt;67,1,0))</f>
        <v/>
      </c>
      <c r="CD125" s="37">
        <f>IF(BT125="","",IF(BT125&lt;=30,1,0))</f>
        <v/>
      </c>
      <c r="CE125" s="37">
        <f>IF(BQ125="","",IF(BQ125&lt;=28,1,0))</f>
        <v/>
      </c>
      <c r="CF125" s="37">
        <f>IF(OR(BV125="",BE125&lt;&gt;"ניתוח"),"",IF(BV125&lt;=30,1,0))</f>
        <v/>
      </c>
      <c r="CG125" s="37">
        <f>IF(BU125="","",IF(BU125&lt;=56,1,0))</f>
        <v/>
      </c>
      <c r="CH125" s="37">
        <f>IF(BW125="","",IF(BW125&lt;=42,1,0))</f>
        <v/>
      </c>
      <c r="CI125" s="37">
        <f>IF(BX125="","",IF(BX125&lt;=100,1,0))</f>
        <v/>
      </c>
      <c r="CJ125" s="33">
        <f>IF(A125="","",COUNTIF(Delays!$B$5:$B$404,A125))</f>
        <v/>
      </c>
      <c r="CK125" s="35" t="n"/>
    </row>
    <row r="126">
      <c r="A126" s="33">
        <f>IF(OR(B126="",C126="",D126="",AX126=""),"","RET-"&amp;RIGHT(YEAR(AX126),2)&amp;"-"&amp;TEXT(B126,"000")&amp;"-"&amp;C126&amp;"-"&amp;D126&amp;"-"&amp;TEXT(MONTH(AX126),"00"))</f>
        <v/>
      </c>
      <c r="B126" s="34" t="n">
        <v>121</v>
      </c>
      <c r="C126" s="35" t="n"/>
      <c r="D126" s="35" t="n"/>
      <c r="E126" s="33">
        <f>IF(AX126="","",YEAR(AX126))</f>
        <v/>
      </c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6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7">
        <f>IF(Y126="","",IF(OR(Y126="III",Y126="IV",Y126="IVA",Y126="IVB",Y126="IVC"),1,0))</f>
        <v/>
      </c>
      <c r="AA126" s="35" t="n"/>
      <c r="AB126" s="35" t="n"/>
      <c r="AC126" s="35" t="n"/>
      <c r="AD126" s="35" t="n"/>
      <c r="AE126" s="35" t="n"/>
      <c r="AF126" s="35" t="n"/>
      <c r="AG126" s="35" t="n"/>
      <c r="AH126" s="35" t="n"/>
      <c r="AI126" s="35" t="n"/>
      <c r="AJ126" s="35" t="n"/>
      <c r="AK126" s="35" t="n"/>
      <c r="AL126" s="35" t="n"/>
      <c r="AM126" s="35" t="n"/>
      <c r="AN126" s="35" t="n"/>
      <c r="AO126" s="35" t="n"/>
      <c r="AP126" s="35" t="n"/>
      <c r="AQ126" s="35" t="n"/>
      <c r="AR126" s="35" t="n"/>
      <c r="AS126" s="35" t="n"/>
      <c r="AT126" s="35" t="n"/>
      <c r="AU126" s="38" t="n"/>
      <c r="AV126" s="38" t="n"/>
      <c r="AW126" s="38" t="n"/>
      <c r="AX126" s="38" t="n"/>
      <c r="AY126" s="38" t="n"/>
      <c r="AZ126" s="38" t="n"/>
      <c r="BA126" s="38" t="n"/>
      <c r="BB126" s="38" t="n"/>
      <c r="BC126" s="38" t="n"/>
      <c r="BD126" s="38" t="n"/>
      <c r="BE126" s="35" t="n"/>
      <c r="BF126" s="35" t="n"/>
      <c r="BG126" s="38" t="n"/>
      <c r="BH126" s="38" t="n"/>
      <c r="BI126" s="38" t="n"/>
      <c r="BJ126" s="35" t="n"/>
      <c r="BK126" s="38" t="n"/>
      <c r="BL126" s="33">
        <f>IF(OR(AU126="",AV126=""),"",AV126-AU126)</f>
        <v/>
      </c>
      <c r="BM126" s="33">
        <f>IF(OR(AV126="",AW126=""),"",AW126-AV126)</f>
        <v/>
      </c>
      <c r="BN126" s="33">
        <f>IF(OR(AW126="",AX126=""),"",AX126-AW126)</f>
        <v/>
      </c>
      <c r="BO126" s="33">
        <f>IF(OR(AX126="",BA126=""),"",BA126-AX126)</f>
        <v/>
      </c>
      <c r="BP126" s="33">
        <f>IF(OR(AV126="",BA126=""),"",BA126-AV126)</f>
        <v/>
      </c>
      <c r="BQ126" s="33">
        <f>IF(OR(BB126="",BD126=""),"",BD126-BB126)</f>
        <v/>
      </c>
      <c r="BR126" s="33">
        <f>IF(OR(AX126="",BD126=""),"",BD126-AX126)</f>
        <v/>
      </c>
      <c r="BS126" s="33">
        <f>IF(OR(AW126="",BD126=""),"",BD126-AW126)</f>
        <v/>
      </c>
      <c r="BT126" s="33">
        <f>IF(OR(AV126="",BD126=""),"",BD126-AV126)</f>
        <v/>
      </c>
      <c r="BU126" s="33">
        <f>IF(OR(AU126="",BD126=""),"",BD126-AU126)</f>
        <v/>
      </c>
      <c r="BV126" s="33">
        <f>IF(OR(BB126="",BG126=""),"",BG126-BB126)</f>
        <v/>
      </c>
      <c r="BW126" s="33">
        <f>IF(OR(BG126="",BH126=""),"",BH126-BG126)</f>
        <v/>
      </c>
      <c r="BX126" s="33">
        <f>IF(OR(BG126="",BI126=""),"",BI126-BG126)</f>
        <v/>
      </c>
      <c r="BY126" s="39">
        <f>IF(OR(AX126="",BK126=""),"",ROUND((BK126-AX126)/30.44,1))</f>
        <v/>
      </c>
      <c r="BZ126" s="37">
        <f>IF(BR126="","",IF(BR126&lt;=30,1,0))</f>
        <v/>
      </c>
      <c r="CA126" s="37">
        <f>IF(BR126="","",IF(BR126&gt;40.5,1,0))</f>
        <v/>
      </c>
      <c r="CB126" s="37">
        <f>IF(BR126="","",IF(BR126&gt;60,1,0))</f>
        <v/>
      </c>
      <c r="CC126" s="37">
        <f>IF(BR126="","",IF(BR126&gt;67,1,0))</f>
        <v/>
      </c>
      <c r="CD126" s="37">
        <f>IF(BT126="","",IF(BT126&lt;=30,1,0))</f>
        <v/>
      </c>
      <c r="CE126" s="37">
        <f>IF(BQ126="","",IF(BQ126&lt;=28,1,0))</f>
        <v/>
      </c>
      <c r="CF126" s="37">
        <f>IF(OR(BV126="",BE126&lt;&gt;"ניתוח"),"",IF(BV126&lt;=30,1,0))</f>
        <v/>
      </c>
      <c r="CG126" s="37">
        <f>IF(BU126="","",IF(BU126&lt;=56,1,0))</f>
        <v/>
      </c>
      <c r="CH126" s="37">
        <f>IF(BW126="","",IF(BW126&lt;=42,1,0))</f>
        <v/>
      </c>
      <c r="CI126" s="37">
        <f>IF(BX126="","",IF(BX126&lt;=100,1,0))</f>
        <v/>
      </c>
      <c r="CJ126" s="33">
        <f>IF(A126="","",COUNTIF(Delays!$B$5:$B$404,A126))</f>
        <v/>
      </c>
      <c r="CK126" s="35" t="n"/>
    </row>
    <row r="127">
      <c r="A127" s="33">
        <f>IF(OR(B127="",C127="",D127="",AX127=""),"","RET-"&amp;RIGHT(YEAR(AX127),2)&amp;"-"&amp;TEXT(B127,"000")&amp;"-"&amp;C127&amp;"-"&amp;D127&amp;"-"&amp;TEXT(MONTH(AX127),"00"))</f>
        <v/>
      </c>
      <c r="B127" s="34" t="n">
        <v>122</v>
      </c>
      <c r="C127" s="35" t="n"/>
      <c r="D127" s="35" t="n"/>
      <c r="E127" s="33">
        <f>IF(AX127="","",YEAR(AX127))</f>
        <v/>
      </c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6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7">
        <f>IF(Y127="","",IF(OR(Y127="III",Y127="IV",Y127="IVA",Y127="IVB",Y127="IVC"),1,0))</f>
        <v/>
      </c>
      <c r="AA127" s="35" t="n"/>
      <c r="AB127" s="35" t="n"/>
      <c r="AC127" s="35" t="n"/>
      <c r="AD127" s="35" t="n"/>
      <c r="AE127" s="35" t="n"/>
      <c r="AF127" s="35" t="n"/>
      <c r="AG127" s="35" t="n"/>
      <c r="AH127" s="35" t="n"/>
      <c r="AI127" s="35" t="n"/>
      <c r="AJ127" s="35" t="n"/>
      <c r="AK127" s="35" t="n"/>
      <c r="AL127" s="35" t="n"/>
      <c r="AM127" s="35" t="n"/>
      <c r="AN127" s="35" t="n"/>
      <c r="AO127" s="35" t="n"/>
      <c r="AP127" s="35" t="n"/>
      <c r="AQ127" s="35" t="n"/>
      <c r="AR127" s="35" t="n"/>
      <c r="AS127" s="35" t="n"/>
      <c r="AT127" s="35" t="n"/>
      <c r="AU127" s="38" t="n"/>
      <c r="AV127" s="38" t="n"/>
      <c r="AW127" s="38" t="n"/>
      <c r="AX127" s="38" t="n"/>
      <c r="AY127" s="38" t="n"/>
      <c r="AZ127" s="38" t="n"/>
      <c r="BA127" s="38" t="n"/>
      <c r="BB127" s="38" t="n"/>
      <c r="BC127" s="38" t="n"/>
      <c r="BD127" s="38" t="n"/>
      <c r="BE127" s="35" t="n"/>
      <c r="BF127" s="35" t="n"/>
      <c r="BG127" s="38" t="n"/>
      <c r="BH127" s="38" t="n"/>
      <c r="BI127" s="38" t="n"/>
      <c r="BJ127" s="35" t="n"/>
      <c r="BK127" s="38" t="n"/>
      <c r="BL127" s="33">
        <f>IF(OR(AU127="",AV127=""),"",AV127-AU127)</f>
        <v/>
      </c>
      <c r="BM127" s="33">
        <f>IF(OR(AV127="",AW127=""),"",AW127-AV127)</f>
        <v/>
      </c>
      <c r="BN127" s="33">
        <f>IF(OR(AW127="",AX127=""),"",AX127-AW127)</f>
        <v/>
      </c>
      <c r="BO127" s="33">
        <f>IF(OR(AX127="",BA127=""),"",BA127-AX127)</f>
        <v/>
      </c>
      <c r="BP127" s="33">
        <f>IF(OR(AV127="",BA127=""),"",BA127-AV127)</f>
        <v/>
      </c>
      <c r="BQ127" s="33">
        <f>IF(OR(BB127="",BD127=""),"",BD127-BB127)</f>
        <v/>
      </c>
      <c r="BR127" s="33">
        <f>IF(OR(AX127="",BD127=""),"",BD127-AX127)</f>
        <v/>
      </c>
      <c r="BS127" s="33">
        <f>IF(OR(AW127="",BD127=""),"",BD127-AW127)</f>
        <v/>
      </c>
      <c r="BT127" s="33">
        <f>IF(OR(AV127="",BD127=""),"",BD127-AV127)</f>
        <v/>
      </c>
      <c r="BU127" s="33">
        <f>IF(OR(AU127="",BD127=""),"",BD127-AU127)</f>
        <v/>
      </c>
      <c r="BV127" s="33">
        <f>IF(OR(BB127="",BG127=""),"",BG127-BB127)</f>
        <v/>
      </c>
      <c r="BW127" s="33">
        <f>IF(OR(BG127="",BH127=""),"",BH127-BG127)</f>
        <v/>
      </c>
      <c r="BX127" s="33">
        <f>IF(OR(BG127="",BI127=""),"",BI127-BG127)</f>
        <v/>
      </c>
      <c r="BY127" s="39">
        <f>IF(OR(AX127="",BK127=""),"",ROUND((BK127-AX127)/30.44,1))</f>
        <v/>
      </c>
      <c r="BZ127" s="37">
        <f>IF(BR127="","",IF(BR127&lt;=30,1,0))</f>
        <v/>
      </c>
      <c r="CA127" s="37">
        <f>IF(BR127="","",IF(BR127&gt;40.5,1,0))</f>
        <v/>
      </c>
      <c r="CB127" s="37">
        <f>IF(BR127="","",IF(BR127&gt;60,1,0))</f>
        <v/>
      </c>
      <c r="CC127" s="37">
        <f>IF(BR127="","",IF(BR127&gt;67,1,0))</f>
        <v/>
      </c>
      <c r="CD127" s="37">
        <f>IF(BT127="","",IF(BT127&lt;=30,1,0))</f>
        <v/>
      </c>
      <c r="CE127" s="37">
        <f>IF(BQ127="","",IF(BQ127&lt;=28,1,0))</f>
        <v/>
      </c>
      <c r="CF127" s="37">
        <f>IF(OR(BV127="",BE127&lt;&gt;"ניתוח"),"",IF(BV127&lt;=30,1,0))</f>
        <v/>
      </c>
      <c r="CG127" s="37">
        <f>IF(BU127="","",IF(BU127&lt;=56,1,0))</f>
        <v/>
      </c>
      <c r="CH127" s="37">
        <f>IF(BW127="","",IF(BW127&lt;=42,1,0))</f>
        <v/>
      </c>
      <c r="CI127" s="37">
        <f>IF(BX127="","",IF(BX127&lt;=100,1,0))</f>
        <v/>
      </c>
      <c r="CJ127" s="33">
        <f>IF(A127="","",COUNTIF(Delays!$B$5:$B$404,A127))</f>
        <v/>
      </c>
      <c r="CK127" s="35" t="n"/>
    </row>
    <row r="128">
      <c r="A128" s="33">
        <f>IF(OR(B128="",C128="",D128="",AX128=""),"","RET-"&amp;RIGHT(YEAR(AX128),2)&amp;"-"&amp;TEXT(B128,"000")&amp;"-"&amp;C128&amp;"-"&amp;D128&amp;"-"&amp;TEXT(MONTH(AX128),"00"))</f>
        <v/>
      </c>
      <c r="B128" s="34" t="n">
        <v>123</v>
      </c>
      <c r="C128" s="35" t="n"/>
      <c r="D128" s="35" t="n"/>
      <c r="E128" s="33">
        <f>IF(AX128="","",YEAR(AX128))</f>
        <v/>
      </c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6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7">
        <f>IF(Y128="","",IF(OR(Y128="III",Y128="IV",Y128="IVA",Y128="IVB",Y128="IVC"),1,0))</f>
        <v/>
      </c>
      <c r="AA128" s="35" t="n"/>
      <c r="AB128" s="35" t="n"/>
      <c r="AC128" s="35" t="n"/>
      <c r="AD128" s="35" t="n"/>
      <c r="AE128" s="35" t="n"/>
      <c r="AF128" s="35" t="n"/>
      <c r="AG128" s="35" t="n"/>
      <c r="AH128" s="35" t="n"/>
      <c r="AI128" s="35" t="n"/>
      <c r="AJ128" s="35" t="n"/>
      <c r="AK128" s="35" t="n"/>
      <c r="AL128" s="35" t="n"/>
      <c r="AM128" s="35" t="n"/>
      <c r="AN128" s="35" t="n"/>
      <c r="AO128" s="35" t="n"/>
      <c r="AP128" s="35" t="n"/>
      <c r="AQ128" s="35" t="n"/>
      <c r="AR128" s="35" t="n"/>
      <c r="AS128" s="35" t="n"/>
      <c r="AT128" s="35" t="n"/>
      <c r="AU128" s="38" t="n"/>
      <c r="AV128" s="38" t="n"/>
      <c r="AW128" s="38" t="n"/>
      <c r="AX128" s="38" t="n"/>
      <c r="AY128" s="38" t="n"/>
      <c r="AZ128" s="38" t="n"/>
      <c r="BA128" s="38" t="n"/>
      <c r="BB128" s="38" t="n"/>
      <c r="BC128" s="38" t="n"/>
      <c r="BD128" s="38" t="n"/>
      <c r="BE128" s="35" t="n"/>
      <c r="BF128" s="35" t="n"/>
      <c r="BG128" s="38" t="n"/>
      <c r="BH128" s="38" t="n"/>
      <c r="BI128" s="38" t="n"/>
      <c r="BJ128" s="35" t="n"/>
      <c r="BK128" s="38" t="n"/>
      <c r="BL128" s="33">
        <f>IF(OR(AU128="",AV128=""),"",AV128-AU128)</f>
        <v/>
      </c>
      <c r="BM128" s="33">
        <f>IF(OR(AV128="",AW128=""),"",AW128-AV128)</f>
        <v/>
      </c>
      <c r="BN128" s="33">
        <f>IF(OR(AW128="",AX128=""),"",AX128-AW128)</f>
        <v/>
      </c>
      <c r="BO128" s="33">
        <f>IF(OR(AX128="",BA128=""),"",BA128-AX128)</f>
        <v/>
      </c>
      <c r="BP128" s="33">
        <f>IF(OR(AV128="",BA128=""),"",BA128-AV128)</f>
        <v/>
      </c>
      <c r="BQ128" s="33">
        <f>IF(OR(BB128="",BD128=""),"",BD128-BB128)</f>
        <v/>
      </c>
      <c r="BR128" s="33">
        <f>IF(OR(AX128="",BD128=""),"",BD128-AX128)</f>
        <v/>
      </c>
      <c r="BS128" s="33">
        <f>IF(OR(AW128="",BD128=""),"",BD128-AW128)</f>
        <v/>
      </c>
      <c r="BT128" s="33">
        <f>IF(OR(AV128="",BD128=""),"",BD128-AV128)</f>
        <v/>
      </c>
      <c r="BU128" s="33">
        <f>IF(OR(AU128="",BD128=""),"",BD128-AU128)</f>
        <v/>
      </c>
      <c r="BV128" s="33">
        <f>IF(OR(BB128="",BG128=""),"",BG128-BB128)</f>
        <v/>
      </c>
      <c r="BW128" s="33">
        <f>IF(OR(BG128="",BH128=""),"",BH128-BG128)</f>
        <v/>
      </c>
      <c r="BX128" s="33">
        <f>IF(OR(BG128="",BI128=""),"",BI128-BG128)</f>
        <v/>
      </c>
      <c r="BY128" s="39">
        <f>IF(OR(AX128="",BK128=""),"",ROUND((BK128-AX128)/30.44,1))</f>
        <v/>
      </c>
      <c r="BZ128" s="37">
        <f>IF(BR128="","",IF(BR128&lt;=30,1,0))</f>
        <v/>
      </c>
      <c r="CA128" s="37">
        <f>IF(BR128="","",IF(BR128&gt;40.5,1,0))</f>
        <v/>
      </c>
      <c r="CB128" s="37">
        <f>IF(BR128="","",IF(BR128&gt;60,1,0))</f>
        <v/>
      </c>
      <c r="CC128" s="37">
        <f>IF(BR128="","",IF(BR128&gt;67,1,0))</f>
        <v/>
      </c>
      <c r="CD128" s="37">
        <f>IF(BT128="","",IF(BT128&lt;=30,1,0))</f>
        <v/>
      </c>
      <c r="CE128" s="37">
        <f>IF(BQ128="","",IF(BQ128&lt;=28,1,0))</f>
        <v/>
      </c>
      <c r="CF128" s="37">
        <f>IF(OR(BV128="",BE128&lt;&gt;"ניתוח"),"",IF(BV128&lt;=30,1,0))</f>
        <v/>
      </c>
      <c r="CG128" s="37">
        <f>IF(BU128="","",IF(BU128&lt;=56,1,0))</f>
        <v/>
      </c>
      <c r="CH128" s="37">
        <f>IF(BW128="","",IF(BW128&lt;=42,1,0))</f>
        <v/>
      </c>
      <c r="CI128" s="37">
        <f>IF(BX128="","",IF(BX128&lt;=100,1,0))</f>
        <v/>
      </c>
      <c r="CJ128" s="33">
        <f>IF(A128="","",COUNTIF(Delays!$B$5:$B$404,A128))</f>
        <v/>
      </c>
      <c r="CK128" s="35" t="n"/>
    </row>
    <row r="129">
      <c r="A129" s="33">
        <f>IF(OR(B129="",C129="",D129="",AX129=""),"","RET-"&amp;RIGHT(YEAR(AX129),2)&amp;"-"&amp;TEXT(B129,"000")&amp;"-"&amp;C129&amp;"-"&amp;D129&amp;"-"&amp;TEXT(MONTH(AX129),"00"))</f>
        <v/>
      </c>
      <c r="B129" s="34" t="n">
        <v>124</v>
      </c>
      <c r="C129" s="35" t="n"/>
      <c r="D129" s="35" t="n"/>
      <c r="E129" s="33">
        <f>IF(AX129="","",YEAR(AX129))</f>
        <v/>
      </c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6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7">
        <f>IF(Y129="","",IF(OR(Y129="III",Y129="IV",Y129="IVA",Y129="IVB",Y129="IVC"),1,0))</f>
        <v/>
      </c>
      <c r="AA129" s="35" t="n"/>
      <c r="AB129" s="35" t="n"/>
      <c r="AC129" s="35" t="n"/>
      <c r="AD129" s="35" t="n"/>
      <c r="AE129" s="35" t="n"/>
      <c r="AF129" s="35" t="n"/>
      <c r="AG129" s="35" t="n"/>
      <c r="AH129" s="35" t="n"/>
      <c r="AI129" s="35" t="n"/>
      <c r="AJ129" s="35" t="n"/>
      <c r="AK129" s="35" t="n"/>
      <c r="AL129" s="35" t="n"/>
      <c r="AM129" s="35" t="n"/>
      <c r="AN129" s="35" t="n"/>
      <c r="AO129" s="35" t="n"/>
      <c r="AP129" s="35" t="n"/>
      <c r="AQ129" s="35" t="n"/>
      <c r="AR129" s="35" t="n"/>
      <c r="AS129" s="35" t="n"/>
      <c r="AT129" s="35" t="n"/>
      <c r="AU129" s="38" t="n"/>
      <c r="AV129" s="38" t="n"/>
      <c r="AW129" s="38" t="n"/>
      <c r="AX129" s="38" t="n"/>
      <c r="AY129" s="38" t="n"/>
      <c r="AZ129" s="38" t="n"/>
      <c r="BA129" s="38" t="n"/>
      <c r="BB129" s="38" t="n"/>
      <c r="BC129" s="38" t="n"/>
      <c r="BD129" s="38" t="n"/>
      <c r="BE129" s="35" t="n"/>
      <c r="BF129" s="35" t="n"/>
      <c r="BG129" s="38" t="n"/>
      <c r="BH129" s="38" t="n"/>
      <c r="BI129" s="38" t="n"/>
      <c r="BJ129" s="35" t="n"/>
      <c r="BK129" s="38" t="n"/>
      <c r="BL129" s="33">
        <f>IF(OR(AU129="",AV129=""),"",AV129-AU129)</f>
        <v/>
      </c>
      <c r="BM129" s="33">
        <f>IF(OR(AV129="",AW129=""),"",AW129-AV129)</f>
        <v/>
      </c>
      <c r="BN129" s="33">
        <f>IF(OR(AW129="",AX129=""),"",AX129-AW129)</f>
        <v/>
      </c>
      <c r="BO129" s="33">
        <f>IF(OR(AX129="",BA129=""),"",BA129-AX129)</f>
        <v/>
      </c>
      <c r="BP129" s="33">
        <f>IF(OR(AV129="",BA129=""),"",BA129-AV129)</f>
        <v/>
      </c>
      <c r="BQ129" s="33">
        <f>IF(OR(BB129="",BD129=""),"",BD129-BB129)</f>
        <v/>
      </c>
      <c r="BR129" s="33">
        <f>IF(OR(AX129="",BD129=""),"",BD129-AX129)</f>
        <v/>
      </c>
      <c r="BS129" s="33">
        <f>IF(OR(AW129="",BD129=""),"",BD129-AW129)</f>
        <v/>
      </c>
      <c r="BT129" s="33">
        <f>IF(OR(AV129="",BD129=""),"",BD129-AV129)</f>
        <v/>
      </c>
      <c r="BU129" s="33">
        <f>IF(OR(AU129="",BD129=""),"",BD129-AU129)</f>
        <v/>
      </c>
      <c r="BV129" s="33">
        <f>IF(OR(BB129="",BG129=""),"",BG129-BB129)</f>
        <v/>
      </c>
      <c r="BW129" s="33">
        <f>IF(OR(BG129="",BH129=""),"",BH129-BG129)</f>
        <v/>
      </c>
      <c r="BX129" s="33">
        <f>IF(OR(BG129="",BI129=""),"",BI129-BG129)</f>
        <v/>
      </c>
      <c r="BY129" s="39">
        <f>IF(OR(AX129="",BK129=""),"",ROUND((BK129-AX129)/30.44,1))</f>
        <v/>
      </c>
      <c r="BZ129" s="37">
        <f>IF(BR129="","",IF(BR129&lt;=30,1,0))</f>
        <v/>
      </c>
      <c r="CA129" s="37">
        <f>IF(BR129="","",IF(BR129&gt;40.5,1,0))</f>
        <v/>
      </c>
      <c r="CB129" s="37">
        <f>IF(BR129="","",IF(BR129&gt;60,1,0))</f>
        <v/>
      </c>
      <c r="CC129" s="37">
        <f>IF(BR129="","",IF(BR129&gt;67,1,0))</f>
        <v/>
      </c>
      <c r="CD129" s="37">
        <f>IF(BT129="","",IF(BT129&lt;=30,1,0))</f>
        <v/>
      </c>
      <c r="CE129" s="37">
        <f>IF(BQ129="","",IF(BQ129&lt;=28,1,0))</f>
        <v/>
      </c>
      <c r="CF129" s="37">
        <f>IF(OR(BV129="",BE129&lt;&gt;"ניתוח"),"",IF(BV129&lt;=30,1,0))</f>
        <v/>
      </c>
      <c r="CG129" s="37">
        <f>IF(BU129="","",IF(BU129&lt;=56,1,0))</f>
        <v/>
      </c>
      <c r="CH129" s="37">
        <f>IF(BW129="","",IF(BW129&lt;=42,1,0))</f>
        <v/>
      </c>
      <c r="CI129" s="37">
        <f>IF(BX129="","",IF(BX129&lt;=100,1,0))</f>
        <v/>
      </c>
      <c r="CJ129" s="33">
        <f>IF(A129="","",COUNTIF(Delays!$B$5:$B$404,A129))</f>
        <v/>
      </c>
      <c r="CK129" s="35" t="n"/>
    </row>
    <row r="130">
      <c r="A130" s="33">
        <f>IF(OR(B130="",C130="",D130="",AX130=""),"","RET-"&amp;RIGHT(YEAR(AX130),2)&amp;"-"&amp;TEXT(B130,"000")&amp;"-"&amp;C130&amp;"-"&amp;D130&amp;"-"&amp;TEXT(MONTH(AX130),"00"))</f>
        <v/>
      </c>
      <c r="B130" s="34" t="n">
        <v>125</v>
      </c>
      <c r="C130" s="35" t="n"/>
      <c r="D130" s="35" t="n"/>
      <c r="E130" s="33">
        <f>IF(AX130="","",YEAR(AX130))</f>
        <v/>
      </c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6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7">
        <f>IF(Y130="","",IF(OR(Y130="III",Y130="IV",Y130="IVA",Y130="IVB",Y130="IVC"),1,0))</f>
        <v/>
      </c>
      <c r="AA130" s="35" t="n"/>
      <c r="AB130" s="35" t="n"/>
      <c r="AC130" s="35" t="n"/>
      <c r="AD130" s="35" t="n"/>
      <c r="AE130" s="35" t="n"/>
      <c r="AF130" s="35" t="n"/>
      <c r="AG130" s="35" t="n"/>
      <c r="AH130" s="35" t="n"/>
      <c r="AI130" s="35" t="n"/>
      <c r="AJ130" s="35" t="n"/>
      <c r="AK130" s="35" t="n"/>
      <c r="AL130" s="35" t="n"/>
      <c r="AM130" s="35" t="n"/>
      <c r="AN130" s="35" t="n"/>
      <c r="AO130" s="35" t="n"/>
      <c r="AP130" s="35" t="n"/>
      <c r="AQ130" s="35" t="n"/>
      <c r="AR130" s="35" t="n"/>
      <c r="AS130" s="35" t="n"/>
      <c r="AT130" s="35" t="n"/>
      <c r="AU130" s="38" t="n"/>
      <c r="AV130" s="38" t="n"/>
      <c r="AW130" s="38" t="n"/>
      <c r="AX130" s="38" t="n"/>
      <c r="AY130" s="38" t="n"/>
      <c r="AZ130" s="38" t="n"/>
      <c r="BA130" s="38" t="n"/>
      <c r="BB130" s="38" t="n"/>
      <c r="BC130" s="38" t="n"/>
      <c r="BD130" s="38" t="n"/>
      <c r="BE130" s="35" t="n"/>
      <c r="BF130" s="35" t="n"/>
      <c r="BG130" s="38" t="n"/>
      <c r="BH130" s="38" t="n"/>
      <c r="BI130" s="38" t="n"/>
      <c r="BJ130" s="35" t="n"/>
      <c r="BK130" s="38" t="n"/>
      <c r="BL130" s="33">
        <f>IF(OR(AU130="",AV130=""),"",AV130-AU130)</f>
        <v/>
      </c>
      <c r="BM130" s="33">
        <f>IF(OR(AV130="",AW130=""),"",AW130-AV130)</f>
        <v/>
      </c>
      <c r="BN130" s="33">
        <f>IF(OR(AW130="",AX130=""),"",AX130-AW130)</f>
        <v/>
      </c>
      <c r="BO130" s="33">
        <f>IF(OR(AX130="",BA130=""),"",BA130-AX130)</f>
        <v/>
      </c>
      <c r="BP130" s="33">
        <f>IF(OR(AV130="",BA130=""),"",BA130-AV130)</f>
        <v/>
      </c>
      <c r="BQ130" s="33">
        <f>IF(OR(BB130="",BD130=""),"",BD130-BB130)</f>
        <v/>
      </c>
      <c r="BR130" s="33">
        <f>IF(OR(AX130="",BD130=""),"",BD130-AX130)</f>
        <v/>
      </c>
      <c r="BS130" s="33">
        <f>IF(OR(AW130="",BD130=""),"",BD130-AW130)</f>
        <v/>
      </c>
      <c r="BT130" s="33">
        <f>IF(OR(AV130="",BD130=""),"",BD130-AV130)</f>
        <v/>
      </c>
      <c r="BU130" s="33">
        <f>IF(OR(AU130="",BD130=""),"",BD130-AU130)</f>
        <v/>
      </c>
      <c r="BV130" s="33">
        <f>IF(OR(BB130="",BG130=""),"",BG130-BB130)</f>
        <v/>
      </c>
      <c r="BW130" s="33">
        <f>IF(OR(BG130="",BH130=""),"",BH130-BG130)</f>
        <v/>
      </c>
      <c r="BX130" s="33">
        <f>IF(OR(BG130="",BI130=""),"",BI130-BG130)</f>
        <v/>
      </c>
      <c r="BY130" s="39">
        <f>IF(OR(AX130="",BK130=""),"",ROUND((BK130-AX130)/30.44,1))</f>
        <v/>
      </c>
      <c r="BZ130" s="37">
        <f>IF(BR130="","",IF(BR130&lt;=30,1,0))</f>
        <v/>
      </c>
      <c r="CA130" s="37">
        <f>IF(BR130="","",IF(BR130&gt;40.5,1,0))</f>
        <v/>
      </c>
      <c r="CB130" s="37">
        <f>IF(BR130="","",IF(BR130&gt;60,1,0))</f>
        <v/>
      </c>
      <c r="CC130" s="37">
        <f>IF(BR130="","",IF(BR130&gt;67,1,0))</f>
        <v/>
      </c>
      <c r="CD130" s="37">
        <f>IF(BT130="","",IF(BT130&lt;=30,1,0))</f>
        <v/>
      </c>
      <c r="CE130" s="37">
        <f>IF(BQ130="","",IF(BQ130&lt;=28,1,0))</f>
        <v/>
      </c>
      <c r="CF130" s="37">
        <f>IF(OR(BV130="",BE130&lt;&gt;"ניתוח"),"",IF(BV130&lt;=30,1,0))</f>
        <v/>
      </c>
      <c r="CG130" s="37">
        <f>IF(BU130="","",IF(BU130&lt;=56,1,0))</f>
        <v/>
      </c>
      <c r="CH130" s="37">
        <f>IF(BW130="","",IF(BW130&lt;=42,1,0))</f>
        <v/>
      </c>
      <c r="CI130" s="37">
        <f>IF(BX130="","",IF(BX130&lt;=100,1,0))</f>
        <v/>
      </c>
      <c r="CJ130" s="33">
        <f>IF(A130="","",COUNTIF(Delays!$B$5:$B$404,A130))</f>
        <v/>
      </c>
      <c r="CK130" s="35" t="n"/>
    </row>
    <row r="131">
      <c r="A131" s="33">
        <f>IF(OR(B131="",C131="",D131="",AX131=""),"","RET-"&amp;RIGHT(YEAR(AX131),2)&amp;"-"&amp;TEXT(B131,"000")&amp;"-"&amp;C131&amp;"-"&amp;D131&amp;"-"&amp;TEXT(MONTH(AX131),"00"))</f>
        <v/>
      </c>
      <c r="B131" s="34" t="n">
        <v>126</v>
      </c>
      <c r="C131" s="35" t="n"/>
      <c r="D131" s="35" t="n"/>
      <c r="E131" s="33">
        <f>IF(AX131="","",YEAR(AX131))</f>
        <v/>
      </c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6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7">
        <f>IF(Y131="","",IF(OR(Y131="III",Y131="IV",Y131="IVA",Y131="IVB",Y131="IVC"),1,0))</f>
        <v/>
      </c>
      <c r="AA131" s="35" t="n"/>
      <c r="AB131" s="35" t="n"/>
      <c r="AC131" s="35" t="n"/>
      <c r="AD131" s="35" t="n"/>
      <c r="AE131" s="35" t="n"/>
      <c r="AF131" s="35" t="n"/>
      <c r="AG131" s="35" t="n"/>
      <c r="AH131" s="35" t="n"/>
      <c r="AI131" s="35" t="n"/>
      <c r="AJ131" s="35" t="n"/>
      <c r="AK131" s="35" t="n"/>
      <c r="AL131" s="35" t="n"/>
      <c r="AM131" s="35" t="n"/>
      <c r="AN131" s="35" t="n"/>
      <c r="AO131" s="35" t="n"/>
      <c r="AP131" s="35" t="n"/>
      <c r="AQ131" s="35" t="n"/>
      <c r="AR131" s="35" t="n"/>
      <c r="AS131" s="35" t="n"/>
      <c r="AT131" s="35" t="n"/>
      <c r="AU131" s="38" t="n"/>
      <c r="AV131" s="38" t="n"/>
      <c r="AW131" s="38" t="n"/>
      <c r="AX131" s="38" t="n"/>
      <c r="AY131" s="38" t="n"/>
      <c r="AZ131" s="38" t="n"/>
      <c r="BA131" s="38" t="n"/>
      <c r="BB131" s="38" t="n"/>
      <c r="BC131" s="38" t="n"/>
      <c r="BD131" s="38" t="n"/>
      <c r="BE131" s="35" t="n"/>
      <c r="BF131" s="35" t="n"/>
      <c r="BG131" s="38" t="n"/>
      <c r="BH131" s="38" t="n"/>
      <c r="BI131" s="38" t="n"/>
      <c r="BJ131" s="35" t="n"/>
      <c r="BK131" s="38" t="n"/>
      <c r="BL131" s="33">
        <f>IF(OR(AU131="",AV131=""),"",AV131-AU131)</f>
        <v/>
      </c>
      <c r="BM131" s="33">
        <f>IF(OR(AV131="",AW131=""),"",AW131-AV131)</f>
        <v/>
      </c>
      <c r="BN131" s="33">
        <f>IF(OR(AW131="",AX131=""),"",AX131-AW131)</f>
        <v/>
      </c>
      <c r="BO131" s="33">
        <f>IF(OR(AX131="",BA131=""),"",BA131-AX131)</f>
        <v/>
      </c>
      <c r="BP131" s="33">
        <f>IF(OR(AV131="",BA131=""),"",BA131-AV131)</f>
        <v/>
      </c>
      <c r="BQ131" s="33">
        <f>IF(OR(BB131="",BD131=""),"",BD131-BB131)</f>
        <v/>
      </c>
      <c r="BR131" s="33">
        <f>IF(OR(AX131="",BD131=""),"",BD131-AX131)</f>
        <v/>
      </c>
      <c r="BS131" s="33">
        <f>IF(OR(AW131="",BD131=""),"",BD131-AW131)</f>
        <v/>
      </c>
      <c r="BT131" s="33">
        <f>IF(OR(AV131="",BD131=""),"",BD131-AV131)</f>
        <v/>
      </c>
      <c r="BU131" s="33">
        <f>IF(OR(AU131="",BD131=""),"",BD131-AU131)</f>
        <v/>
      </c>
      <c r="BV131" s="33">
        <f>IF(OR(BB131="",BG131=""),"",BG131-BB131)</f>
        <v/>
      </c>
      <c r="BW131" s="33">
        <f>IF(OR(BG131="",BH131=""),"",BH131-BG131)</f>
        <v/>
      </c>
      <c r="BX131" s="33">
        <f>IF(OR(BG131="",BI131=""),"",BI131-BG131)</f>
        <v/>
      </c>
      <c r="BY131" s="39">
        <f>IF(OR(AX131="",BK131=""),"",ROUND((BK131-AX131)/30.44,1))</f>
        <v/>
      </c>
      <c r="BZ131" s="37">
        <f>IF(BR131="","",IF(BR131&lt;=30,1,0))</f>
        <v/>
      </c>
      <c r="CA131" s="37">
        <f>IF(BR131="","",IF(BR131&gt;40.5,1,0))</f>
        <v/>
      </c>
      <c r="CB131" s="37">
        <f>IF(BR131="","",IF(BR131&gt;60,1,0))</f>
        <v/>
      </c>
      <c r="CC131" s="37">
        <f>IF(BR131="","",IF(BR131&gt;67,1,0))</f>
        <v/>
      </c>
      <c r="CD131" s="37">
        <f>IF(BT131="","",IF(BT131&lt;=30,1,0))</f>
        <v/>
      </c>
      <c r="CE131" s="37">
        <f>IF(BQ131="","",IF(BQ131&lt;=28,1,0))</f>
        <v/>
      </c>
      <c r="CF131" s="37">
        <f>IF(OR(BV131="",BE131&lt;&gt;"ניתוח"),"",IF(BV131&lt;=30,1,0))</f>
        <v/>
      </c>
      <c r="CG131" s="37">
        <f>IF(BU131="","",IF(BU131&lt;=56,1,0))</f>
        <v/>
      </c>
      <c r="CH131" s="37">
        <f>IF(BW131="","",IF(BW131&lt;=42,1,0))</f>
        <v/>
      </c>
      <c r="CI131" s="37">
        <f>IF(BX131="","",IF(BX131&lt;=100,1,0))</f>
        <v/>
      </c>
      <c r="CJ131" s="33">
        <f>IF(A131="","",COUNTIF(Delays!$B$5:$B$404,A131))</f>
        <v/>
      </c>
      <c r="CK131" s="35" t="n"/>
    </row>
    <row r="132">
      <c r="A132" s="33">
        <f>IF(OR(B132="",C132="",D132="",AX132=""),"","RET-"&amp;RIGHT(YEAR(AX132),2)&amp;"-"&amp;TEXT(B132,"000")&amp;"-"&amp;C132&amp;"-"&amp;D132&amp;"-"&amp;TEXT(MONTH(AX132),"00"))</f>
        <v/>
      </c>
      <c r="B132" s="34" t="n">
        <v>127</v>
      </c>
      <c r="C132" s="35" t="n"/>
      <c r="D132" s="35" t="n"/>
      <c r="E132" s="33">
        <f>IF(AX132="","",YEAR(AX132))</f>
        <v/>
      </c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6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7">
        <f>IF(Y132="","",IF(OR(Y132="III",Y132="IV",Y132="IVA",Y132="IVB",Y132="IVC"),1,0))</f>
        <v/>
      </c>
      <c r="AA132" s="35" t="n"/>
      <c r="AB132" s="35" t="n"/>
      <c r="AC132" s="35" t="n"/>
      <c r="AD132" s="35" t="n"/>
      <c r="AE132" s="35" t="n"/>
      <c r="AF132" s="35" t="n"/>
      <c r="AG132" s="35" t="n"/>
      <c r="AH132" s="35" t="n"/>
      <c r="AI132" s="35" t="n"/>
      <c r="AJ132" s="35" t="n"/>
      <c r="AK132" s="35" t="n"/>
      <c r="AL132" s="35" t="n"/>
      <c r="AM132" s="35" t="n"/>
      <c r="AN132" s="35" t="n"/>
      <c r="AO132" s="35" t="n"/>
      <c r="AP132" s="35" t="n"/>
      <c r="AQ132" s="35" t="n"/>
      <c r="AR132" s="35" t="n"/>
      <c r="AS132" s="35" t="n"/>
      <c r="AT132" s="35" t="n"/>
      <c r="AU132" s="38" t="n"/>
      <c r="AV132" s="38" t="n"/>
      <c r="AW132" s="38" t="n"/>
      <c r="AX132" s="38" t="n"/>
      <c r="AY132" s="38" t="n"/>
      <c r="AZ132" s="38" t="n"/>
      <c r="BA132" s="38" t="n"/>
      <c r="BB132" s="38" t="n"/>
      <c r="BC132" s="38" t="n"/>
      <c r="BD132" s="38" t="n"/>
      <c r="BE132" s="35" t="n"/>
      <c r="BF132" s="35" t="n"/>
      <c r="BG132" s="38" t="n"/>
      <c r="BH132" s="38" t="n"/>
      <c r="BI132" s="38" t="n"/>
      <c r="BJ132" s="35" t="n"/>
      <c r="BK132" s="38" t="n"/>
      <c r="BL132" s="33">
        <f>IF(OR(AU132="",AV132=""),"",AV132-AU132)</f>
        <v/>
      </c>
      <c r="BM132" s="33">
        <f>IF(OR(AV132="",AW132=""),"",AW132-AV132)</f>
        <v/>
      </c>
      <c r="BN132" s="33">
        <f>IF(OR(AW132="",AX132=""),"",AX132-AW132)</f>
        <v/>
      </c>
      <c r="BO132" s="33">
        <f>IF(OR(AX132="",BA132=""),"",BA132-AX132)</f>
        <v/>
      </c>
      <c r="BP132" s="33">
        <f>IF(OR(AV132="",BA132=""),"",BA132-AV132)</f>
        <v/>
      </c>
      <c r="BQ132" s="33">
        <f>IF(OR(BB132="",BD132=""),"",BD132-BB132)</f>
        <v/>
      </c>
      <c r="BR132" s="33">
        <f>IF(OR(AX132="",BD132=""),"",BD132-AX132)</f>
        <v/>
      </c>
      <c r="BS132" s="33">
        <f>IF(OR(AW132="",BD132=""),"",BD132-AW132)</f>
        <v/>
      </c>
      <c r="BT132" s="33">
        <f>IF(OR(AV132="",BD132=""),"",BD132-AV132)</f>
        <v/>
      </c>
      <c r="BU132" s="33">
        <f>IF(OR(AU132="",BD132=""),"",BD132-AU132)</f>
        <v/>
      </c>
      <c r="BV132" s="33">
        <f>IF(OR(BB132="",BG132=""),"",BG132-BB132)</f>
        <v/>
      </c>
      <c r="BW132" s="33">
        <f>IF(OR(BG132="",BH132=""),"",BH132-BG132)</f>
        <v/>
      </c>
      <c r="BX132" s="33">
        <f>IF(OR(BG132="",BI132=""),"",BI132-BG132)</f>
        <v/>
      </c>
      <c r="BY132" s="39">
        <f>IF(OR(AX132="",BK132=""),"",ROUND((BK132-AX132)/30.44,1))</f>
        <v/>
      </c>
      <c r="BZ132" s="37">
        <f>IF(BR132="","",IF(BR132&lt;=30,1,0))</f>
        <v/>
      </c>
      <c r="CA132" s="37">
        <f>IF(BR132="","",IF(BR132&gt;40.5,1,0))</f>
        <v/>
      </c>
      <c r="CB132" s="37">
        <f>IF(BR132="","",IF(BR132&gt;60,1,0))</f>
        <v/>
      </c>
      <c r="CC132" s="37">
        <f>IF(BR132="","",IF(BR132&gt;67,1,0))</f>
        <v/>
      </c>
      <c r="CD132" s="37">
        <f>IF(BT132="","",IF(BT132&lt;=30,1,0))</f>
        <v/>
      </c>
      <c r="CE132" s="37">
        <f>IF(BQ132="","",IF(BQ132&lt;=28,1,0))</f>
        <v/>
      </c>
      <c r="CF132" s="37">
        <f>IF(OR(BV132="",BE132&lt;&gt;"ניתוח"),"",IF(BV132&lt;=30,1,0))</f>
        <v/>
      </c>
      <c r="CG132" s="37">
        <f>IF(BU132="","",IF(BU132&lt;=56,1,0))</f>
        <v/>
      </c>
      <c r="CH132" s="37">
        <f>IF(BW132="","",IF(BW132&lt;=42,1,0))</f>
        <v/>
      </c>
      <c r="CI132" s="37">
        <f>IF(BX132="","",IF(BX132&lt;=100,1,0))</f>
        <v/>
      </c>
      <c r="CJ132" s="33">
        <f>IF(A132="","",COUNTIF(Delays!$B$5:$B$404,A132))</f>
        <v/>
      </c>
      <c r="CK132" s="35" t="n"/>
    </row>
    <row r="133">
      <c r="A133" s="33">
        <f>IF(OR(B133="",C133="",D133="",AX133=""),"","RET-"&amp;RIGHT(YEAR(AX133),2)&amp;"-"&amp;TEXT(B133,"000")&amp;"-"&amp;C133&amp;"-"&amp;D133&amp;"-"&amp;TEXT(MONTH(AX133),"00"))</f>
        <v/>
      </c>
      <c r="B133" s="34" t="n">
        <v>128</v>
      </c>
      <c r="C133" s="35" t="n"/>
      <c r="D133" s="35" t="n"/>
      <c r="E133" s="33">
        <f>IF(AX133="","",YEAR(AX133))</f>
        <v/>
      </c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6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7">
        <f>IF(Y133="","",IF(OR(Y133="III",Y133="IV",Y133="IVA",Y133="IVB",Y133="IVC"),1,0))</f>
        <v/>
      </c>
      <c r="AA133" s="35" t="n"/>
      <c r="AB133" s="35" t="n"/>
      <c r="AC133" s="35" t="n"/>
      <c r="AD133" s="35" t="n"/>
      <c r="AE133" s="35" t="n"/>
      <c r="AF133" s="35" t="n"/>
      <c r="AG133" s="35" t="n"/>
      <c r="AH133" s="35" t="n"/>
      <c r="AI133" s="35" t="n"/>
      <c r="AJ133" s="35" t="n"/>
      <c r="AK133" s="35" t="n"/>
      <c r="AL133" s="35" t="n"/>
      <c r="AM133" s="35" t="n"/>
      <c r="AN133" s="35" t="n"/>
      <c r="AO133" s="35" t="n"/>
      <c r="AP133" s="35" t="n"/>
      <c r="AQ133" s="35" t="n"/>
      <c r="AR133" s="35" t="n"/>
      <c r="AS133" s="35" t="n"/>
      <c r="AT133" s="35" t="n"/>
      <c r="AU133" s="38" t="n"/>
      <c r="AV133" s="38" t="n"/>
      <c r="AW133" s="38" t="n"/>
      <c r="AX133" s="38" t="n"/>
      <c r="AY133" s="38" t="n"/>
      <c r="AZ133" s="38" t="n"/>
      <c r="BA133" s="38" t="n"/>
      <c r="BB133" s="38" t="n"/>
      <c r="BC133" s="38" t="n"/>
      <c r="BD133" s="38" t="n"/>
      <c r="BE133" s="35" t="n"/>
      <c r="BF133" s="35" t="n"/>
      <c r="BG133" s="38" t="n"/>
      <c r="BH133" s="38" t="n"/>
      <c r="BI133" s="38" t="n"/>
      <c r="BJ133" s="35" t="n"/>
      <c r="BK133" s="38" t="n"/>
      <c r="BL133" s="33">
        <f>IF(OR(AU133="",AV133=""),"",AV133-AU133)</f>
        <v/>
      </c>
      <c r="BM133" s="33">
        <f>IF(OR(AV133="",AW133=""),"",AW133-AV133)</f>
        <v/>
      </c>
      <c r="BN133" s="33">
        <f>IF(OR(AW133="",AX133=""),"",AX133-AW133)</f>
        <v/>
      </c>
      <c r="BO133" s="33">
        <f>IF(OR(AX133="",BA133=""),"",BA133-AX133)</f>
        <v/>
      </c>
      <c r="BP133" s="33">
        <f>IF(OR(AV133="",BA133=""),"",BA133-AV133)</f>
        <v/>
      </c>
      <c r="BQ133" s="33">
        <f>IF(OR(BB133="",BD133=""),"",BD133-BB133)</f>
        <v/>
      </c>
      <c r="BR133" s="33">
        <f>IF(OR(AX133="",BD133=""),"",BD133-AX133)</f>
        <v/>
      </c>
      <c r="BS133" s="33">
        <f>IF(OR(AW133="",BD133=""),"",BD133-AW133)</f>
        <v/>
      </c>
      <c r="BT133" s="33">
        <f>IF(OR(AV133="",BD133=""),"",BD133-AV133)</f>
        <v/>
      </c>
      <c r="BU133" s="33">
        <f>IF(OR(AU133="",BD133=""),"",BD133-AU133)</f>
        <v/>
      </c>
      <c r="BV133" s="33">
        <f>IF(OR(BB133="",BG133=""),"",BG133-BB133)</f>
        <v/>
      </c>
      <c r="BW133" s="33">
        <f>IF(OR(BG133="",BH133=""),"",BH133-BG133)</f>
        <v/>
      </c>
      <c r="BX133" s="33">
        <f>IF(OR(BG133="",BI133=""),"",BI133-BG133)</f>
        <v/>
      </c>
      <c r="BY133" s="39">
        <f>IF(OR(AX133="",BK133=""),"",ROUND((BK133-AX133)/30.44,1))</f>
        <v/>
      </c>
      <c r="BZ133" s="37">
        <f>IF(BR133="","",IF(BR133&lt;=30,1,0))</f>
        <v/>
      </c>
      <c r="CA133" s="37">
        <f>IF(BR133="","",IF(BR133&gt;40.5,1,0))</f>
        <v/>
      </c>
      <c r="CB133" s="37">
        <f>IF(BR133="","",IF(BR133&gt;60,1,0))</f>
        <v/>
      </c>
      <c r="CC133" s="37">
        <f>IF(BR133="","",IF(BR133&gt;67,1,0))</f>
        <v/>
      </c>
      <c r="CD133" s="37">
        <f>IF(BT133="","",IF(BT133&lt;=30,1,0))</f>
        <v/>
      </c>
      <c r="CE133" s="37">
        <f>IF(BQ133="","",IF(BQ133&lt;=28,1,0))</f>
        <v/>
      </c>
      <c r="CF133" s="37">
        <f>IF(OR(BV133="",BE133&lt;&gt;"ניתוח"),"",IF(BV133&lt;=30,1,0))</f>
        <v/>
      </c>
      <c r="CG133" s="37">
        <f>IF(BU133="","",IF(BU133&lt;=56,1,0))</f>
        <v/>
      </c>
      <c r="CH133" s="37">
        <f>IF(BW133="","",IF(BW133&lt;=42,1,0))</f>
        <v/>
      </c>
      <c r="CI133" s="37">
        <f>IF(BX133="","",IF(BX133&lt;=100,1,0))</f>
        <v/>
      </c>
      <c r="CJ133" s="33">
        <f>IF(A133="","",COUNTIF(Delays!$B$5:$B$404,A133))</f>
        <v/>
      </c>
      <c r="CK133" s="35" t="n"/>
    </row>
    <row r="134">
      <c r="A134" s="33">
        <f>IF(OR(B134="",C134="",D134="",AX134=""),"","RET-"&amp;RIGHT(YEAR(AX134),2)&amp;"-"&amp;TEXT(B134,"000")&amp;"-"&amp;C134&amp;"-"&amp;D134&amp;"-"&amp;TEXT(MONTH(AX134),"00"))</f>
        <v/>
      </c>
      <c r="B134" s="34" t="n">
        <v>129</v>
      </c>
      <c r="C134" s="35" t="n"/>
      <c r="D134" s="35" t="n"/>
      <c r="E134" s="33">
        <f>IF(AX134="","",YEAR(AX134))</f>
        <v/>
      </c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6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7">
        <f>IF(Y134="","",IF(OR(Y134="III",Y134="IV",Y134="IVA",Y134="IVB",Y134="IVC"),1,0))</f>
        <v/>
      </c>
      <c r="AA134" s="35" t="n"/>
      <c r="AB134" s="35" t="n"/>
      <c r="AC134" s="35" t="n"/>
      <c r="AD134" s="35" t="n"/>
      <c r="AE134" s="35" t="n"/>
      <c r="AF134" s="35" t="n"/>
      <c r="AG134" s="35" t="n"/>
      <c r="AH134" s="35" t="n"/>
      <c r="AI134" s="35" t="n"/>
      <c r="AJ134" s="35" t="n"/>
      <c r="AK134" s="35" t="n"/>
      <c r="AL134" s="35" t="n"/>
      <c r="AM134" s="35" t="n"/>
      <c r="AN134" s="35" t="n"/>
      <c r="AO134" s="35" t="n"/>
      <c r="AP134" s="35" t="n"/>
      <c r="AQ134" s="35" t="n"/>
      <c r="AR134" s="35" t="n"/>
      <c r="AS134" s="35" t="n"/>
      <c r="AT134" s="35" t="n"/>
      <c r="AU134" s="38" t="n"/>
      <c r="AV134" s="38" t="n"/>
      <c r="AW134" s="38" t="n"/>
      <c r="AX134" s="38" t="n"/>
      <c r="AY134" s="38" t="n"/>
      <c r="AZ134" s="38" t="n"/>
      <c r="BA134" s="38" t="n"/>
      <c r="BB134" s="38" t="n"/>
      <c r="BC134" s="38" t="n"/>
      <c r="BD134" s="38" t="n"/>
      <c r="BE134" s="35" t="n"/>
      <c r="BF134" s="35" t="n"/>
      <c r="BG134" s="38" t="n"/>
      <c r="BH134" s="38" t="n"/>
      <c r="BI134" s="38" t="n"/>
      <c r="BJ134" s="35" t="n"/>
      <c r="BK134" s="38" t="n"/>
      <c r="BL134" s="33">
        <f>IF(OR(AU134="",AV134=""),"",AV134-AU134)</f>
        <v/>
      </c>
      <c r="BM134" s="33">
        <f>IF(OR(AV134="",AW134=""),"",AW134-AV134)</f>
        <v/>
      </c>
      <c r="BN134" s="33">
        <f>IF(OR(AW134="",AX134=""),"",AX134-AW134)</f>
        <v/>
      </c>
      <c r="BO134" s="33">
        <f>IF(OR(AX134="",BA134=""),"",BA134-AX134)</f>
        <v/>
      </c>
      <c r="BP134" s="33">
        <f>IF(OR(AV134="",BA134=""),"",BA134-AV134)</f>
        <v/>
      </c>
      <c r="BQ134" s="33">
        <f>IF(OR(BB134="",BD134=""),"",BD134-BB134)</f>
        <v/>
      </c>
      <c r="BR134" s="33">
        <f>IF(OR(AX134="",BD134=""),"",BD134-AX134)</f>
        <v/>
      </c>
      <c r="BS134" s="33">
        <f>IF(OR(AW134="",BD134=""),"",BD134-AW134)</f>
        <v/>
      </c>
      <c r="BT134" s="33">
        <f>IF(OR(AV134="",BD134=""),"",BD134-AV134)</f>
        <v/>
      </c>
      <c r="BU134" s="33">
        <f>IF(OR(AU134="",BD134=""),"",BD134-AU134)</f>
        <v/>
      </c>
      <c r="BV134" s="33">
        <f>IF(OR(BB134="",BG134=""),"",BG134-BB134)</f>
        <v/>
      </c>
      <c r="BW134" s="33">
        <f>IF(OR(BG134="",BH134=""),"",BH134-BG134)</f>
        <v/>
      </c>
      <c r="BX134" s="33">
        <f>IF(OR(BG134="",BI134=""),"",BI134-BG134)</f>
        <v/>
      </c>
      <c r="BY134" s="39">
        <f>IF(OR(AX134="",BK134=""),"",ROUND((BK134-AX134)/30.44,1))</f>
        <v/>
      </c>
      <c r="BZ134" s="37">
        <f>IF(BR134="","",IF(BR134&lt;=30,1,0))</f>
        <v/>
      </c>
      <c r="CA134" s="37">
        <f>IF(BR134="","",IF(BR134&gt;40.5,1,0))</f>
        <v/>
      </c>
      <c r="CB134" s="37">
        <f>IF(BR134="","",IF(BR134&gt;60,1,0))</f>
        <v/>
      </c>
      <c r="CC134" s="37">
        <f>IF(BR134="","",IF(BR134&gt;67,1,0))</f>
        <v/>
      </c>
      <c r="CD134" s="37">
        <f>IF(BT134="","",IF(BT134&lt;=30,1,0))</f>
        <v/>
      </c>
      <c r="CE134" s="37">
        <f>IF(BQ134="","",IF(BQ134&lt;=28,1,0))</f>
        <v/>
      </c>
      <c r="CF134" s="37">
        <f>IF(OR(BV134="",BE134&lt;&gt;"ניתוח"),"",IF(BV134&lt;=30,1,0))</f>
        <v/>
      </c>
      <c r="CG134" s="37">
        <f>IF(BU134="","",IF(BU134&lt;=56,1,0))</f>
        <v/>
      </c>
      <c r="CH134" s="37">
        <f>IF(BW134="","",IF(BW134&lt;=42,1,0))</f>
        <v/>
      </c>
      <c r="CI134" s="37">
        <f>IF(BX134="","",IF(BX134&lt;=100,1,0))</f>
        <v/>
      </c>
      <c r="CJ134" s="33">
        <f>IF(A134="","",COUNTIF(Delays!$B$5:$B$404,A134))</f>
        <v/>
      </c>
      <c r="CK134" s="35" t="n"/>
    </row>
    <row r="135">
      <c r="A135" s="33">
        <f>IF(OR(B135="",C135="",D135="",AX135=""),"","RET-"&amp;RIGHT(YEAR(AX135),2)&amp;"-"&amp;TEXT(B135,"000")&amp;"-"&amp;C135&amp;"-"&amp;D135&amp;"-"&amp;TEXT(MONTH(AX135),"00"))</f>
        <v/>
      </c>
      <c r="B135" s="34" t="n">
        <v>130</v>
      </c>
      <c r="C135" s="35" t="n"/>
      <c r="D135" s="35" t="n"/>
      <c r="E135" s="33">
        <f>IF(AX135="","",YEAR(AX135))</f>
        <v/>
      </c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6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7">
        <f>IF(Y135="","",IF(OR(Y135="III",Y135="IV",Y135="IVA",Y135="IVB",Y135="IVC"),1,0))</f>
        <v/>
      </c>
      <c r="AA135" s="35" t="n"/>
      <c r="AB135" s="35" t="n"/>
      <c r="AC135" s="35" t="n"/>
      <c r="AD135" s="35" t="n"/>
      <c r="AE135" s="35" t="n"/>
      <c r="AF135" s="35" t="n"/>
      <c r="AG135" s="35" t="n"/>
      <c r="AH135" s="35" t="n"/>
      <c r="AI135" s="35" t="n"/>
      <c r="AJ135" s="35" t="n"/>
      <c r="AK135" s="35" t="n"/>
      <c r="AL135" s="35" t="n"/>
      <c r="AM135" s="35" t="n"/>
      <c r="AN135" s="35" t="n"/>
      <c r="AO135" s="35" t="n"/>
      <c r="AP135" s="35" t="n"/>
      <c r="AQ135" s="35" t="n"/>
      <c r="AR135" s="35" t="n"/>
      <c r="AS135" s="35" t="n"/>
      <c r="AT135" s="35" t="n"/>
      <c r="AU135" s="38" t="n"/>
      <c r="AV135" s="38" t="n"/>
      <c r="AW135" s="38" t="n"/>
      <c r="AX135" s="38" t="n"/>
      <c r="AY135" s="38" t="n"/>
      <c r="AZ135" s="38" t="n"/>
      <c r="BA135" s="38" t="n"/>
      <c r="BB135" s="38" t="n"/>
      <c r="BC135" s="38" t="n"/>
      <c r="BD135" s="38" t="n"/>
      <c r="BE135" s="35" t="n"/>
      <c r="BF135" s="35" t="n"/>
      <c r="BG135" s="38" t="n"/>
      <c r="BH135" s="38" t="n"/>
      <c r="BI135" s="38" t="n"/>
      <c r="BJ135" s="35" t="n"/>
      <c r="BK135" s="38" t="n"/>
      <c r="BL135" s="33">
        <f>IF(OR(AU135="",AV135=""),"",AV135-AU135)</f>
        <v/>
      </c>
      <c r="BM135" s="33">
        <f>IF(OR(AV135="",AW135=""),"",AW135-AV135)</f>
        <v/>
      </c>
      <c r="BN135" s="33">
        <f>IF(OR(AW135="",AX135=""),"",AX135-AW135)</f>
        <v/>
      </c>
      <c r="BO135" s="33">
        <f>IF(OR(AX135="",BA135=""),"",BA135-AX135)</f>
        <v/>
      </c>
      <c r="BP135" s="33">
        <f>IF(OR(AV135="",BA135=""),"",BA135-AV135)</f>
        <v/>
      </c>
      <c r="BQ135" s="33">
        <f>IF(OR(BB135="",BD135=""),"",BD135-BB135)</f>
        <v/>
      </c>
      <c r="BR135" s="33">
        <f>IF(OR(AX135="",BD135=""),"",BD135-AX135)</f>
        <v/>
      </c>
      <c r="BS135" s="33">
        <f>IF(OR(AW135="",BD135=""),"",BD135-AW135)</f>
        <v/>
      </c>
      <c r="BT135" s="33">
        <f>IF(OR(AV135="",BD135=""),"",BD135-AV135)</f>
        <v/>
      </c>
      <c r="BU135" s="33">
        <f>IF(OR(AU135="",BD135=""),"",BD135-AU135)</f>
        <v/>
      </c>
      <c r="BV135" s="33">
        <f>IF(OR(BB135="",BG135=""),"",BG135-BB135)</f>
        <v/>
      </c>
      <c r="BW135" s="33">
        <f>IF(OR(BG135="",BH135=""),"",BH135-BG135)</f>
        <v/>
      </c>
      <c r="BX135" s="33">
        <f>IF(OR(BG135="",BI135=""),"",BI135-BG135)</f>
        <v/>
      </c>
      <c r="BY135" s="39">
        <f>IF(OR(AX135="",BK135=""),"",ROUND((BK135-AX135)/30.44,1))</f>
        <v/>
      </c>
      <c r="BZ135" s="37">
        <f>IF(BR135="","",IF(BR135&lt;=30,1,0))</f>
        <v/>
      </c>
      <c r="CA135" s="37">
        <f>IF(BR135="","",IF(BR135&gt;40.5,1,0))</f>
        <v/>
      </c>
      <c r="CB135" s="37">
        <f>IF(BR135="","",IF(BR135&gt;60,1,0))</f>
        <v/>
      </c>
      <c r="CC135" s="37">
        <f>IF(BR135="","",IF(BR135&gt;67,1,0))</f>
        <v/>
      </c>
      <c r="CD135" s="37">
        <f>IF(BT135="","",IF(BT135&lt;=30,1,0))</f>
        <v/>
      </c>
      <c r="CE135" s="37">
        <f>IF(BQ135="","",IF(BQ135&lt;=28,1,0))</f>
        <v/>
      </c>
      <c r="CF135" s="37">
        <f>IF(OR(BV135="",BE135&lt;&gt;"ניתוח"),"",IF(BV135&lt;=30,1,0))</f>
        <v/>
      </c>
      <c r="CG135" s="37">
        <f>IF(BU135="","",IF(BU135&lt;=56,1,0))</f>
        <v/>
      </c>
      <c r="CH135" s="37">
        <f>IF(BW135="","",IF(BW135&lt;=42,1,0))</f>
        <v/>
      </c>
      <c r="CI135" s="37">
        <f>IF(BX135="","",IF(BX135&lt;=100,1,0))</f>
        <v/>
      </c>
      <c r="CJ135" s="33">
        <f>IF(A135="","",COUNTIF(Delays!$B$5:$B$404,A135))</f>
        <v/>
      </c>
      <c r="CK135" s="35" t="n"/>
    </row>
    <row r="136">
      <c r="A136" s="33">
        <f>IF(OR(B136="",C136="",D136="",AX136=""),"","RET-"&amp;RIGHT(YEAR(AX136),2)&amp;"-"&amp;TEXT(B136,"000")&amp;"-"&amp;C136&amp;"-"&amp;D136&amp;"-"&amp;TEXT(MONTH(AX136),"00"))</f>
        <v/>
      </c>
      <c r="B136" s="34" t="n">
        <v>131</v>
      </c>
      <c r="C136" s="35" t="n"/>
      <c r="D136" s="35" t="n"/>
      <c r="E136" s="33">
        <f>IF(AX136="","",YEAR(AX136))</f>
        <v/>
      </c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6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7">
        <f>IF(Y136="","",IF(OR(Y136="III",Y136="IV",Y136="IVA",Y136="IVB",Y136="IVC"),1,0))</f>
        <v/>
      </c>
      <c r="AA136" s="35" t="n"/>
      <c r="AB136" s="35" t="n"/>
      <c r="AC136" s="35" t="n"/>
      <c r="AD136" s="35" t="n"/>
      <c r="AE136" s="35" t="n"/>
      <c r="AF136" s="35" t="n"/>
      <c r="AG136" s="35" t="n"/>
      <c r="AH136" s="35" t="n"/>
      <c r="AI136" s="35" t="n"/>
      <c r="AJ136" s="35" t="n"/>
      <c r="AK136" s="35" t="n"/>
      <c r="AL136" s="35" t="n"/>
      <c r="AM136" s="35" t="n"/>
      <c r="AN136" s="35" t="n"/>
      <c r="AO136" s="35" t="n"/>
      <c r="AP136" s="35" t="n"/>
      <c r="AQ136" s="35" t="n"/>
      <c r="AR136" s="35" t="n"/>
      <c r="AS136" s="35" t="n"/>
      <c r="AT136" s="35" t="n"/>
      <c r="AU136" s="38" t="n"/>
      <c r="AV136" s="38" t="n"/>
      <c r="AW136" s="38" t="n"/>
      <c r="AX136" s="38" t="n"/>
      <c r="AY136" s="38" t="n"/>
      <c r="AZ136" s="38" t="n"/>
      <c r="BA136" s="38" t="n"/>
      <c r="BB136" s="38" t="n"/>
      <c r="BC136" s="38" t="n"/>
      <c r="BD136" s="38" t="n"/>
      <c r="BE136" s="35" t="n"/>
      <c r="BF136" s="35" t="n"/>
      <c r="BG136" s="38" t="n"/>
      <c r="BH136" s="38" t="n"/>
      <c r="BI136" s="38" t="n"/>
      <c r="BJ136" s="35" t="n"/>
      <c r="BK136" s="38" t="n"/>
      <c r="BL136" s="33">
        <f>IF(OR(AU136="",AV136=""),"",AV136-AU136)</f>
        <v/>
      </c>
      <c r="BM136" s="33">
        <f>IF(OR(AV136="",AW136=""),"",AW136-AV136)</f>
        <v/>
      </c>
      <c r="BN136" s="33">
        <f>IF(OR(AW136="",AX136=""),"",AX136-AW136)</f>
        <v/>
      </c>
      <c r="BO136" s="33">
        <f>IF(OR(AX136="",BA136=""),"",BA136-AX136)</f>
        <v/>
      </c>
      <c r="BP136" s="33">
        <f>IF(OR(AV136="",BA136=""),"",BA136-AV136)</f>
        <v/>
      </c>
      <c r="BQ136" s="33">
        <f>IF(OR(BB136="",BD136=""),"",BD136-BB136)</f>
        <v/>
      </c>
      <c r="BR136" s="33">
        <f>IF(OR(AX136="",BD136=""),"",BD136-AX136)</f>
        <v/>
      </c>
      <c r="BS136" s="33">
        <f>IF(OR(AW136="",BD136=""),"",BD136-AW136)</f>
        <v/>
      </c>
      <c r="BT136" s="33">
        <f>IF(OR(AV136="",BD136=""),"",BD136-AV136)</f>
        <v/>
      </c>
      <c r="BU136" s="33">
        <f>IF(OR(AU136="",BD136=""),"",BD136-AU136)</f>
        <v/>
      </c>
      <c r="BV136" s="33">
        <f>IF(OR(BB136="",BG136=""),"",BG136-BB136)</f>
        <v/>
      </c>
      <c r="BW136" s="33">
        <f>IF(OR(BG136="",BH136=""),"",BH136-BG136)</f>
        <v/>
      </c>
      <c r="BX136" s="33">
        <f>IF(OR(BG136="",BI136=""),"",BI136-BG136)</f>
        <v/>
      </c>
      <c r="BY136" s="39">
        <f>IF(OR(AX136="",BK136=""),"",ROUND((BK136-AX136)/30.44,1))</f>
        <v/>
      </c>
      <c r="BZ136" s="37">
        <f>IF(BR136="","",IF(BR136&lt;=30,1,0))</f>
        <v/>
      </c>
      <c r="CA136" s="37">
        <f>IF(BR136="","",IF(BR136&gt;40.5,1,0))</f>
        <v/>
      </c>
      <c r="CB136" s="37">
        <f>IF(BR136="","",IF(BR136&gt;60,1,0))</f>
        <v/>
      </c>
      <c r="CC136" s="37">
        <f>IF(BR136="","",IF(BR136&gt;67,1,0))</f>
        <v/>
      </c>
      <c r="CD136" s="37">
        <f>IF(BT136="","",IF(BT136&lt;=30,1,0))</f>
        <v/>
      </c>
      <c r="CE136" s="37">
        <f>IF(BQ136="","",IF(BQ136&lt;=28,1,0))</f>
        <v/>
      </c>
      <c r="CF136" s="37">
        <f>IF(OR(BV136="",BE136&lt;&gt;"ניתוח"),"",IF(BV136&lt;=30,1,0))</f>
        <v/>
      </c>
      <c r="CG136" s="37">
        <f>IF(BU136="","",IF(BU136&lt;=56,1,0))</f>
        <v/>
      </c>
      <c r="CH136" s="37">
        <f>IF(BW136="","",IF(BW136&lt;=42,1,0))</f>
        <v/>
      </c>
      <c r="CI136" s="37">
        <f>IF(BX136="","",IF(BX136&lt;=100,1,0))</f>
        <v/>
      </c>
      <c r="CJ136" s="33">
        <f>IF(A136="","",COUNTIF(Delays!$B$5:$B$404,A136))</f>
        <v/>
      </c>
      <c r="CK136" s="35" t="n"/>
    </row>
    <row r="137">
      <c r="A137" s="33">
        <f>IF(OR(B137="",C137="",D137="",AX137=""),"","RET-"&amp;RIGHT(YEAR(AX137),2)&amp;"-"&amp;TEXT(B137,"000")&amp;"-"&amp;C137&amp;"-"&amp;D137&amp;"-"&amp;TEXT(MONTH(AX137),"00"))</f>
        <v/>
      </c>
      <c r="B137" s="34" t="n">
        <v>132</v>
      </c>
      <c r="C137" s="35" t="n"/>
      <c r="D137" s="35" t="n"/>
      <c r="E137" s="33">
        <f>IF(AX137="","",YEAR(AX137))</f>
        <v/>
      </c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6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7">
        <f>IF(Y137="","",IF(OR(Y137="III",Y137="IV",Y137="IVA",Y137="IVB",Y137="IVC"),1,0))</f>
        <v/>
      </c>
      <c r="AA137" s="35" t="n"/>
      <c r="AB137" s="35" t="n"/>
      <c r="AC137" s="35" t="n"/>
      <c r="AD137" s="35" t="n"/>
      <c r="AE137" s="35" t="n"/>
      <c r="AF137" s="35" t="n"/>
      <c r="AG137" s="35" t="n"/>
      <c r="AH137" s="35" t="n"/>
      <c r="AI137" s="35" t="n"/>
      <c r="AJ137" s="35" t="n"/>
      <c r="AK137" s="35" t="n"/>
      <c r="AL137" s="35" t="n"/>
      <c r="AM137" s="35" t="n"/>
      <c r="AN137" s="35" t="n"/>
      <c r="AO137" s="35" t="n"/>
      <c r="AP137" s="35" t="n"/>
      <c r="AQ137" s="35" t="n"/>
      <c r="AR137" s="35" t="n"/>
      <c r="AS137" s="35" t="n"/>
      <c r="AT137" s="35" t="n"/>
      <c r="AU137" s="38" t="n"/>
      <c r="AV137" s="38" t="n"/>
      <c r="AW137" s="38" t="n"/>
      <c r="AX137" s="38" t="n"/>
      <c r="AY137" s="38" t="n"/>
      <c r="AZ137" s="38" t="n"/>
      <c r="BA137" s="38" t="n"/>
      <c r="BB137" s="38" t="n"/>
      <c r="BC137" s="38" t="n"/>
      <c r="BD137" s="38" t="n"/>
      <c r="BE137" s="35" t="n"/>
      <c r="BF137" s="35" t="n"/>
      <c r="BG137" s="38" t="n"/>
      <c r="BH137" s="38" t="n"/>
      <c r="BI137" s="38" t="n"/>
      <c r="BJ137" s="35" t="n"/>
      <c r="BK137" s="38" t="n"/>
      <c r="BL137" s="33">
        <f>IF(OR(AU137="",AV137=""),"",AV137-AU137)</f>
        <v/>
      </c>
      <c r="BM137" s="33">
        <f>IF(OR(AV137="",AW137=""),"",AW137-AV137)</f>
        <v/>
      </c>
      <c r="BN137" s="33">
        <f>IF(OR(AW137="",AX137=""),"",AX137-AW137)</f>
        <v/>
      </c>
      <c r="BO137" s="33">
        <f>IF(OR(AX137="",BA137=""),"",BA137-AX137)</f>
        <v/>
      </c>
      <c r="BP137" s="33">
        <f>IF(OR(AV137="",BA137=""),"",BA137-AV137)</f>
        <v/>
      </c>
      <c r="BQ137" s="33">
        <f>IF(OR(BB137="",BD137=""),"",BD137-BB137)</f>
        <v/>
      </c>
      <c r="BR137" s="33">
        <f>IF(OR(AX137="",BD137=""),"",BD137-AX137)</f>
        <v/>
      </c>
      <c r="BS137" s="33">
        <f>IF(OR(AW137="",BD137=""),"",BD137-AW137)</f>
        <v/>
      </c>
      <c r="BT137" s="33">
        <f>IF(OR(AV137="",BD137=""),"",BD137-AV137)</f>
        <v/>
      </c>
      <c r="BU137" s="33">
        <f>IF(OR(AU137="",BD137=""),"",BD137-AU137)</f>
        <v/>
      </c>
      <c r="BV137" s="33">
        <f>IF(OR(BB137="",BG137=""),"",BG137-BB137)</f>
        <v/>
      </c>
      <c r="BW137" s="33">
        <f>IF(OR(BG137="",BH137=""),"",BH137-BG137)</f>
        <v/>
      </c>
      <c r="BX137" s="33">
        <f>IF(OR(BG137="",BI137=""),"",BI137-BG137)</f>
        <v/>
      </c>
      <c r="BY137" s="39">
        <f>IF(OR(AX137="",BK137=""),"",ROUND((BK137-AX137)/30.44,1))</f>
        <v/>
      </c>
      <c r="BZ137" s="37">
        <f>IF(BR137="","",IF(BR137&lt;=30,1,0))</f>
        <v/>
      </c>
      <c r="CA137" s="37">
        <f>IF(BR137="","",IF(BR137&gt;40.5,1,0))</f>
        <v/>
      </c>
      <c r="CB137" s="37">
        <f>IF(BR137="","",IF(BR137&gt;60,1,0))</f>
        <v/>
      </c>
      <c r="CC137" s="37">
        <f>IF(BR137="","",IF(BR137&gt;67,1,0))</f>
        <v/>
      </c>
      <c r="CD137" s="37">
        <f>IF(BT137="","",IF(BT137&lt;=30,1,0))</f>
        <v/>
      </c>
      <c r="CE137" s="37">
        <f>IF(BQ137="","",IF(BQ137&lt;=28,1,0))</f>
        <v/>
      </c>
      <c r="CF137" s="37">
        <f>IF(OR(BV137="",BE137&lt;&gt;"ניתוח"),"",IF(BV137&lt;=30,1,0))</f>
        <v/>
      </c>
      <c r="CG137" s="37">
        <f>IF(BU137="","",IF(BU137&lt;=56,1,0))</f>
        <v/>
      </c>
      <c r="CH137" s="37">
        <f>IF(BW137="","",IF(BW137&lt;=42,1,0))</f>
        <v/>
      </c>
      <c r="CI137" s="37">
        <f>IF(BX137="","",IF(BX137&lt;=100,1,0))</f>
        <v/>
      </c>
      <c r="CJ137" s="33">
        <f>IF(A137="","",COUNTIF(Delays!$B$5:$B$404,A137))</f>
        <v/>
      </c>
      <c r="CK137" s="35" t="n"/>
    </row>
    <row r="138">
      <c r="A138" s="33">
        <f>IF(OR(B138="",C138="",D138="",AX138=""),"","RET-"&amp;RIGHT(YEAR(AX138),2)&amp;"-"&amp;TEXT(B138,"000")&amp;"-"&amp;C138&amp;"-"&amp;D138&amp;"-"&amp;TEXT(MONTH(AX138),"00"))</f>
        <v/>
      </c>
      <c r="B138" s="34" t="n">
        <v>133</v>
      </c>
      <c r="C138" s="35" t="n"/>
      <c r="D138" s="35" t="n"/>
      <c r="E138" s="33">
        <f>IF(AX138="","",YEAR(AX138))</f>
        <v/>
      </c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6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7">
        <f>IF(Y138="","",IF(OR(Y138="III",Y138="IV",Y138="IVA",Y138="IVB",Y138="IVC"),1,0))</f>
        <v/>
      </c>
      <c r="AA138" s="35" t="n"/>
      <c r="AB138" s="35" t="n"/>
      <c r="AC138" s="35" t="n"/>
      <c r="AD138" s="35" t="n"/>
      <c r="AE138" s="35" t="n"/>
      <c r="AF138" s="35" t="n"/>
      <c r="AG138" s="35" t="n"/>
      <c r="AH138" s="35" t="n"/>
      <c r="AI138" s="35" t="n"/>
      <c r="AJ138" s="35" t="n"/>
      <c r="AK138" s="35" t="n"/>
      <c r="AL138" s="35" t="n"/>
      <c r="AM138" s="35" t="n"/>
      <c r="AN138" s="35" t="n"/>
      <c r="AO138" s="35" t="n"/>
      <c r="AP138" s="35" t="n"/>
      <c r="AQ138" s="35" t="n"/>
      <c r="AR138" s="35" t="n"/>
      <c r="AS138" s="35" t="n"/>
      <c r="AT138" s="35" t="n"/>
      <c r="AU138" s="38" t="n"/>
      <c r="AV138" s="38" t="n"/>
      <c r="AW138" s="38" t="n"/>
      <c r="AX138" s="38" t="n"/>
      <c r="AY138" s="38" t="n"/>
      <c r="AZ138" s="38" t="n"/>
      <c r="BA138" s="38" t="n"/>
      <c r="BB138" s="38" t="n"/>
      <c r="BC138" s="38" t="n"/>
      <c r="BD138" s="38" t="n"/>
      <c r="BE138" s="35" t="n"/>
      <c r="BF138" s="35" t="n"/>
      <c r="BG138" s="38" t="n"/>
      <c r="BH138" s="38" t="n"/>
      <c r="BI138" s="38" t="n"/>
      <c r="BJ138" s="35" t="n"/>
      <c r="BK138" s="38" t="n"/>
      <c r="BL138" s="33">
        <f>IF(OR(AU138="",AV138=""),"",AV138-AU138)</f>
        <v/>
      </c>
      <c r="BM138" s="33">
        <f>IF(OR(AV138="",AW138=""),"",AW138-AV138)</f>
        <v/>
      </c>
      <c r="BN138" s="33">
        <f>IF(OR(AW138="",AX138=""),"",AX138-AW138)</f>
        <v/>
      </c>
      <c r="BO138" s="33">
        <f>IF(OR(AX138="",BA138=""),"",BA138-AX138)</f>
        <v/>
      </c>
      <c r="BP138" s="33">
        <f>IF(OR(AV138="",BA138=""),"",BA138-AV138)</f>
        <v/>
      </c>
      <c r="BQ138" s="33">
        <f>IF(OR(BB138="",BD138=""),"",BD138-BB138)</f>
        <v/>
      </c>
      <c r="BR138" s="33">
        <f>IF(OR(AX138="",BD138=""),"",BD138-AX138)</f>
        <v/>
      </c>
      <c r="BS138" s="33">
        <f>IF(OR(AW138="",BD138=""),"",BD138-AW138)</f>
        <v/>
      </c>
      <c r="BT138" s="33">
        <f>IF(OR(AV138="",BD138=""),"",BD138-AV138)</f>
        <v/>
      </c>
      <c r="BU138" s="33">
        <f>IF(OR(AU138="",BD138=""),"",BD138-AU138)</f>
        <v/>
      </c>
      <c r="BV138" s="33">
        <f>IF(OR(BB138="",BG138=""),"",BG138-BB138)</f>
        <v/>
      </c>
      <c r="BW138" s="33">
        <f>IF(OR(BG138="",BH138=""),"",BH138-BG138)</f>
        <v/>
      </c>
      <c r="BX138" s="33">
        <f>IF(OR(BG138="",BI138=""),"",BI138-BG138)</f>
        <v/>
      </c>
      <c r="BY138" s="39">
        <f>IF(OR(AX138="",BK138=""),"",ROUND((BK138-AX138)/30.44,1))</f>
        <v/>
      </c>
      <c r="BZ138" s="37">
        <f>IF(BR138="","",IF(BR138&lt;=30,1,0))</f>
        <v/>
      </c>
      <c r="CA138" s="37">
        <f>IF(BR138="","",IF(BR138&gt;40.5,1,0))</f>
        <v/>
      </c>
      <c r="CB138" s="37">
        <f>IF(BR138="","",IF(BR138&gt;60,1,0))</f>
        <v/>
      </c>
      <c r="CC138" s="37">
        <f>IF(BR138="","",IF(BR138&gt;67,1,0))</f>
        <v/>
      </c>
      <c r="CD138" s="37">
        <f>IF(BT138="","",IF(BT138&lt;=30,1,0))</f>
        <v/>
      </c>
      <c r="CE138" s="37">
        <f>IF(BQ138="","",IF(BQ138&lt;=28,1,0))</f>
        <v/>
      </c>
      <c r="CF138" s="37">
        <f>IF(OR(BV138="",BE138&lt;&gt;"ניתוח"),"",IF(BV138&lt;=30,1,0))</f>
        <v/>
      </c>
      <c r="CG138" s="37">
        <f>IF(BU138="","",IF(BU138&lt;=56,1,0))</f>
        <v/>
      </c>
      <c r="CH138" s="37">
        <f>IF(BW138="","",IF(BW138&lt;=42,1,0))</f>
        <v/>
      </c>
      <c r="CI138" s="37">
        <f>IF(BX138="","",IF(BX138&lt;=100,1,0))</f>
        <v/>
      </c>
      <c r="CJ138" s="33">
        <f>IF(A138="","",COUNTIF(Delays!$B$5:$B$404,A138))</f>
        <v/>
      </c>
      <c r="CK138" s="35" t="n"/>
    </row>
    <row r="139">
      <c r="A139" s="33">
        <f>IF(OR(B139="",C139="",D139="",AX139=""),"","RET-"&amp;RIGHT(YEAR(AX139),2)&amp;"-"&amp;TEXT(B139,"000")&amp;"-"&amp;C139&amp;"-"&amp;D139&amp;"-"&amp;TEXT(MONTH(AX139),"00"))</f>
        <v/>
      </c>
      <c r="B139" s="34" t="n">
        <v>134</v>
      </c>
      <c r="C139" s="35" t="n"/>
      <c r="D139" s="35" t="n"/>
      <c r="E139" s="33">
        <f>IF(AX139="","",YEAR(AX139))</f>
        <v/>
      </c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6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7">
        <f>IF(Y139="","",IF(OR(Y139="III",Y139="IV",Y139="IVA",Y139="IVB",Y139="IVC"),1,0))</f>
        <v/>
      </c>
      <c r="AA139" s="35" t="n"/>
      <c r="AB139" s="35" t="n"/>
      <c r="AC139" s="35" t="n"/>
      <c r="AD139" s="35" t="n"/>
      <c r="AE139" s="35" t="n"/>
      <c r="AF139" s="35" t="n"/>
      <c r="AG139" s="35" t="n"/>
      <c r="AH139" s="35" t="n"/>
      <c r="AI139" s="35" t="n"/>
      <c r="AJ139" s="35" t="n"/>
      <c r="AK139" s="35" t="n"/>
      <c r="AL139" s="35" t="n"/>
      <c r="AM139" s="35" t="n"/>
      <c r="AN139" s="35" t="n"/>
      <c r="AO139" s="35" t="n"/>
      <c r="AP139" s="35" t="n"/>
      <c r="AQ139" s="35" t="n"/>
      <c r="AR139" s="35" t="n"/>
      <c r="AS139" s="35" t="n"/>
      <c r="AT139" s="35" t="n"/>
      <c r="AU139" s="38" t="n"/>
      <c r="AV139" s="38" t="n"/>
      <c r="AW139" s="38" t="n"/>
      <c r="AX139" s="38" t="n"/>
      <c r="AY139" s="38" t="n"/>
      <c r="AZ139" s="38" t="n"/>
      <c r="BA139" s="38" t="n"/>
      <c r="BB139" s="38" t="n"/>
      <c r="BC139" s="38" t="n"/>
      <c r="BD139" s="38" t="n"/>
      <c r="BE139" s="35" t="n"/>
      <c r="BF139" s="35" t="n"/>
      <c r="BG139" s="38" t="n"/>
      <c r="BH139" s="38" t="n"/>
      <c r="BI139" s="38" t="n"/>
      <c r="BJ139" s="35" t="n"/>
      <c r="BK139" s="38" t="n"/>
      <c r="BL139" s="33">
        <f>IF(OR(AU139="",AV139=""),"",AV139-AU139)</f>
        <v/>
      </c>
      <c r="BM139" s="33">
        <f>IF(OR(AV139="",AW139=""),"",AW139-AV139)</f>
        <v/>
      </c>
      <c r="BN139" s="33">
        <f>IF(OR(AW139="",AX139=""),"",AX139-AW139)</f>
        <v/>
      </c>
      <c r="BO139" s="33">
        <f>IF(OR(AX139="",BA139=""),"",BA139-AX139)</f>
        <v/>
      </c>
      <c r="BP139" s="33">
        <f>IF(OR(AV139="",BA139=""),"",BA139-AV139)</f>
        <v/>
      </c>
      <c r="BQ139" s="33">
        <f>IF(OR(BB139="",BD139=""),"",BD139-BB139)</f>
        <v/>
      </c>
      <c r="BR139" s="33">
        <f>IF(OR(AX139="",BD139=""),"",BD139-AX139)</f>
        <v/>
      </c>
      <c r="BS139" s="33">
        <f>IF(OR(AW139="",BD139=""),"",BD139-AW139)</f>
        <v/>
      </c>
      <c r="BT139" s="33">
        <f>IF(OR(AV139="",BD139=""),"",BD139-AV139)</f>
        <v/>
      </c>
      <c r="BU139" s="33">
        <f>IF(OR(AU139="",BD139=""),"",BD139-AU139)</f>
        <v/>
      </c>
      <c r="BV139" s="33">
        <f>IF(OR(BB139="",BG139=""),"",BG139-BB139)</f>
        <v/>
      </c>
      <c r="BW139" s="33">
        <f>IF(OR(BG139="",BH139=""),"",BH139-BG139)</f>
        <v/>
      </c>
      <c r="BX139" s="33">
        <f>IF(OR(BG139="",BI139=""),"",BI139-BG139)</f>
        <v/>
      </c>
      <c r="BY139" s="39">
        <f>IF(OR(AX139="",BK139=""),"",ROUND((BK139-AX139)/30.44,1))</f>
        <v/>
      </c>
      <c r="BZ139" s="37">
        <f>IF(BR139="","",IF(BR139&lt;=30,1,0))</f>
        <v/>
      </c>
      <c r="CA139" s="37">
        <f>IF(BR139="","",IF(BR139&gt;40.5,1,0))</f>
        <v/>
      </c>
      <c r="CB139" s="37">
        <f>IF(BR139="","",IF(BR139&gt;60,1,0))</f>
        <v/>
      </c>
      <c r="CC139" s="37">
        <f>IF(BR139="","",IF(BR139&gt;67,1,0))</f>
        <v/>
      </c>
      <c r="CD139" s="37">
        <f>IF(BT139="","",IF(BT139&lt;=30,1,0))</f>
        <v/>
      </c>
      <c r="CE139" s="37">
        <f>IF(BQ139="","",IF(BQ139&lt;=28,1,0))</f>
        <v/>
      </c>
      <c r="CF139" s="37">
        <f>IF(OR(BV139="",BE139&lt;&gt;"ניתוח"),"",IF(BV139&lt;=30,1,0))</f>
        <v/>
      </c>
      <c r="CG139" s="37">
        <f>IF(BU139="","",IF(BU139&lt;=56,1,0))</f>
        <v/>
      </c>
      <c r="CH139" s="37">
        <f>IF(BW139="","",IF(BW139&lt;=42,1,0))</f>
        <v/>
      </c>
      <c r="CI139" s="37">
        <f>IF(BX139="","",IF(BX139&lt;=100,1,0))</f>
        <v/>
      </c>
      <c r="CJ139" s="33">
        <f>IF(A139="","",COUNTIF(Delays!$B$5:$B$404,A139))</f>
        <v/>
      </c>
      <c r="CK139" s="35" t="n"/>
    </row>
    <row r="140">
      <c r="A140" s="33">
        <f>IF(OR(B140="",C140="",D140="",AX140=""),"","RET-"&amp;RIGHT(YEAR(AX140),2)&amp;"-"&amp;TEXT(B140,"000")&amp;"-"&amp;C140&amp;"-"&amp;D140&amp;"-"&amp;TEXT(MONTH(AX140),"00"))</f>
        <v/>
      </c>
      <c r="B140" s="34" t="n">
        <v>135</v>
      </c>
      <c r="C140" s="35" t="n"/>
      <c r="D140" s="35" t="n"/>
      <c r="E140" s="33">
        <f>IF(AX140="","",YEAR(AX140))</f>
        <v/>
      </c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6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7">
        <f>IF(Y140="","",IF(OR(Y140="III",Y140="IV",Y140="IVA",Y140="IVB",Y140="IVC"),1,0))</f>
        <v/>
      </c>
      <c r="AA140" s="35" t="n"/>
      <c r="AB140" s="35" t="n"/>
      <c r="AC140" s="35" t="n"/>
      <c r="AD140" s="35" t="n"/>
      <c r="AE140" s="35" t="n"/>
      <c r="AF140" s="35" t="n"/>
      <c r="AG140" s="35" t="n"/>
      <c r="AH140" s="35" t="n"/>
      <c r="AI140" s="35" t="n"/>
      <c r="AJ140" s="35" t="n"/>
      <c r="AK140" s="35" t="n"/>
      <c r="AL140" s="35" t="n"/>
      <c r="AM140" s="35" t="n"/>
      <c r="AN140" s="35" t="n"/>
      <c r="AO140" s="35" t="n"/>
      <c r="AP140" s="35" t="n"/>
      <c r="AQ140" s="35" t="n"/>
      <c r="AR140" s="35" t="n"/>
      <c r="AS140" s="35" t="n"/>
      <c r="AT140" s="35" t="n"/>
      <c r="AU140" s="38" t="n"/>
      <c r="AV140" s="38" t="n"/>
      <c r="AW140" s="38" t="n"/>
      <c r="AX140" s="38" t="n"/>
      <c r="AY140" s="38" t="n"/>
      <c r="AZ140" s="38" t="n"/>
      <c r="BA140" s="38" t="n"/>
      <c r="BB140" s="38" t="n"/>
      <c r="BC140" s="38" t="n"/>
      <c r="BD140" s="38" t="n"/>
      <c r="BE140" s="35" t="n"/>
      <c r="BF140" s="35" t="n"/>
      <c r="BG140" s="38" t="n"/>
      <c r="BH140" s="38" t="n"/>
      <c r="BI140" s="38" t="n"/>
      <c r="BJ140" s="35" t="n"/>
      <c r="BK140" s="38" t="n"/>
      <c r="BL140" s="33">
        <f>IF(OR(AU140="",AV140=""),"",AV140-AU140)</f>
        <v/>
      </c>
      <c r="BM140" s="33">
        <f>IF(OR(AV140="",AW140=""),"",AW140-AV140)</f>
        <v/>
      </c>
      <c r="BN140" s="33">
        <f>IF(OR(AW140="",AX140=""),"",AX140-AW140)</f>
        <v/>
      </c>
      <c r="BO140" s="33">
        <f>IF(OR(AX140="",BA140=""),"",BA140-AX140)</f>
        <v/>
      </c>
      <c r="BP140" s="33">
        <f>IF(OR(AV140="",BA140=""),"",BA140-AV140)</f>
        <v/>
      </c>
      <c r="BQ140" s="33">
        <f>IF(OR(BB140="",BD140=""),"",BD140-BB140)</f>
        <v/>
      </c>
      <c r="BR140" s="33">
        <f>IF(OR(AX140="",BD140=""),"",BD140-AX140)</f>
        <v/>
      </c>
      <c r="BS140" s="33">
        <f>IF(OR(AW140="",BD140=""),"",BD140-AW140)</f>
        <v/>
      </c>
      <c r="BT140" s="33">
        <f>IF(OR(AV140="",BD140=""),"",BD140-AV140)</f>
        <v/>
      </c>
      <c r="BU140" s="33">
        <f>IF(OR(AU140="",BD140=""),"",BD140-AU140)</f>
        <v/>
      </c>
      <c r="BV140" s="33">
        <f>IF(OR(BB140="",BG140=""),"",BG140-BB140)</f>
        <v/>
      </c>
      <c r="BW140" s="33">
        <f>IF(OR(BG140="",BH140=""),"",BH140-BG140)</f>
        <v/>
      </c>
      <c r="BX140" s="33">
        <f>IF(OR(BG140="",BI140=""),"",BI140-BG140)</f>
        <v/>
      </c>
      <c r="BY140" s="39">
        <f>IF(OR(AX140="",BK140=""),"",ROUND((BK140-AX140)/30.44,1))</f>
        <v/>
      </c>
      <c r="BZ140" s="37">
        <f>IF(BR140="","",IF(BR140&lt;=30,1,0))</f>
        <v/>
      </c>
      <c r="CA140" s="37">
        <f>IF(BR140="","",IF(BR140&gt;40.5,1,0))</f>
        <v/>
      </c>
      <c r="CB140" s="37">
        <f>IF(BR140="","",IF(BR140&gt;60,1,0))</f>
        <v/>
      </c>
      <c r="CC140" s="37">
        <f>IF(BR140="","",IF(BR140&gt;67,1,0))</f>
        <v/>
      </c>
      <c r="CD140" s="37">
        <f>IF(BT140="","",IF(BT140&lt;=30,1,0))</f>
        <v/>
      </c>
      <c r="CE140" s="37">
        <f>IF(BQ140="","",IF(BQ140&lt;=28,1,0))</f>
        <v/>
      </c>
      <c r="CF140" s="37">
        <f>IF(OR(BV140="",BE140&lt;&gt;"ניתוח"),"",IF(BV140&lt;=30,1,0))</f>
        <v/>
      </c>
      <c r="CG140" s="37">
        <f>IF(BU140="","",IF(BU140&lt;=56,1,0))</f>
        <v/>
      </c>
      <c r="CH140" s="37">
        <f>IF(BW140="","",IF(BW140&lt;=42,1,0))</f>
        <v/>
      </c>
      <c r="CI140" s="37">
        <f>IF(BX140="","",IF(BX140&lt;=100,1,0))</f>
        <v/>
      </c>
      <c r="CJ140" s="33">
        <f>IF(A140="","",COUNTIF(Delays!$B$5:$B$404,A140))</f>
        <v/>
      </c>
      <c r="CK140" s="35" t="n"/>
    </row>
    <row r="141">
      <c r="A141" s="33">
        <f>IF(OR(B141="",C141="",D141="",AX141=""),"","RET-"&amp;RIGHT(YEAR(AX141),2)&amp;"-"&amp;TEXT(B141,"000")&amp;"-"&amp;C141&amp;"-"&amp;D141&amp;"-"&amp;TEXT(MONTH(AX141),"00"))</f>
        <v/>
      </c>
      <c r="B141" s="34" t="n">
        <v>136</v>
      </c>
      <c r="C141" s="35" t="n"/>
      <c r="D141" s="35" t="n"/>
      <c r="E141" s="33">
        <f>IF(AX141="","",YEAR(AX141))</f>
        <v/>
      </c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6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7">
        <f>IF(Y141="","",IF(OR(Y141="III",Y141="IV",Y141="IVA",Y141="IVB",Y141="IVC"),1,0))</f>
        <v/>
      </c>
      <c r="AA141" s="35" t="n"/>
      <c r="AB141" s="35" t="n"/>
      <c r="AC141" s="35" t="n"/>
      <c r="AD141" s="35" t="n"/>
      <c r="AE141" s="35" t="n"/>
      <c r="AF141" s="35" t="n"/>
      <c r="AG141" s="35" t="n"/>
      <c r="AH141" s="35" t="n"/>
      <c r="AI141" s="35" t="n"/>
      <c r="AJ141" s="35" t="n"/>
      <c r="AK141" s="35" t="n"/>
      <c r="AL141" s="35" t="n"/>
      <c r="AM141" s="35" t="n"/>
      <c r="AN141" s="35" t="n"/>
      <c r="AO141" s="35" t="n"/>
      <c r="AP141" s="35" t="n"/>
      <c r="AQ141" s="35" t="n"/>
      <c r="AR141" s="35" t="n"/>
      <c r="AS141" s="35" t="n"/>
      <c r="AT141" s="35" t="n"/>
      <c r="AU141" s="38" t="n"/>
      <c r="AV141" s="38" t="n"/>
      <c r="AW141" s="38" t="n"/>
      <c r="AX141" s="38" t="n"/>
      <c r="AY141" s="38" t="n"/>
      <c r="AZ141" s="38" t="n"/>
      <c r="BA141" s="38" t="n"/>
      <c r="BB141" s="38" t="n"/>
      <c r="BC141" s="38" t="n"/>
      <c r="BD141" s="38" t="n"/>
      <c r="BE141" s="35" t="n"/>
      <c r="BF141" s="35" t="n"/>
      <c r="BG141" s="38" t="n"/>
      <c r="BH141" s="38" t="n"/>
      <c r="BI141" s="38" t="n"/>
      <c r="BJ141" s="35" t="n"/>
      <c r="BK141" s="38" t="n"/>
      <c r="BL141" s="33">
        <f>IF(OR(AU141="",AV141=""),"",AV141-AU141)</f>
        <v/>
      </c>
      <c r="BM141" s="33">
        <f>IF(OR(AV141="",AW141=""),"",AW141-AV141)</f>
        <v/>
      </c>
      <c r="BN141" s="33">
        <f>IF(OR(AW141="",AX141=""),"",AX141-AW141)</f>
        <v/>
      </c>
      <c r="BO141" s="33">
        <f>IF(OR(AX141="",BA141=""),"",BA141-AX141)</f>
        <v/>
      </c>
      <c r="BP141" s="33">
        <f>IF(OR(AV141="",BA141=""),"",BA141-AV141)</f>
        <v/>
      </c>
      <c r="BQ141" s="33">
        <f>IF(OR(BB141="",BD141=""),"",BD141-BB141)</f>
        <v/>
      </c>
      <c r="BR141" s="33">
        <f>IF(OR(AX141="",BD141=""),"",BD141-AX141)</f>
        <v/>
      </c>
      <c r="BS141" s="33">
        <f>IF(OR(AW141="",BD141=""),"",BD141-AW141)</f>
        <v/>
      </c>
      <c r="BT141" s="33">
        <f>IF(OR(AV141="",BD141=""),"",BD141-AV141)</f>
        <v/>
      </c>
      <c r="BU141" s="33">
        <f>IF(OR(AU141="",BD141=""),"",BD141-AU141)</f>
        <v/>
      </c>
      <c r="BV141" s="33">
        <f>IF(OR(BB141="",BG141=""),"",BG141-BB141)</f>
        <v/>
      </c>
      <c r="BW141" s="33">
        <f>IF(OR(BG141="",BH141=""),"",BH141-BG141)</f>
        <v/>
      </c>
      <c r="BX141" s="33">
        <f>IF(OR(BG141="",BI141=""),"",BI141-BG141)</f>
        <v/>
      </c>
      <c r="BY141" s="39">
        <f>IF(OR(AX141="",BK141=""),"",ROUND((BK141-AX141)/30.44,1))</f>
        <v/>
      </c>
      <c r="BZ141" s="37">
        <f>IF(BR141="","",IF(BR141&lt;=30,1,0))</f>
        <v/>
      </c>
      <c r="CA141" s="37">
        <f>IF(BR141="","",IF(BR141&gt;40.5,1,0))</f>
        <v/>
      </c>
      <c r="CB141" s="37">
        <f>IF(BR141="","",IF(BR141&gt;60,1,0))</f>
        <v/>
      </c>
      <c r="CC141" s="37">
        <f>IF(BR141="","",IF(BR141&gt;67,1,0))</f>
        <v/>
      </c>
      <c r="CD141" s="37">
        <f>IF(BT141="","",IF(BT141&lt;=30,1,0))</f>
        <v/>
      </c>
      <c r="CE141" s="37">
        <f>IF(BQ141="","",IF(BQ141&lt;=28,1,0))</f>
        <v/>
      </c>
      <c r="CF141" s="37">
        <f>IF(OR(BV141="",BE141&lt;&gt;"ניתוח"),"",IF(BV141&lt;=30,1,0))</f>
        <v/>
      </c>
      <c r="CG141" s="37">
        <f>IF(BU141="","",IF(BU141&lt;=56,1,0))</f>
        <v/>
      </c>
      <c r="CH141" s="37">
        <f>IF(BW141="","",IF(BW141&lt;=42,1,0))</f>
        <v/>
      </c>
      <c r="CI141" s="37">
        <f>IF(BX141="","",IF(BX141&lt;=100,1,0))</f>
        <v/>
      </c>
      <c r="CJ141" s="33">
        <f>IF(A141="","",COUNTIF(Delays!$B$5:$B$404,A141))</f>
        <v/>
      </c>
      <c r="CK141" s="35" t="n"/>
    </row>
    <row r="142">
      <c r="A142" s="33">
        <f>IF(OR(B142="",C142="",D142="",AX142=""),"","RET-"&amp;RIGHT(YEAR(AX142),2)&amp;"-"&amp;TEXT(B142,"000")&amp;"-"&amp;C142&amp;"-"&amp;D142&amp;"-"&amp;TEXT(MONTH(AX142),"00"))</f>
        <v/>
      </c>
      <c r="B142" s="34" t="n">
        <v>137</v>
      </c>
      <c r="C142" s="35" t="n"/>
      <c r="D142" s="35" t="n"/>
      <c r="E142" s="33">
        <f>IF(AX142="","",YEAR(AX142))</f>
        <v/>
      </c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6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7">
        <f>IF(Y142="","",IF(OR(Y142="III",Y142="IV",Y142="IVA",Y142="IVB",Y142="IVC"),1,0))</f>
        <v/>
      </c>
      <c r="AA142" s="35" t="n"/>
      <c r="AB142" s="35" t="n"/>
      <c r="AC142" s="35" t="n"/>
      <c r="AD142" s="35" t="n"/>
      <c r="AE142" s="35" t="n"/>
      <c r="AF142" s="35" t="n"/>
      <c r="AG142" s="35" t="n"/>
      <c r="AH142" s="35" t="n"/>
      <c r="AI142" s="35" t="n"/>
      <c r="AJ142" s="35" t="n"/>
      <c r="AK142" s="35" t="n"/>
      <c r="AL142" s="35" t="n"/>
      <c r="AM142" s="35" t="n"/>
      <c r="AN142" s="35" t="n"/>
      <c r="AO142" s="35" t="n"/>
      <c r="AP142" s="35" t="n"/>
      <c r="AQ142" s="35" t="n"/>
      <c r="AR142" s="35" t="n"/>
      <c r="AS142" s="35" t="n"/>
      <c r="AT142" s="35" t="n"/>
      <c r="AU142" s="38" t="n"/>
      <c r="AV142" s="38" t="n"/>
      <c r="AW142" s="38" t="n"/>
      <c r="AX142" s="38" t="n"/>
      <c r="AY142" s="38" t="n"/>
      <c r="AZ142" s="38" t="n"/>
      <c r="BA142" s="38" t="n"/>
      <c r="BB142" s="38" t="n"/>
      <c r="BC142" s="38" t="n"/>
      <c r="BD142" s="38" t="n"/>
      <c r="BE142" s="35" t="n"/>
      <c r="BF142" s="35" t="n"/>
      <c r="BG142" s="38" t="n"/>
      <c r="BH142" s="38" t="n"/>
      <c r="BI142" s="38" t="n"/>
      <c r="BJ142" s="35" t="n"/>
      <c r="BK142" s="38" t="n"/>
      <c r="BL142" s="33">
        <f>IF(OR(AU142="",AV142=""),"",AV142-AU142)</f>
        <v/>
      </c>
      <c r="BM142" s="33">
        <f>IF(OR(AV142="",AW142=""),"",AW142-AV142)</f>
        <v/>
      </c>
      <c r="BN142" s="33">
        <f>IF(OR(AW142="",AX142=""),"",AX142-AW142)</f>
        <v/>
      </c>
      <c r="BO142" s="33">
        <f>IF(OR(AX142="",BA142=""),"",BA142-AX142)</f>
        <v/>
      </c>
      <c r="BP142" s="33">
        <f>IF(OR(AV142="",BA142=""),"",BA142-AV142)</f>
        <v/>
      </c>
      <c r="BQ142" s="33">
        <f>IF(OR(BB142="",BD142=""),"",BD142-BB142)</f>
        <v/>
      </c>
      <c r="BR142" s="33">
        <f>IF(OR(AX142="",BD142=""),"",BD142-AX142)</f>
        <v/>
      </c>
      <c r="BS142" s="33">
        <f>IF(OR(AW142="",BD142=""),"",BD142-AW142)</f>
        <v/>
      </c>
      <c r="BT142" s="33">
        <f>IF(OR(AV142="",BD142=""),"",BD142-AV142)</f>
        <v/>
      </c>
      <c r="BU142" s="33">
        <f>IF(OR(AU142="",BD142=""),"",BD142-AU142)</f>
        <v/>
      </c>
      <c r="BV142" s="33">
        <f>IF(OR(BB142="",BG142=""),"",BG142-BB142)</f>
        <v/>
      </c>
      <c r="BW142" s="33">
        <f>IF(OR(BG142="",BH142=""),"",BH142-BG142)</f>
        <v/>
      </c>
      <c r="BX142" s="33">
        <f>IF(OR(BG142="",BI142=""),"",BI142-BG142)</f>
        <v/>
      </c>
      <c r="BY142" s="39">
        <f>IF(OR(AX142="",BK142=""),"",ROUND((BK142-AX142)/30.44,1))</f>
        <v/>
      </c>
      <c r="BZ142" s="37">
        <f>IF(BR142="","",IF(BR142&lt;=30,1,0))</f>
        <v/>
      </c>
      <c r="CA142" s="37">
        <f>IF(BR142="","",IF(BR142&gt;40.5,1,0))</f>
        <v/>
      </c>
      <c r="CB142" s="37">
        <f>IF(BR142="","",IF(BR142&gt;60,1,0))</f>
        <v/>
      </c>
      <c r="CC142" s="37">
        <f>IF(BR142="","",IF(BR142&gt;67,1,0))</f>
        <v/>
      </c>
      <c r="CD142" s="37">
        <f>IF(BT142="","",IF(BT142&lt;=30,1,0))</f>
        <v/>
      </c>
      <c r="CE142" s="37">
        <f>IF(BQ142="","",IF(BQ142&lt;=28,1,0))</f>
        <v/>
      </c>
      <c r="CF142" s="37">
        <f>IF(OR(BV142="",BE142&lt;&gt;"ניתוח"),"",IF(BV142&lt;=30,1,0))</f>
        <v/>
      </c>
      <c r="CG142" s="37">
        <f>IF(BU142="","",IF(BU142&lt;=56,1,0))</f>
        <v/>
      </c>
      <c r="CH142" s="37">
        <f>IF(BW142="","",IF(BW142&lt;=42,1,0))</f>
        <v/>
      </c>
      <c r="CI142" s="37">
        <f>IF(BX142="","",IF(BX142&lt;=100,1,0))</f>
        <v/>
      </c>
      <c r="CJ142" s="33">
        <f>IF(A142="","",COUNTIF(Delays!$B$5:$B$404,A142))</f>
        <v/>
      </c>
      <c r="CK142" s="35" t="n"/>
    </row>
    <row r="143">
      <c r="A143" s="33">
        <f>IF(OR(B143="",C143="",D143="",AX143=""),"","RET-"&amp;RIGHT(YEAR(AX143),2)&amp;"-"&amp;TEXT(B143,"000")&amp;"-"&amp;C143&amp;"-"&amp;D143&amp;"-"&amp;TEXT(MONTH(AX143),"00"))</f>
        <v/>
      </c>
      <c r="B143" s="34" t="n">
        <v>138</v>
      </c>
      <c r="C143" s="35" t="n"/>
      <c r="D143" s="35" t="n"/>
      <c r="E143" s="33">
        <f>IF(AX143="","",YEAR(AX143))</f>
        <v/>
      </c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6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7">
        <f>IF(Y143="","",IF(OR(Y143="III",Y143="IV",Y143="IVA",Y143="IVB",Y143="IVC"),1,0))</f>
        <v/>
      </c>
      <c r="AA143" s="35" t="n"/>
      <c r="AB143" s="35" t="n"/>
      <c r="AC143" s="35" t="n"/>
      <c r="AD143" s="35" t="n"/>
      <c r="AE143" s="35" t="n"/>
      <c r="AF143" s="35" t="n"/>
      <c r="AG143" s="35" t="n"/>
      <c r="AH143" s="35" t="n"/>
      <c r="AI143" s="35" t="n"/>
      <c r="AJ143" s="35" t="n"/>
      <c r="AK143" s="35" t="n"/>
      <c r="AL143" s="35" t="n"/>
      <c r="AM143" s="35" t="n"/>
      <c r="AN143" s="35" t="n"/>
      <c r="AO143" s="35" t="n"/>
      <c r="AP143" s="35" t="n"/>
      <c r="AQ143" s="35" t="n"/>
      <c r="AR143" s="35" t="n"/>
      <c r="AS143" s="35" t="n"/>
      <c r="AT143" s="35" t="n"/>
      <c r="AU143" s="38" t="n"/>
      <c r="AV143" s="38" t="n"/>
      <c r="AW143" s="38" t="n"/>
      <c r="AX143" s="38" t="n"/>
      <c r="AY143" s="38" t="n"/>
      <c r="AZ143" s="38" t="n"/>
      <c r="BA143" s="38" t="n"/>
      <c r="BB143" s="38" t="n"/>
      <c r="BC143" s="38" t="n"/>
      <c r="BD143" s="38" t="n"/>
      <c r="BE143" s="35" t="n"/>
      <c r="BF143" s="35" t="n"/>
      <c r="BG143" s="38" t="n"/>
      <c r="BH143" s="38" t="n"/>
      <c r="BI143" s="38" t="n"/>
      <c r="BJ143" s="35" t="n"/>
      <c r="BK143" s="38" t="n"/>
      <c r="BL143" s="33">
        <f>IF(OR(AU143="",AV143=""),"",AV143-AU143)</f>
        <v/>
      </c>
      <c r="BM143" s="33">
        <f>IF(OR(AV143="",AW143=""),"",AW143-AV143)</f>
        <v/>
      </c>
      <c r="BN143" s="33">
        <f>IF(OR(AW143="",AX143=""),"",AX143-AW143)</f>
        <v/>
      </c>
      <c r="BO143" s="33">
        <f>IF(OR(AX143="",BA143=""),"",BA143-AX143)</f>
        <v/>
      </c>
      <c r="BP143" s="33">
        <f>IF(OR(AV143="",BA143=""),"",BA143-AV143)</f>
        <v/>
      </c>
      <c r="BQ143" s="33">
        <f>IF(OR(BB143="",BD143=""),"",BD143-BB143)</f>
        <v/>
      </c>
      <c r="BR143" s="33">
        <f>IF(OR(AX143="",BD143=""),"",BD143-AX143)</f>
        <v/>
      </c>
      <c r="BS143" s="33">
        <f>IF(OR(AW143="",BD143=""),"",BD143-AW143)</f>
        <v/>
      </c>
      <c r="BT143" s="33">
        <f>IF(OR(AV143="",BD143=""),"",BD143-AV143)</f>
        <v/>
      </c>
      <c r="BU143" s="33">
        <f>IF(OR(AU143="",BD143=""),"",BD143-AU143)</f>
        <v/>
      </c>
      <c r="BV143" s="33">
        <f>IF(OR(BB143="",BG143=""),"",BG143-BB143)</f>
        <v/>
      </c>
      <c r="BW143" s="33">
        <f>IF(OR(BG143="",BH143=""),"",BH143-BG143)</f>
        <v/>
      </c>
      <c r="BX143" s="33">
        <f>IF(OR(BG143="",BI143=""),"",BI143-BG143)</f>
        <v/>
      </c>
      <c r="BY143" s="39">
        <f>IF(OR(AX143="",BK143=""),"",ROUND((BK143-AX143)/30.44,1))</f>
        <v/>
      </c>
      <c r="BZ143" s="37">
        <f>IF(BR143="","",IF(BR143&lt;=30,1,0))</f>
        <v/>
      </c>
      <c r="CA143" s="37">
        <f>IF(BR143="","",IF(BR143&gt;40.5,1,0))</f>
        <v/>
      </c>
      <c r="CB143" s="37">
        <f>IF(BR143="","",IF(BR143&gt;60,1,0))</f>
        <v/>
      </c>
      <c r="CC143" s="37">
        <f>IF(BR143="","",IF(BR143&gt;67,1,0))</f>
        <v/>
      </c>
      <c r="CD143" s="37">
        <f>IF(BT143="","",IF(BT143&lt;=30,1,0))</f>
        <v/>
      </c>
      <c r="CE143" s="37">
        <f>IF(BQ143="","",IF(BQ143&lt;=28,1,0))</f>
        <v/>
      </c>
      <c r="CF143" s="37">
        <f>IF(OR(BV143="",BE143&lt;&gt;"ניתוח"),"",IF(BV143&lt;=30,1,0))</f>
        <v/>
      </c>
      <c r="CG143" s="37">
        <f>IF(BU143="","",IF(BU143&lt;=56,1,0))</f>
        <v/>
      </c>
      <c r="CH143" s="37">
        <f>IF(BW143="","",IF(BW143&lt;=42,1,0))</f>
        <v/>
      </c>
      <c r="CI143" s="37">
        <f>IF(BX143="","",IF(BX143&lt;=100,1,0))</f>
        <v/>
      </c>
      <c r="CJ143" s="33">
        <f>IF(A143="","",COUNTIF(Delays!$B$5:$B$404,A143))</f>
        <v/>
      </c>
      <c r="CK143" s="35" t="n"/>
    </row>
    <row r="144">
      <c r="A144" s="33">
        <f>IF(OR(B144="",C144="",D144="",AX144=""),"","RET-"&amp;RIGHT(YEAR(AX144),2)&amp;"-"&amp;TEXT(B144,"000")&amp;"-"&amp;C144&amp;"-"&amp;D144&amp;"-"&amp;TEXT(MONTH(AX144),"00"))</f>
        <v/>
      </c>
      <c r="B144" s="34" t="n">
        <v>139</v>
      </c>
      <c r="C144" s="35" t="n"/>
      <c r="D144" s="35" t="n"/>
      <c r="E144" s="33">
        <f>IF(AX144="","",YEAR(AX144))</f>
        <v/>
      </c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6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7">
        <f>IF(Y144="","",IF(OR(Y144="III",Y144="IV",Y144="IVA",Y144="IVB",Y144="IVC"),1,0))</f>
        <v/>
      </c>
      <c r="AA144" s="35" t="n"/>
      <c r="AB144" s="35" t="n"/>
      <c r="AC144" s="35" t="n"/>
      <c r="AD144" s="35" t="n"/>
      <c r="AE144" s="35" t="n"/>
      <c r="AF144" s="35" t="n"/>
      <c r="AG144" s="35" t="n"/>
      <c r="AH144" s="35" t="n"/>
      <c r="AI144" s="35" t="n"/>
      <c r="AJ144" s="35" t="n"/>
      <c r="AK144" s="35" t="n"/>
      <c r="AL144" s="35" t="n"/>
      <c r="AM144" s="35" t="n"/>
      <c r="AN144" s="35" t="n"/>
      <c r="AO144" s="35" t="n"/>
      <c r="AP144" s="35" t="n"/>
      <c r="AQ144" s="35" t="n"/>
      <c r="AR144" s="35" t="n"/>
      <c r="AS144" s="35" t="n"/>
      <c r="AT144" s="35" t="n"/>
      <c r="AU144" s="38" t="n"/>
      <c r="AV144" s="38" t="n"/>
      <c r="AW144" s="38" t="n"/>
      <c r="AX144" s="38" t="n"/>
      <c r="AY144" s="38" t="n"/>
      <c r="AZ144" s="38" t="n"/>
      <c r="BA144" s="38" t="n"/>
      <c r="BB144" s="38" t="n"/>
      <c r="BC144" s="38" t="n"/>
      <c r="BD144" s="38" t="n"/>
      <c r="BE144" s="35" t="n"/>
      <c r="BF144" s="35" t="n"/>
      <c r="BG144" s="38" t="n"/>
      <c r="BH144" s="38" t="n"/>
      <c r="BI144" s="38" t="n"/>
      <c r="BJ144" s="35" t="n"/>
      <c r="BK144" s="38" t="n"/>
      <c r="BL144" s="33">
        <f>IF(OR(AU144="",AV144=""),"",AV144-AU144)</f>
        <v/>
      </c>
      <c r="BM144" s="33">
        <f>IF(OR(AV144="",AW144=""),"",AW144-AV144)</f>
        <v/>
      </c>
      <c r="BN144" s="33">
        <f>IF(OR(AW144="",AX144=""),"",AX144-AW144)</f>
        <v/>
      </c>
      <c r="BO144" s="33">
        <f>IF(OR(AX144="",BA144=""),"",BA144-AX144)</f>
        <v/>
      </c>
      <c r="BP144" s="33">
        <f>IF(OR(AV144="",BA144=""),"",BA144-AV144)</f>
        <v/>
      </c>
      <c r="BQ144" s="33">
        <f>IF(OR(BB144="",BD144=""),"",BD144-BB144)</f>
        <v/>
      </c>
      <c r="BR144" s="33">
        <f>IF(OR(AX144="",BD144=""),"",BD144-AX144)</f>
        <v/>
      </c>
      <c r="BS144" s="33">
        <f>IF(OR(AW144="",BD144=""),"",BD144-AW144)</f>
        <v/>
      </c>
      <c r="BT144" s="33">
        <f>IF(OR(AV144="",BD144=""),"",BD144-AV144)</f>
        <v/>
      </c>
      <c r="BU144" s="33">
        <f>IF(OR(AU144="",BD144=""),"",BD144-AU144)</f>
        <v/>
      </c>
      <c r="BV144" s="33">
        <f>IF(OR(BB144="",BG144=""),"",BG144-BB144)</f>
        <v/>
      </c>
      <c r="BW144" s="33">
        <f>IF(OR(BG144="",BH144=""),"",BH144-BG144)</f>
        <v/>
      </c>
      <c r="BX144" s="33">
        <f>IF(OR(BG144="",BI144=""),"",BI144-BG144)</f>
        <v/>
      </c>
      <c r="BY144" s="39">
        <f>IF(OR(AX144="",BK144=""),"",ROUND((BK144-AX144)/30.44,1))</f>
        <v/>
      </c>
      <c r="BZ144" s="37">
        <f>IF(BR144="","",IF(BR144&lt;=30,1,0))</f>
        <v/>
      </c>
      <c r="CA144" s="37">
        <f>IF(BR144="","",IF(BR144&gt;40.5,1,0))</f>
        <v/>
      </c>
      <c r="CB144" s="37">
        <f>IF(BR144="","",IF(BR144&gt;60,1,0))</f>
        <v/>
      </c>
      <c r="CC144" s="37">
        <f>IF(BR144="","",IF(BR144&gt;67,1,0))</f>
        <v/>
      </c>
      <c r="CD144" s="37">
        <f>IF(BT144="","",IF(BT144&lt;=30,1,0))</f>
        <v/>
      </c>
      <c r="CE144" s="37">
        <f>IF(BQ144="","",IF(BQ144&lt;=28,1,0))</f>
        <v/>
      </c>
      <c r="CF144" s="37">
        <f>IF(OR(BV144="",BE144&lt;&gt;"ניתוח"),"",IF(BV144&lt;=30,1,0))</f>
        <v/>
      </c>
      <c r="CG144" s="37">
        <f>IF(BU144="","",IF(BU144&lt;=56,1,0))</f>
        <v/>
      </c>
      <c r="CH144" s="37">
        <f>IF(BW144="","",IF(BW144&lt;=42,1,0))</f>
        <v/>
      </c>
      <c r="CI144" s="37">
        <f>IF(BX144="","",IF(BX144&lt;=100,1,0))</f>
        <v/>
      </c>
      <c r="CJ144" s="33">
        <f>IF(A144="","",COUNTIF(Delays!$B$5:$B$404,A144))</f>
        <v/>
      </c>
      <c r="CK144" s="35" t="n"/>
    </row>
    <row r="145">
      <c r="A145" s="33">
        <f>IF(OR(B145="",C145="",D145="",AX145=""),"","RET-"&amp;RIGHT(YEAR(AX145),2)&amp;"-"&amp;TEXT(B145,"000")&amp;"-"&amp;C145&amp;"-"&amp;D145&amp;"-"&amp;TEXT(MONTH(AX145),"00"))</f>
        <v/>
      </c>
      <c r="B145" s="34" t="n">
        <v>140</v>
      </c>
      <c r="C145" s="35" t="n"/>
      <c r="D145" s="35" t="n"/>
      <c r="E145" s="33">
        <f>IF(AX145="","",YEAR(AX145))</f>
        <v/>
      </c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6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7">
        <f>IF(Y145="","",IF(OR(Y145="III",Y145="IV",Y145="IVA",Y145="IVB",Y145="IVC"),1,0))</f>
        <v/>
      </c>
      <c r="AA145" s="35" t="n"/>
      <c r="AB145" s="35" t="n"/>
      <c r="AC145" s="35" t="n"/>
      <c r="AD145" s="35" t="n"/>
      <c r="AE145" s="35" t="n"/>
      <c r="AF145" s="35" t="n"/>
      <c r="AG145" s="35" t="n"/>
      <c r="AH145" s="35" t="n"/>
      <c r="AI145" s="35" t="n"/>
      <c r="AJ145" s="35" t="n"/>
      <c r="AK145" s="35" t="n"/>
      <c r="AL145" s="35" t="n"/>
      <c r="AM145" s="35" t="n"/>
      <c r="AN145" s="35" t="n"/>
      <c r="AO145" s="35" t="n"/>
      <c r="AP145" s="35" t="n"/>
      <c r="AQ145" s="35" t="n"/>
      <c r="AR145" s="35" t="n"/>
      <c r="AS145" s="35" t="n"/>
      <c r="AT145" s="35" t="n"/>
      <c r="AU145" s="38" t="n"/>
      <c r="AV145" s="38" t="n"/>
      <c r="AW145" s="38" t="n"/>
      <c r="AX145" s="38" t="n"/>
      <c r="AY145" s="38" t="n"/>
      <c r="AZ145" s="38" t="n"/>
      <c r="BA145" s="38" t="n"/>
      <c r="BB145" s="38" t="n"/>
      <c r="BC145" s="38" t="n"/>
      <c r="BD145" s="38" t="n"/>
      <c r="BE145" s="35" t="n"/>
      <c r="BF145" s="35" t="n"/>
      <c r="BG145" s="38" t="n"/>
      <c r="BH145" s="38" t="n"/>
      <c r="BI145" s="38" t="n"/>
      <c r="BJ145" s="35" t="n"/>
      <c r="BK145" s="38" t="n"/>
      <c r="BL145" s="33">
        <f>IF(OR(AU145="",AV145=""),"",AV145-AU145)</f>
        <v/>
      </c>
      <c r="BM145" s="33">
        <f>IF(OR(AV145="",AW145=""),"",AW145-AV145)</f>
        <v/>
      </c>
      <c r="BN145" s="33">
        <f>IF(OR(AW145="",AX145=""),"",AX145-AW145)</f>
        <v/>
      </c>
      <c r="BO145" s="33">
        <f>IF(OR(AX145="",BA145=""),"",BA145-AX145)</f>
        <v/>
      </c>
      <c r="BP145" s="33">
        <f>IF(OR(AV145="",BA145=""),"",BA145-AV145)</f>
        <v/>
      </c>
      <c r="BQ145" s="33">
        <f>IF(OR(BB145="",BD145=""),"",BD145-BB145)</f>
        <v/>
      </c>
      <c r="BR145" s="33">
        <f>IF(OR(AX145="",BD145=""),"",BD145-AX145)</f>
        <v/>
      </c>
      <c r="BS145" s="33">
        <f>IF(OR(AW145="",BD145=""),"",BD145-AW145)</f>
        <v/>
      </c>
      <c r="BT145" s="33">
        <f>IF(OR(AV145="",BD145=""),"",BD145-AV145)</f>
        <v/>
      </c>
      <c r="BU145" s="33">
        <f>IF(OR(AU145="",BD145=""),"",BD145-AU145)</f>
        <v/>
      </c>
      <c r="BV145" s="33">
        <f>IF(OR(BB145="",BG145=""),"",BG145-BB145)</f>
        <v/>
      </c>
      <c r="BW145" s="33">
        <f>IF(OR(BG145="",BH145=""),"",BH145-BG145)</f>
        <v/>
      </c>
      <c r="BX145" s="33">
        <f>IF(OR(BG145="",BI145=""),"",BI145-BG145)</f>
        <v/>
      </c>
      <c r="BY145" s="39">
        <f>IF(OR(AX145="",BK145=""),"",ROUND((BK145-AX145)/30.44,1))</f>
        <v/>
      </c>
      <c r="BZ145" s="37">
        <f>IF(BR145="","",IF(BR145&lt;=30,1,0))</f>
        <v/>
      </c>
      <c r="CA145" s="37">
        <f>IF(BR145="","",IF(BR145&gt;40.5,1,0))</f>
        <v/>
      </c>
      <c r="CB145" s="37">
        <f>IF(BR145="","",IF(BR145&gt;60,1,0))</f>
        <v/>
      </c>
      <c r="CC145" s="37">
        <f>IF(BR145="","",IF(BR145&gt;67,1,0))</f>
        <v/>
      </c>
      <c r="CD145" s="37">
        <f>IF(BT145="","",IF(BT145&lt;=30,1,0))</f>
        <v/>
      </c>
      <c r="CE145" s="37">
        <f>IF(BQ145="","",IF(BQ145&lt;=28,1,0))</f>
        <v/>
      </c>
      <c r="CF145" s="37">
        <f>IF(OR(BV145="",BE145&lt;&gt;"ניתוח"),"",IF(BV145&lt;=30,1,0))</f>
        <v/>
      </c>
      <c r="CG145" s="37">
        <f>IF(BU145="","",IF(BU145&lt;=56,1,0))</f>
        <v/>
      </c>
      <c r="CH145" s="37">
        <f>IF(BW145="","",IF(BW145&lt;=42,1,0))</f>
        <v/>
      </c>
      <c r="CI145" s="37">
        <f>IF(BX145="","",IF(BX145&lt;=100,1,0))</f>
        <v/>
      </c>
      <c r="CJ145" s="33">
        <f>IF(A145="","",COUNTIF(Delays!$B$5:$B$404,A145))</f>
        <v/>
      </c>
      <c r="CK145" s="35" t="n"/>
    </row>
    <row r="146">
      <c r="A146" s="33">
        <f>IF(OR(B146="",C146="",D146="",AX146=""),"","RET-"&amp;RIGHT(YEAR(AX146),2)&amp;"-"&amp;TEXT(B146,"000")&amp;"-"&amp;C146&amp;"-"&amp;D146&amp;"-"&amp;TEXT(MONTH(AX146),"00"))</f>
        <v/>
      </c>
      <c r="B146" s="34" t="n">
        <v>141</v>
      </c>
      <c r="C146" s="35" t="n"/>
      <c r="D146" s="35" t="n"/>
      <c r="E146" s="33">
        <f>IF(AX146="","",YEAR(AX146))</f>
        <v/>
      </c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6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7">
        <f>IF(Y146="","",IF(OR(Y146="III",Y146="IV",Y146="IVA",Y146="IVB",Y146="IVC"),1,0))</f>
        <v/>
      </c>
      <c r="AA146" s="35" t="n"/>
      <c r="AB146" s="35" t="n"/>
      <c r="AC146" s="35" t="n"/>
      <c r="AD146" s="35" t="n"/>
      <c r="AE146" s="35" t="n"/>
      <c r="AF146" s="35" t="n"/>
      <c r="AG146" s="35" t="n"/>
      <c r="AH146" s="35" t="n"/>
      <c r="AI146" s="35" t="n"/>
      <c r="AJ146" s="35" t="n"/>
      <c r="AK146" s="35" t="n"/>
      <c r="AL146" s="35" t="n"/>
      <c r="AM146" s="35" t="n"/>
      <c r="AN146" s="35" t="n"/>
      <c r="AO146" s="35" t="n"/>
      <c r="AP146" s="35" t="n"/>
      <c r="AQ146" s="35" t="n"/>
      <c r="AR146" s="35" t="n"/>
      <c r="AS146" s="35" t="n"/>
      <c r="AT146" s="35" t="n"/>
      <c r="AU146" s="38" t="n"/>
      <c r="AV146" s="38" t="n"/>
      <c r="AW146" s="38" t="n"/>
      <c r="AX146" s="38" t="n"/>
      <c r="AY146" s="38" t="n"/>
      <c r="AZ146" s="38" t="n"/>
      <c r="BA146" s="38" t="n"/>
      <c r="BB146" s="38" t="n"/>
      <c r="BC146" s="38" t="n"/>
      <c r="BD146" s="38" t="n"/>
      <c r="BE146" s="35" t="n"/>
      <c r="BF146" s="35" t="n"/>
      <c r="BG146" s="38" t="n"/>
      <c r="BH146" s="38" t="n"/>
      <c r="BI146" s="38" t="n"/>
      <c r="BJ146" s="35" t="n"/>
      <c r="BK146" s="38" t="n"/>
      <c r="BL146" s="33">
        <f>IF(OR(AU146="",AV146=""),"",AV146-AU146)</f>
        <v/>
      </c>
      <c r="BM146" s="33">
        <f>IF(OR(AV146="",AW146=""),"",AW146-AV146)</f>
        <v/>
      </c>
      <c r="BN146" s="33">
        <f>IF(OR(AW146="",AX146=""),"",AX146-AW146)</f>
        <v/>
      </c>
      <c r="BO146" s="33">
        <f>IF(OR(AX146="",BA146=""),"",BA146-AX146)</f>
        <v/>
      </c>
      <c r="BP146" s="33">
        <f>IF(OR(AV146="",BA146=""),"",BA146-AV146)</f>
        <v/>
      </c>
      <c r="BQ146" s="33">
        <f>IF(OR(BB146="",BD146=""),"",BD146-BB146)</f>
        <v/>
      </c>
      <c r="BR146" s="33">
        <f>IF(OR(AX146="",BD146=""),"",BD146-AX146)</f>
        <v/>
      </c>
      <c r="BS146" s="33">
        <f>IF(OR(AW146="",BD146=""),"",BD146-AW146)</f>
        <v/>
      </c>
      <c r="BT146" s="33">
        <f>IF(OR(AV146="",BD146=""),"",BD146-AV146)</f>
        <v/>
      </c>
      <c r="BU146" s="33">
        <f>IF(OR(AU146="",BD146=""),"",BD146-AU146)</f>
        <v/>
      </c>
      <c r="BV146" s="33">
        <f>IF(OR(BB146="",BG146=""),"",BG146-BB146)</f>
        <v/>
      </c>
      <c r="BW146" s="33">
        <f>IF(OR(BG146="",BH146=""),"",BH146-BG146)</f>
        <v/>
      </c>
      <c r="BX146" s="33">
        <f>IF(OR(BG146="",BI146=""),"",BI146-BG146)</f>
        <v/>
      </c>
      <c r="BY146" s="39">
        <f>IF(OR(AX146="",BK146=""),"",ROUND((BK146-AX146)/30.44,1))</f>
        <v/>
      </c>
      <c r="BZ146" s="37">
        <f>IF(BR146="","",IF(BR146&lt;=30,1,0))</f>
        <v/>
      </c>
      <c r="CA146" s="37">
        <f>IF(BR146="","",IF(BR146&gt;40.5,1,0))</f>
        <v/>
      </c>
      <c r="CB146" s="37">
        <f>IF(BR146="","",IF(BR146&gt;60,1,0))</f>
        <v/>
      </c>
      <c r="CC146" s="37">
        <f>IF(BR146="","",IF(BR146&gt;67,1,0))</f>
        <v/>
      </c>
      <c r="CD146" s="37">
        <f>IF(BT146="","",IF(BT146&lt;=30,1,0))</f>
        <v/>
      </c>
      <c r="CE146" s="37">
        <f>IF(BQ146="","",IF(BQ146&lt;=28,1,0))</f>
        <v/>
      </c>
      <c r="CF146" s="37">
        <f>IF(OR(BV146="",BE146&lt;&gt;"ניתוח"),"",IF(BV146&lt;=30,1,0))</f>
        <v/>
      </c>
      <c r="CG146" s="37">
        <f>IF(BU146="","",IF(BU146&lt;=56,1,0))</f>
        <v/>
      </c>
      <c r="CH146" s="37">
        <f>IF(BW146="","",IF(BW146&lt;=42,1,0))</f>
        <v/>
      </c>
      <c r="CI146" s="37">
        <f>IF(BX146="","",IF(BX146&lt;=100,1,0))</f>
        <v/>
      </c>
      <c r="CJ146" s="33">
        <f>IF(A146="","",COUNTIF(Delays!$B$5:$B$404,A146))</f>
        <v/>
      </c>
      <c r="CK146" s="35" t="n"/>
    </row>
    <row r="147">
      <c r="A147" s="33">
        <f>IF(OR(B147="",C147="",D147="",AX147=""),"","RET-"&amp;RIGHT(YEAR(AX147),2)&amp;"-"&amp;TEXT(B147,"000")&amp;"-"&amp;C147&amp;"-"&amp;D147&amp;"-"&amp;TEXT(MONTH(AX147),"00"))</f>
        <v/>
      </c>
      <c r="B147" s="34" t="n">
        <v>142</v>
      </c>
      <c r="C147" s="35" t="n"/>
      <c r="D147" s="35" t="n"/>
      <c r="E147" s="33">
        <f>IF(AX147="","",YEAR(AX147))</f>
        <v/>
      </c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6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7">
        <f>IF(Y147="","",IF(OR(Y147="III",Y147="IV",Y147="IVA",Y147="IVB",Y147="IVC"),1,0))</f>
        <v/>
      </c>
      <c r="AA147" s="35" t="n"/>
      <c r="AB147" s="35" t="n"/>
      <c r="AC147" s="35" t="n"/>
      <c r="AD147" s="35" t="n"/>
      <c r="AE147" s="35" t="n"/>
      <c r="AF147" s="35" t="n"/>
      <c r="AG147" s="35" t="n"/>
      <c r="AH147" s="35" t="n"/>
      <c r="AI147" s="35" t="n"/>
      <c r="AJ147" s="35" t="n"/>
      <c r="AK147" s="35" t="n"/>
      <c r="AL147" s="35" t="n"/>
      <c r="AM147" s="35" t="n"/>
      <c r="AN147" s="35" t="n"/>
      <c r="AO147" s="35" t="n"/>
      <c r="AP147" s="35" t="n"/>
      <c r="AQ147" s="35" t="n"/>
      <c r="AR147" s="35" t="n"/>
      <c r="AS147" s="35" t="n"/>
      <c r="AT147" s="35" t="n"/>
      <c r="AU147" s="38" t="n"/>
      <c r="AV147" s="38" t="n"/>
      <c r="AW147" s="38" t="n"/>
      <c r="AX147" s="38" t="n"/>
      <c r="AY147" s="38" t="n"/>
      <c r="AZ147" s="38" t="n"/>
      <c r="BA147" s="38" t="n"/>
      <c r="BB147" s="38" t="n"/>
      <c r="BC147" s="38" t="n"/>
      <c r="BD147" s="38" t="n"/>
      <c r="BE147" s="35" t="n"/>
      <c r="BF147" s="35" t="n"/>
      <c r="BG147" s="38" t="n"/>
      <c r="BH147" s="38" t="n"/>
      <c r="BI147" s="38" t="n"/>
      <c r="BJ147" s="35" t="n"/>
      <c r="BK147" s="38" t="n"/>
      <c r="BL147" s="33">
        <f>IF(OR(AU147="",AV147=""),"",AV147-AU147)</f>
        <v/>
      </c>
      <c r="BM147" s="33">
        <f>IF(OR(AV147="",AW147=""),"",AW147-AV147)</f>
        <v/>
      </c>
      <c r="BN147" s="33">
        <f>IF(OR(AW147="",AX147=""),"",AX147-AW147)</f>
        <v/>
      </c>
      <c r="BO147" s="33">
        <f>IF(OR(AX147="",BA147=""),"",BA147-AX147)</f>
        <v/>
      </c>
      <c r="BP147" s="33">
        <f>IF(OR(AV147="",BA147=""),"",BA147-AV147)</f>
        <v/>
      </c>
      <c r="BQ147" s="33">
        <f>IF(OR(BB147="",BD147=""),"",BD147-BB147)</f>
        <v/>
      </c>
      <c r="BR147" s="33">
        <f>IF(OR(AX147="",BD147=""),"",BD147-AX147)</f>
        <v/>
      </c>
      <c r="BS147" s="33">
        <f>IF(OR(AW147="",BD147=""),"",BD147-AW147)</f>
        <v/>
      </c>
      <c r="BT147" s="33">
        <f>IF(OR(AV147="",BD147=""),"",BD147-AV147)</f>
        <v/>
      </c>
      <c r="BU147" s="33">
        <f>IF(OR(AU147="",BD147=""),"",BD147-AU147)</f>
        <v/>
      </c>
      <c r="BV147" s="33">
        <f>IF(OR(BB147="",BG147=""),"",BG147-BB147)</f>
        <v/>
      </c>
      <c r="BW147" s="33">
        <f>IF(OR(BG147="",BH147=""),"",BH147-BG147)</f>
        <v/>
      </c>
      <c r="BX147" s="33">
        <f>IF(OR(BG147="",BI147=""),"",BI147-BG147)</f>
        <v/>
      </c>
      <c r="BY147" s="39">
        <f>IF(OR(AX147="",BK147=""),"",ROUND((BK147-AX147)/30.44,1))</f>
        <v/>
      </c>
      <c r="BZ147" s="37">
        <f>IF(BR147="","",IF(BR147&lt;=30,1,0))</f>
        <v/>
      </c>
      <c r="CA147" s="37">
        <f>IF(BR147="","",IF(BR147&gt;40.5,1,0))</f>
        <v/>
      </c>
      <c r="CB147" s="37">
        <f>IF(BR147="","",IF(BR147&gt;60,1,0))</f>
        <v/>
      </c>
      <c r="CC147" s="37">
        <f>IF(BR147="","",IF(BR147&gt;67,1,0))</f>
        <v/>
      </c>
      <c r="CD147" s="37">
        <f>IF(BT147="","",IF(BT147&lt;=30,1,0))</f>
        <v/>
      </c>
      <c r="CE147" s="37">
        <f>IF(BQ147="","",IF(BQ147&lt;=28,1,0))</f>
        <v/>
      </c>
      <c r="CF147" s="37">
        <f>IF(OR(BV147="",BE147&lt;&gt;"ניתוח"),"",IF(BV147&lt;=30,1,0))</f>
        <v/>
      </c>
      <c r="CG147" s="37">
        <f>IF(BU147="","",IF(BU147&lt;=56,1,0))</f>
        <v/>
      </c>
      <c r="CH147" s="37">
        <f>IF(BW147="","",IF(BW147&lt;=42,1,0))</f>
        <v/>
      </c>
      <c r="CI147" s="37">
        <f>IF(BX147="","",IF(BX147&lt;=100,1,0))</f>
        <v/>
      </c>
      <c r="CJ147" s="33">
        <f>IF(A147="","",COUNTIF(Delays!$B$5:$B$404,A147))</f>
        <v/>
      </c>
      <c r="CK147" s="35" t="n"/>
    </row>
    <row r="148">
      <c r="A148" s="33">
        <f>IF(OR(B148="",C148="",D148="",AX148=""),"","RET-"&amp;RIGHT(YEAR(AX148),2)&amp;"-"&amp;TEXT(B148,"000")&amp;"-"&amp;C148&amp;"-"&amp;D148&amp;"-"&amp;TEXT(MONTH(AX148),"00"))</f>
        <v/>
      </c>
      <c r="B148" s="34" t="n">
        <v>143</v>
      </c>
      <c r="C148" s="35" t="n"/>
      <c r="D148" s="35" t="n"/>
      <c r="E148" s="33">
        <f>IF(AX148="","",YEAR(AX148))</f>
        <v/>
      </c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6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7">
        <f>IF(Y148="","",IF(OR(Y148="III",Y148="IV",Y148="IVA",Y148="IVB",Y148="IVC"),1,0))</f>
        <v/>
      </c>
      <c r="AA148" s="35" t="n"/>
      <c r="AB148" s="35" t="n"/>
      <c r="AC148" s="35" t="n"/>
      <c r="AD148" s="35" t="n"/>
      <c r="AE148" s="35" t="n"/>
      <c r="AF148" s="35" t="n"/>
      <c r="AG148" s="35" t="n"/>
      <c r="AH148" s="35" t="n"/>
      <c r="AI148" s="35" t="n"/>
      <c r="AJ148" s="35" t="n"/>
      <c r="AK148" s="35" t="n"/>
      <c r="AL148" s="35" t="n"/>
      <c r="AM148" s="35" t="n"/>
      <c r="AN148" s="35" t="n"/>
      <c r="AO148" s="35" t="n"/>
      <c r="AP148" s="35" t="n"/>
      <c r="AQ148" s="35" t="n"/>
      <c r="AR148" s="35" t="n"/>
      <c r="AS148" s="35" t="n"/>
      <c r="AT148" s="35" t="n"/>
      <c r="AU148" s="38" t="n"/>
      <c r="AV148" s="38" t="n"/>
      <c r="AW148" s="38" t="n"/>
      <c r="AX148" s="38" t="n"/>
      <c r="AY148" s="38" t="n"/>
      <c r="AZ148" s="38" t="n"/>
      <c r="BA148" s="38" t="n"/>
      <c r="BB148" s="38" t="n"/>
      <c r="BC148" s="38" t="n"/>
      <c r="BD148" s="38" t="n"/>
      <c r="BE148" s="35" t="n"/>
      <c r="BF148" s="35" t="n"/>
      <c r="BG148" s="38" t="n"/>
      <c r="BH148" s="38" t="n"/>
      <c r="BI148" s="38" t="n"/>
      <c r="BJ148" s="35" t="n"/>
      <c r="BK148" s="38" t="n"/>
      <c r="BL148" s="33">
        <f>IF(OR(AU148="",AV148=""),"",AV148-AU148)</f>
        <v/>
      </c>
      <c r="BM148" s="33">
        <f>IF(OR(AV148="",AW148=""),"",AW148-AV148)</f>
        <v/>
      </c>
      <c r="BN148" s="33">
        <f>IF(OR(AW148="",AX148=""),"",AX148-AW148)</f>
        <v/>
      </c>
      <c r="BO148" s="33">
        <f>IF(OR(AX148="",BA148=""),"",BA148-AX148)</f>
        <v/>
      </c>
      <c r="BP148" s="33">
        <f>IF(OR(AV148="",BA148=""),"",BA148-AV148)</f>
        <v/>
      </c>
      <c r="BQ148" s="33">
        <f>IF(OR(BB148="",BD148=""),"",BD148-BB148)</f>
        <v/>
      </c>
      <c r="BR148" s="33">
        <f>IF(OR(AX148="",BD148=""),"",BD148-AX148)</f>
        <v/>
      </c>
      <c r="BS148" s="33">
        <f>IF(OR(AW148="",BD148=""),"",BD148-AW148)</f>
        <v/>
      </c>
      <c r="BT148" s="33">
        <f>IF(OR(AV148="",BD148=""),"",BD148-AV148)</f>
        <v/>
      </c>
      <c r="BU148" s="33">
        <f>IF(OR(AU148="",BD148=""),"",BD148-AU148)</f>
        <v/>
      </c>
      <c r="BV148" s="33">
        <f>IF(OR(BB148="",BG148=""),"",BG148-BB148)</f>
        <v/>
      </c>
      <c r="BW148" s="33">
        <f>IF(OR(BG148="",BH148=""),"",BH148-BG148)</f>
        <v/>
      </c>
      <c r="BX148" s="33">
        <f>IF(OR(BG148="",BI148=""),"",BI148-BG148)</f>
        <v/>
      </c>
      <c r="BY148" s="39">
        <f>IF(OR(AX148="",BK148=""),"",ROUND((BK148-AX148)/30.44,1))</f>
        <v/>
      </c>
      <c r="BZ148" s="37">
        <f>IF(BR148="","",IF(BR148&lt;=30,1,0))</f>
        <v/>
      </c>
      <c r="CA148" s="37">
        <f>IF(BR148="","",IF(BR148&gt;40.5,1,0))</f>
        <v/>
      </c>
      <c r="CB148" s="37">
        <f>IF(BR148="","",IF(BR148&gt;60,1,0))</f>
        <v/>
      </c>
      <c r="CC148" s="37">
        <f>IF(BR148="","",IF(BR148&gt;67,1,0))</f>
        <v/>
      </c>
      <c r="CD148" s="37">
        <f>IF(BT148="","",IF(BT148&lt;=30,1,0))</f>
        <v/>
      </c>
      <c r="CE148" s="37">
        <f>IF(BQ148="","",IF(BQ148&lt;=28,1,0))</f>
        <v/>
      </c>
      <c r="CF148" s="37">
        <f>IF(OR(BV148="",BE148&lt;&gt;"ניתוח"),"",IF(BV148&lt;=30,1,0))</f>
        <v/>
      </c>
      <c r="CG148" s="37">
        <f>IF(BU148="","",IF(BU148&lt;=56,1,0))</f>
        <v/>
      </c>
      <c r="CH148" s="37">
        <f>IF(BW148="","",IF(BW148&lt;=42,1,0))</f>
        <v/>
      </c>
      <c r="CI148" s="37">
        <f>IF(BX148="","",IF(BX148&lt;=100,1,0))</f>
        <v/>
      </c>
      <c r="CJ148" s="33">
        <f>IF(A148="","",COUNTIF(Delays!$B$5:$B$404,A148))</f>
        <v/>
      </c>
      <c r="CK148" s="35" t="n"/>
    </row>
    <row r="149">
      <c r="A149" s="33">
        <f>IF(OR(B149="",C149="",D149="",AX149=""),"","RET-"&amp;RIGHT(YEAR(AX149),2)&amp;"-"&amp;TEXT(B149,"000")&amp;"-"&amp;C149&amp;"-"&amp;D149&amp;"-"&amp;TEXT(MONTH(AX149),"00"))</f>
        <v/>
      </c>
      <c r="B149" s="34" t="n">
        <v>144</v>
      </c>
      <c r="C149" s="35" t="n"/>
      <c r="D149" s="35" t="n"/>
      <c r="E149" s="33">
        <f>IF(AX149="","",YEAR(AX149))</f>
        <v/>
      </c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6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7">
        <f>IF(Y149="","",IF(OR(Y149="III",Y149="IV",Y149="IVA",Y149="IVB",Y149="IVC"),1,0))</f>
        <v/>
      </c>
      <c r="AA149" s="35" t="n"/>
      <c r="AB149" s="35" t="n"/>
      <c r="AC149" s="35" t="n"/>
      <c r="AD149" s="35" t="n"/>
      <c r="AE149" s="35" t="n"/>
      <c r="AF149" s="35" t="n"/>
      <c r="AG149" s="35" t="n"/>
      <c r="AH149" s="35" t="n"/>
      <c r="AI149" s="35" t="n"/>
      <c r="AJ149" s="35" t="n"/>
      <c r="AK149" s="35" t="n"/>
      <c r="AL149" s="35" t="n"/>
      <c r="AM149" s="35" t="n"/>
      <c r="AN149" s="35" t="n"/>
      <c r="AO149" s="35" t="n"/>
      <c r="AP149" s="35" t="n"/>
      <c r="AQ149" s="35" t="n"/>
      <c r="AR149" s="35" t="n"/>
      <c r="AS149" s="35" t="n"/>
      <c r="AT149" s="35" t="n"/>
      <c r="AU149" s="38" t="n"/>
      <c r="AV149" s="38" t="n"/>
      <c r="AW149" s="38" t="n"/>
      <c r="AX149" s="38" t="n"/>
      <c r="AY149" s="38" t="n"/>
      <c r="AZ149" s="38" t="n"/>
      <c r="BA149" s="38" t="n"/>
      <c r="BB149" s="38" t="n"/>
      <c r="BC149" s="38" t="n"/>
      <c r="BD149" s="38" t="n"/>
      <c r="BE149" s="35" t="n"/>
      <c r="BF149" s="35" t="n"/>
      <c r="BG149" s="38" t="n"/>
      <c r="BH149" s="38" t="n"/>
      <c r="BI149" s="38" t="n"/>
      <c r="BJ149" s="35" t="n"/>
      <c r="BK149" s="38" t="n"/>
      <c r="BL149" s="33">
        <f>IF(OR(AU149="",AV149=""),"",AV149-AU149)</f>
        <v/>
      </c>
      <c r="BM149" s="33">
        <f>IF(OR(AV149="",AW149=""),"",AW149-AV149)</f>
        <v/>
      </c>
      <c r="BN149" s="33">
        <f>IF(OR(AW149="",AX149=""),"",AX149-AW149)</f>
        <v/>
      </c>
      <c r="BO149" s="33">
        <f>IF(OR(AX149="",BA149=""),"",BA149-AX149)</f>
        <v/>
      </c>
      <c r="BP149" s="33">
        <f>IF(OR(AV149="",BA149=""),"",BA149-AV149)</f>
        <v/>
      </c>
      <c r="BQ149" s="33">
        <f>IF(OR(BB149="",BD149=""),"",BD149-BB149)</f>
        <v/>
      </c>
      <c r="BR149" s="33">
        <f>IF(OR(AX149="",BD149=""),"",BD149-AX149)</f>
        <v/>
      </c>
      <c r="BS149" s="33">
        <f>IF(OR(AW149="",BD149=""),"",BD149-AW149)</f>
        <v/>
      </c>
      <c r="BT149" s="33">
        <f>IF(OR(AV149="",BD149=""),"",BD149-AV149)</f>
        <v/>
      </c>
      <c r="BU149" s="33">
        <f>IF(OR(AU149="",BD149=""),"",BD149-AU149)</f>
        <v/>
      </c>
      <c r="BV149" s="33">
        <f>IF(OR(BB149="",BG149=""),"",BG149-BB149)</f>
        <v/>
      </c>
      <c r="BW149" s="33">
        <f>IF(OR(BG149="",BH149=""),"",BH149-BG149)</f>
        <v/>
      </c>
      <c r="BX149" s="33">
        <f>IF(OR(BG149="",BI149=""),"",BI149-BG149)</f>
        <v/>
      </c>
      <c r="BY149" s="39">
        <f>IF(OR(AX149="",BK149=""),"",ROUND((BK149-AX149)/30.44,1))</f>
        <v/>
      </c>
      <c r="BZ149" s="37">
        <f>IF(BR149="","",IF(BR149&lt;=30,1,0))</f>
        <v/>
      </c>
      <c r="CA149" s="37">
        <f>IF(BR149="","",IF(BR149&gt;40.5,1,0))</f>
        <v/>
      </c>
      <c r="CB149" s="37">
        <f>IF(BR149="","",IF(BR149&gt;60,1,0))</f>
        <v/>
      </c>
      <c r="CC149" s="37">
        <f>IF(BR149="","",IF(BR149&gt;67,1,0))</f>
        <v/>
      </c>
      <c r="CD149" s="37">
        <f>IF(BT149="","",IF(BT149&lt;=30,1,0))</f>
        <v/>
      </c>
      <c r="CE149" s="37">
        <f>IF(BQ149="","",IF(BQ149&lt;=28,1,0))</f>
        <v/>
      </c>
      <c r="CF149" s="37">
        <f>IF(OR(BV149="",BE149&lt;&gt;"ניתוח"),"",IF(BV149&lt;=30,1,0))</f>
        <v/>
      </c>
      <c r="CG149" s="37">
        <f>IF(BU149="","",IF(BU149&lt;=56,1,0))</f>
        <v/>
      </c>
      <c r="CH149" s="37">
        <f>IF(BW149="","",IF(BW149&lt;=42,1,0))</f>
        <v/>
      </c>
      <c r="CI149" s="37">
        <f>IF(BX149="","",IF(BX149&lt;=100,1,0))</f>
        <v/>
      </c>
      <c r="CJ149" s="33">
        <f>IF(A149="","",COUNTIF(Delays!$B$5:$B$404,A149))</f>
        <v/>
      </c>
      <c r="CK149" s="35" t="n"/>
    </row>
    <row r="150">
      <c r="A150" s="33">
        <f>IF(OR(B150="",C150="",D150="",AX150=""),"","RET-"&amp;RIGHT(YEAR(AX150),2)&amp;"-"&amp;TEXT(B150,"000")&amp;"-"&amp;C150&amp;"-"&amp;D150&amp;"-"&amp;TEXT(MONTH(AX150),"00"))</f>
        <v/>
      </c>
      <c r="B150" s="34" t="n">
        <v>145</v>
      </c>
      <c r="C150" s="35" t="n"/>
      <c r="D150" s="35" t="n"/>
      <c r="E150" s="33">
        <f>IF(AX150="","",YEAR(AX150))</f>
        <v/>
      </c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6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7">
        <f>IF(Y150="","",IF(OR(Y150="III",Y150="IV",Y150="IVA",Y150="IVB",Y150="IVC"),1,0))</f>
        <v/>
      </c>
      <c r="AA150" s="35" t="n"/>
      <c r="AB150" s="35" t="n"/>
      <c r="AC150" s="35" t="n"/>
      <c r="AD150" s="35" t="n"/>
      <c r="AE150" s="35" t="n"/>
      <c r="AF150" s="35" t="n"/>
      <c r="AG150" s="35" t="n"/>
      <c r="AH150" s="35" t="n"/>
      <c r="AI150" s="35" t="n"/>
      <c r="AJ150" s="35" t="n"/>
      <c r="AK150" s="35" t="n"/>
      <c r="AL150" s="35" t="n"/>
      <c r="AM150" s="35" t="n"/>
      <c r="AN150" s="35" t="n"/>
      <c r="AO150" s="35" t="n"/>
      <c r="AP150" s="35" t="n"/>
      <c r="AQ150" s="35" t="n"/>
      <c r="AR150" s="35" t="n"/>
      <c r="AS150" s="35" t="n"/>
      <c r="AT150" s="35" t="n"/>
      <c r="AU150" s="38" t="n"/>
      <c r="AV150" s="38" t="n"/>
      <c r="AW150" s="38" t="n"/>
      <c r="AX150" s="38" t="n"/>
      <c r="AY150" s="38" t="n"/>
      <c r="AZ150" s="38" t="n"/>
      <c r="BA150" s="38" t="n"/>
      <c r="BB150" s="38" t="n"/>
      <c r="BC150" s="38" t="n"/>
      <c r="BD150" s="38" t="n"/>
      <c r="BE150" s="35" t="n"/>
      <c r="BF150" s="35" t="n"/>
      <c r="BG150" s="38" t="n"/>
      <c r="BH150" s="38" t="n"/>
      <c r="BI150" s="38" t="n"/>
      <c r="BJ150" s="35" t="n"/>
      <c r="BK150" s="38" t="n"/>
      <c r="BL150" s="33">
        <f>IF(OR(AU150="",AV150=""),"",AV150-AU150)</f>
        <v/>
      </c>
      <c r="BM150" s="33">
        <f>IF(OR(AV150="",AW150=""),"",AW150-AV150)</f>
        <v/>
      </c>
      <c r="BN150" s="33">
        <f>IF(OR(AW150="",AX150=""),"",AX150-AW150)</f>
        <v/>
      </c>
      <c r="BO150" s="33">
        <f>IF(OR(AX150="",BA150=""),"",BA150-AX150)</f>
        <v/>
      </c>
      <c r="BP150" s="33">
        <f>IF(OR(AV150="",BA150=""),"",BA150-AV150)</f>
        <v/>
      </c>
      <c r="BQ150" s="33">
        <f>IF(OR(BB150="",BD150=""),"",BD150-BB150)</f>
        <v/>
      </c>
      <c r="BR150" s="33">
        <f>IF(OR(AX150="",BD150=""),"",BD150-AX150)</f>
        <v/>
      </c>
      <c r="BS150" s="33">
        <f>IF(OR(AW150="",BD150=""),"",BD150-AW150)</f>
        <v/>
      </c>
      <c r="BT150" s="33">
        <f>IF(OR(AV150="",BD150=""),"",BD150-AV150)</f>
        <v/>
      </c>
      <c r="BU150" s="33">
        <f>IF(OR(AU150="",BD150=""),"",BD150-AU150)</f>
        <v/>
      </c>
      <c r="BV150" s="33">
        <f>IF(OR(BB150="",BG150=""),"",BG150-BB150)</f>
        <v/>
      </c>
      <c r="BW150" s="33">
        <f>IF(OR(BG150="",BH150=""),"",BH150-BG150)</f>
        <v/>
      </c>
      <c r="BX150" s="33">
        <f>IF(OR(BG150="",BI150=""),"",BI150-BG150)</f>
        <v/>
      </c>
      <c r="BY150" s="39">
        <f>IF(OR(AX150="",BK150=""),"",ROUND((BK150-AX150)/30.44,1))</f>
        <v/>
      </c>
      <c r="BZ150" s="37">
        <f>IF(BR150="","",IF(BR150&lt;=30,1,0))</f>
        <v/>
      </c>
      <c r="CA150" s="37">
        <f>IF(BR150="","",IF(BR150&gt;40.5,1,0))</f>
        <v/>
      </c>
      <c r="CB150" s="37">
        <f>IF(BR150="","",IF(BR150&gt;60,1,0))</f>
        <v/>
      </c>
      <c r="CC150" s="37">
        <f>IF(BR150="","",IF(BR150&gt;67,1,0))</f>
        <v/>
      </c>
      <c r="CD150" s="37">
        <f>IF(BT150="","",IF(BT150&lt;=30,1,0))</f>
        <v/>
      </c>
      <c r="CE150" s="37">
        <f>IF(BQ150="","",IF(BQ150&lt;=28,1,0))</f>
        <v/>
      </c>
      <c r="CF150" s="37">
        <f>IF(OR(BV150="",BE150&lt;&gt;"ניתוח"),"",IF(BV150&lt;=30,1,0))</f>
        <v/>
      </c>
      <c r="CG150" s="37">
        <f>IF(BU150="","",IF(BU150&lt;=56,1,0))</f>
        <v/>
      </c>
      <c r="CH150" s="37">
        <f>IF(BW150="","",IF(BW150&lt;=42,1,0))</f>
        <v/>
      </c>
      <c r="CI150" s="37">
        <f>IF(BX150="","",IF(BX150&lt;=100,1,0))</f>
        <v/>
      </c>
      <c r="CJ150" s="33">
        <f>IF(A150="","",COUNTIF(Delays!$B$5:$B$404,A150))</f>
        <v/>
      </c>
      <c r="CK150" s="35" t="n"/>
    </row>
    <row r="151">
      <c r="A151" s="33">
        <f>IF(OR(B151="",C151="",D151="",AX151=""),"","RET-"&amp;RIGHT(YEAR(AX151),2)&amp;"-"&amp;TEXT(B151,"000")&amp;"-"&amp;C151&amp;"-"&amp;D151&amp;"-"&amp;TEXT(MONTH(AX151),"00"))</f>
        <v/>
      </c>
      <c r="B151" s="34" t="n">
        <v>146</v>
      </c>
      <c r="C151" s="35" t="n"/>
      <c r="D151" s="35" t="n"/>
      <c r="E151" s="33">
        <f>IF(AX151="","",YEAR(AX151))</f>
        <v/>
      </c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6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7">
        <f>IF(Y151="","",IF(OR(Y151="III",Y151="IV",Y151="IVA",Y151="IVB",Y151="IVC"),1,0))</f>
        <v/>
      </c>
      <c r="AA151" s="35" t="n"/>
      <c r="AB151" s="35" t="n"/>
      <c r="AC151" s="35" t="n"/>
      <c r="AD151" s="35" t="n"/>
      <c r="AE151" s="35" t="n"/>
      <c r="AF151" s="35" t="n"/>
      <c r="AG151" s="35" t="n"/>
      <c r="AH151" s="35" t="n"/>
      <c r="AI151" s="35" t="n"/>
      <c r="AJ151" s="35" t="n"/>
      <c r="AK151" s="35" t="n"/>
      <c r="AL151" s="35" t="n"/>
      <c r="AM151" s="35" t="n"/>
      <c r="AN151" s="35" t="n"/>
      <c r="AO151" s="35" t="n"/>
      <c r="AP151" s="35" t="n"/>
      <c r="AQ151" s="35" t="n"/>
      <c r="AR151" s="35" t="n"/>
      <c r="AS151" s="35" t="n"/>
      <c r="AT151" s="35" t="n"/>
      <c r="AU151" s="38" t="n"/>
      <c r="AV151" s="38" t="n"/>
      <c r="AW151" s="38" t="n"/>
      <c r="AX151" s="38" t="n"/>
      <c r="AY151" s="38" t="n"/>
      <c r="AZ151" s="38" t="n"/>
      <c r="BA151" s="38" t="n"/>
      <c r="BB151" s="38" t="n"/>
      <c r="BC151" s="38" t="n"/>
      <c r="BD151" s="38" t="n"/>
      <c r="BE151" s="35" t="n"/>
      <c r="BF151" s="35" t="n"/>
      <c r="BG151" s="38" t="n"/>
      <c r="BH151" s="38" t="n"/>
      <c r="BI151" s="38" t="n"/>
      <c r="BJ151" s="35" t="n"/>
      <c r="BK151" s="38" t="n"/>
      <c r="BL151" s="33">
        <f>IF(OR(AU151="",AV151=""),"",AV151-AU151)</f>
        <v/>
      </c>
      <c r="BM151" s="33">
        <f>IF(OR(AV151="",AW151=""),"",AW151-AV151)</f>
        <v/>
      </c>
      <c r="BN151" s="33">
        <f>IF(OR(AW151="",AX151=""),"",AX151-AW151)</f>
        <v/>
      </c>
      <c r="BO151" s="33">
        <f>IF(OR(AX151="",BA151=""),"",BA151-AX151)</f>
        <v/>
      </c>
      <c r="BP151" s="33">
        <f>IF(OR(AV151="",BA151=""),"",BA151-AV151)</f>
        <v/>
      </c>
      <c r="BQ151" s="33">
        <f>IF(OR(BB151="",BD151=""),"",BD151-BB151)</f>
        <v/>
      </c>
      <c r="BR151" s="33">
        <f>IF(OR(AX151="",BD151=""),"",BD151-AX151)</f>
        <v/>
      </c>
      <c r="BS151" s="33">
        <f>IF(OR(AW151="",BD151=""),"",BD151-AW151)</f>
        <v/>
      </c>
      <c r="BT151" s="33">
        <f>IF(OR(AV151="",BD151=""),"",BD151-AV151)</f>
        <v/>
      </c>
      <c r="BU151" s="33">
        <f>IF(OR(AU151="",BD151=""),"",BD151-AU151)</f>
        <v/>
      </c>
      <c r="BV151" s="33">
        <f>IF(OR(BB151="",BG151=""),"",BG151-BB151)</f>
        <v/>
      </c>
      <c r="BW151" s="33">
        <f>IF(OR(BG151="",BH151=""),"",BH151-BG151)</f>
        <v/>
      </c>
      <c r="BX151" s="33">
        <f>IF(OR(BG151="",BI151=""),"",BI151-BG151)</f>
        <v/>
      </c>
      <c r="BY151" s="39">
        <f>IF(OR(AX151="",BK151=""),"",ROUND((BK151-AX151)/30.44,1))</f>
        <v/>
      </c>
      <c r="BZ151" s="37">
        <f>IF(BR151="","",IF(BR151&lt;=30,1,0))</f>
        <v/>
      </c>
      <c r="CA151" s="37">
        <f>IF(BR151="","",IF(BR151&gt;40.5,1,0))</f>
        <v/>
      </c>
      <c r="CB151" s="37">
        <f>IF(BR151="","",IF(BR151&gt;60,1,0))</f>
        <v/>
      </c>
      <c r="CC151" s="37">
        <f>IF(BR151="","",IF(BR151&gt;67,1,0))</f>
        <v/>
      </c>
      <c r="CD151" s="37">
        <f>IF(BT151="","",IF(BT151&lt;=30,1,0))</f>
        <v/>
      </c>
      <c r="CE151" s="37">
        <f>IF(BQ151="","",IF(BQ151&lt;=28,1,0))</f>
        <v/>
      </c>
      <c r="CF151" s="37">
        <f>IF(OR(BV151="",BE151&lt;&gt;"ניתוח"),"",IF(BV151&lt;=30,1,0))</f>
        <v/>
      </c>
      <c r="CG151" s="37">
        <f>IF(BU151="","",IF(BU151&lt;=56,1,0))</f>
        <v/>
      </c>
      <c r="CH151" s="37">
        <f>IF(BW151="","",IF(BW151&lt;=42,1,0))</f>
        <v/>
      </c>
      <c r="CI151" s="37">
        <f>IF(BX151="","",IF(BX151&lt;=100,1,0))</f>
        <v/>
      </c>
      <c r="CJ151" s="33">
        <f>IF(A151="","",COUNTIF(Delays!$B$5:$B$404,A151))</f>
        <v/>
      </c>
      <c r="CK151" s="35" t="n"/>
    </row>
    <row r="152">
      <c r="A152" s="33">
        <f>IF(OR(B152="",C152="",D152="",AX152=""),"","RET-"&amp;RIGHT(YEAR(AX152),2)&amp;"-"&amp;TEXT(B152,"000")&amp;"-"&amp;C152&amp;"-"&amp;D152&amp;"-"&amp;TEXT(MONTH(AX152),"00"))</f>
        <v/>
      </c>
      <c r="B152" s="34" t="n">
        <v>147</v>
      </c>
      <c r="C152" s="35" t="n"/>
      <c r="D152" s="35" t="n"/>
      <c r="E152" s="33">
        <f>IF(AX152="","",YEAR(AX152))</f>
        <v/>
      </c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6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7">
        <f>IF(Y152="","",IF(OR(Y152="III",Y152="IV",Y152="IVA",Y152="IVB",Y152="IVC"),1,0))</f>
        <v/>
      </c>
      <c r="AA152" s="35" t="n"/>
      <c r="AB152" s="35" t="n"/>
      <c r="AC152" s="35" t="n"/>
      <c r="AD152" s="35" t="n"/>
      <c r="AE152" s="35" t="n"/>
      <c r="AF152" s="35" t="n"/>
      <c r="AG152" s="35" t="n"/>
      <c r="AH152" s="35" t="n"/>
      <c r="AI152" s="35" t="n"/>
      <c r="AJ152" s="35" t="n"/>
      <c r="AK152" s="35" t="n"/>
      <c r="AL152" s="35" t="n"/>
      <c r="AM152" s="35" t="n"/>
      <c r="AN152" s="35" t="n"/>
      <c r="AO152" s="35" t="n"/>
      <c r="AP152" s="35" t="n"/>
      <c r="AQ152" s="35" t="n"/>
      <c r="AR152" s="35" t="n"/>
      <c r="AS152" s="35" t="n"/>
      <c r="AT152" s="35" t="n"/>
      <c r="AU152" s="38" t="n"/>
      <c r="AV152" s="38" t="n"/>
      <c r="AW152" s="38" t="n"/>
      <c r="AX152" s="38" t="n"/>
      <c r="AY152" s="38" t="n"/>
      <c r="AZ152" s="38" t="n"/>
      <c r="BA152" s="38" t="n"/>
      <c r="BB152" s="38" t="n"/>
      <c r="BC152" s="38" t="n"/>
      <c r="BD152" s="38" t="n"/>
      <c r="BE152" s="35" t="n"/>
      <c r="BF152" s="35" t="n"/>
      <c r="BG152" s="38" t="n"/>
      <c r="BH152" s="38" t="n"/>
      <c r="BI152" s="38" t="n"/>
      <c r="BJ152" s="35" t="n"/>
      <c r="BK152" s="38" t="n"/>
      <c r="BL152" s="33">
        <f>IF(OR(AU152="",AV152=""),"",AV152-AU152)</f>
        <v/>
      </c>
      <c r="BM152" s="33">
        <f>IF(OR(AV152="",AW152=""),"",AW152-AV152)</f>
        <v/>
      </c>
      <c r="BN152" s="33">
        <f>IF(OR(AW152="",AX152=""),"",AX152-AW152)</f>
        <v/>
      </c>
      <c r="BO152" s="33">
        <f>IF(OR(AX152="",BA152=""),"",BA152-AX152)</f>
        <v/>
      </c>
      <c r="BP152" s="33">
        <f>IF(OR(AV152="",BA152=""),"",BA152-AV152)</f>
        <v/>
      </c>
      <c r="BQ152" s="33">
        <f>IF(OR(BB152="",BD152=""),"",BD152-BB152)</f>
        <v/>
      </c>
      <c r="BR152" s="33">
        <f>IF(OR(AX152="",BD152=""),"",BD152-AX152)</f>
        <v/>
      </c>
      <c r="BS152" s="33">
        <f>IF(OR(AW152="",BD152=""),"",BD152-AW152)</f>
        <v/>
      </c>
      <c r="BT152" s="33">
        <f>IF(OR(AV152="",BD152=""),"",BD152-AV152)</f>
        <v/>
      </c>
      <c r="BU152" s="33">
        <f>IF(OR(AU152="",BD152=""),"",BD152-AU152)</f>
        <v/>
      </c>
      <c r="BV152" s="33">
        <f>IF(OR(BB152="",BG152=""),"",BG152-BB152)</f>
        <v/>
      </c>
      <c r="BW152" s="33">
        <f>IF(OR(BG152="",BH152=""),"",BH152-BG152)</f>
        <v/>
      </c>
      <c r="BX152" s="33">
        <f>IF(OR(BG152="",BI152=""),"",BI152-BG152)</f>
        <v/>
      </c>
      <c r="BY152" s="39">
        <f>IF(OR(AX152="",BK152=""),"",ROUND((BK152-AX152)/30.44,1))</f>
        <v/>
      </c>
      <c r="BZ152" s="37">
        <f>IF(BR152="","",IF(BR152&lt;=30,1,0))</f>
        <v/>
      </c>
      <c r="CA152" s="37">
        <f>IF(BR152="","",IF(BR152&gt;40.5,1,0))</f>
        <v/>
      </c>
      <c r="CB152" s="37">
        <f>IF(BR152="","",IF(BR152&gt;60,1,0))</f>
        <v/>
      </c>
      <c r="CC152" s="37">
        <f>IF(BR152="","",IF(BR152&gt;67,1,0))</f>
        <v/>
      </c>
      <c r="CD152" s="37">
        <f>IF(BT152="","",IF(BT152&lt;=30,1,0))</f>
        <v/>
      </c>
      <c r="CE152" s="37">
        <f>IF(BQ152="","",IF(BQ152&lt;=28,1,0))</f>
        <v/>
      </c>
      <c r="CF152" s="37">
        <f>IF(OR(BV152="",BE152&lt;&gt;"ניתוח"),"",IF(BV152&lt;=30,1,0))</f>
        <v/>
      </c>
      <c r="CG152" s="37">
        <f>IF(BU152="","",IF(BU152&lt;=56,1,0))</f>
        <v/>
      </c>
      <c r="CH152" s="37">
        <f>IF(BW152="","",IF(BW152&lt;=42,1,0))</f>
        <v/>
      </c>
      <c r="CI152" s="37">
        <f>IF(BX152="","",IF(BX152&lt;=100,1,0))</f>
        <v/>
      </c>
      <c r="CJ152" s="33">
        <f>IF(A152="","",COUNTIF(Delays!$B$5:$B$404,A152))</f>
        <v/>
      </c>
      <c r="CK152" s="35" t="n"/>
    </row>
    <row r="153">
      <c r="A153" s="33">
        <f>IF(OR(B153="",C153="",D153="",AX153=""),"","RET-"&amp;RIGHT(YEAR(AX153),2)&amp;"-"&amp;TEXT(B153,"000")&amp;"-"&amp;C153&amp;"-"&amp;D153&amp;"-"&amp;TEXT(MONTH(AX153),"00"))</f>
        <v/>
      </c>
      <c r="B153" s="34" t="n">
        <v>148</v>
      </c>
      <c r="C153" s="35" t="n"/>
      <c r="D153" s="35" t="n"/>
      <c r="E153" s="33">
        <f>IF(AX153="","",YEAR(AX153))</f>
        <v/>
      </c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6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7">
        <f>IF(Y153="","",IF(OR(Y153="III",Y153="IV",Y153="IVA",Y153="IVB",Y153="IVC"),1,0))</f>
        <v/>
      </c>
      <c r="AA153" s="35" t="n"/>
      <c r="AB153" s="35" t="n"/>
      <c r="AC153" s="35" t="n"/>
      <c r="AD153" s="35" t="n"/>
      <c r="AE153" s="35" t="n"/>
      <c r="AF153" s="35" t="n"/>
      <c r="AG153" s="35" t="n"/>
      <c r="AH153" s="35" t="n"/>
      <c r="AI153" s="35" t="n"/>
      <c r="AJ153" s="35" t="n"/>
      <c r="AK153" s="35" t="n"/>
      <c r="AL153" s="35" t="n"/>
      <c r="AM153" s="35" t="n"/>
      <c r="AN153" s="35" t="n"/>
      <c r="AO153" s="35" t="n"/>
      <c r="AP153" s="35" t="n"/>
      <c r="AQ153" s="35" t="n"/>
      <c r="AR153" s="35" t="n"/>
      <c r="AS153" s="35" t="n"/>
      <c r="AT153" s="35" t="n"/>
      <c r="AU153" s="38" t="n"/>
      <c r="AV153" s="38" t="n"/>
      <c r="AW153" s="38" t="n"/>
      <c r="AX153" s="38" t="n"/>
      <c r="AY153" s="38" t="n"/>
      <c r="AZ153" s="38" t="n"/>
      <c r="BA153" s="38" t="n"/>
      <c r="BB153" s="38" t="n"/>
      <c r="BC153" s="38" t="n"/>
      <c r="BD153" s="38" t="n"/>
      <c r="BE153" s="35" t="n"/>
      <c r="BF153" s="35" t="n"/>
      <c r="BG153" s="38" t="n"/>
      <c r="BH153" s="38" t="n"/>
      <c r="BI153" s="38" t="n"/>
      <c r="BJ153" s="35" t="n"/>
      <c r="BK153" s="38" t="n"/>
      <c r="BL153" s="33">
        <f>IF(OR(AU153="",AV153=""),"",AV153-AU153)</f>
        <v/>
      </c>
      <c r="BM153" s="33">
        <f>IF(OR(AV153="",AW153=""),"",AW153-AV153)</f>
        <v/>
      </c>
      <c r="BN153" s="33">
        <f>IF(OR(AW153="",AX153=""),"",AX153-AW153)</f>
        <v/>
      </c>
      <c r="BO153" s="33">
        <f>IF(OR(AX153="",BA153=""),"",BA153-AX153)</f>
        <v/>
      </c>
      <c r="BP153" s="33">
        <f>IF(OR(AV153="",BA153=""),"",BA153-AV153)</f>
        <v/>
      </c>
      <c r="BQ153" s="33">
        <f>IF(OR(BB153="",BD153=""),"",BD153-BB153)</f>
        <v/>
      </c>
      <c r="BR153" s="33">
        <f>IF(OR(AX153="",BD153=""),"",BD153-AX153)</f>
        <v/>
      </c>
      <c r="BS153" s="33">
        <f>IF(OR(AW153="",BD153=""),"",BD153-AW153)</f>
        <v/>
      </c>
      <c r="BT153" s="33">
        <f>IF(OR(AV153="",BD153=""),"",BD153-AV153)</f>
        <v/>
      </c>
      <c r="BU153" s="33">
        <f>IF(OR(AU153="",BD153=""),"",BD153-AU153)</f>
        <v/>
      </c>
      <c r="BV153" s="33">
        <f>IF(OR(BB153="",BG153=""),"",BG153-BB153)</f>
        <v/>
      </c>
      <c r="BW153" s="33">
        <f>IF(OR(BG153="",BH153=""),"",BH153-BG153)</f>
        <v/>
      </c>
      <c r="BX153" s="33">
        <f>IF(OR(BG153="",BI153=""),"",BI153-BG153)</f>
        <v/>
      </c>
      <c r="BY153" s="39">
        <f>IF(OR(AX153="",BK153=""),"",ROUND((BK153-AX153)/30.44,1))</f>
        <v/>
      </c>
      <c r="BZ153" s="37">
        <f>IF(BR153="","",IF(BR153&lt;=30,1,0))</f>
        <v/>
      </c>
      <c r="CA153" s="37">
        <f>IF(BR153="","",IF(BR153&gt;40.5,1,0))</f>
        <v/>
      </c>
      <c r="CB153" s="37">
        <f>IF(BR153="","",IF(BR153&gt;60,1,0))</f>
        <v/>
      </c>
      <c r="CC153" s="37">
        <f>IF(BR153="","",IF(BR153&gt;67,1,0))</f>
        <v/>
      </c>
      <c r="CD153" s="37">
        <f>IF(BT153="","",IF(BT153&lt;=30,1,0))</f>
        <v/>
      </c>
      <c r="CE153" s="37">
        <f>IF(BQ153="","",IF(BQ153&lt;=28,1,0))</f>
        <v/>
      </c>
      <c r="CF153" s="37">
        <f>IF(OR(BV153="",BE153&lt;&gt;"ניתוח"),"",IF(BV153&lt;=30,1,0))</f>
        <v/>
      </c>
      <c r="CG153" s="37">
        <f>IF(BU153="","",IF(BU153&lt;=56,1,0))</f>
        <v/>
      </c>
      <c r="CH153" s="37">
        <f>IF(BW153="","",IF(BW153&lt;=42,1,0))</f>
        <v/>
      </c>
      <c r="CI153" s="37">
        <f>IF(BX153="","",IF(BX153&lt;=100,1,0))</f>
        <v/>
      </c>
      <c r="CJ153" s="33">
        <f>IF(A153="","",COUNTIF(Delays!$B$5:$B$404,A153))</f>
        <v/>
      </c>
      <c r="CK153" s="35" t="n"/>
    </row>
    <row r="154">
      <c r="A154" s="33">
        <f>IF(OR(B154="",C154="",D154="",AX154=""),"","RET-"&amp;RIGHT(YEAR(AX154),2)&amp;"-"&amp;TEXT(B154,"000")&amp;"-"&amp;C154&amp;"-"&amp;D154&amp;"-"&amp;TEXT(MONTH(AX154),"00"))</f>
        <v/>
      </c>
      <c r="B154" s="34" t="n">
        <v>149</v>
      </c>
      <c r="C154" s="35" t="n"/>
      <c r="D154" s="35" t="n"/>
      <c r="E154" s="33">
        <f>IF(AX154="","",YEAR(AX154))</f>
        <v/>
      </c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6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7">
        <f>IF(Y154="","",IF(OR(Y154="III",Y154="IV",Y154="IVA",Y154="IVB",Y154="IVC"),1,0))</f>
        <v/>
      </c>
      <c r="AA154" s="35" t="n"/>
      <c r="AB154" s="35" t="n"/>
      <c r="AC154" s="35" t="n"/>
      <c r="AD154" s="35" t="n"/>
      <c r="AE154" s="35" t="n"/>
      <c r="AF154" s="35" t="n"/>
      <c r="AG154" s="35" t="n"/>
      <c r="AH154" s="35" t="n"/>
      <c r="AI154" s="35" t="n"/>
      <c r="AJ154" s="35" t="n"/>
      <c r="AK154" s="35" t="n"/>
      <c r="AL154" s="35" t="n"/>
      <c r="AM154" s="35" t="n"/>
      <c r="AN154" s="35" t="n"/>
      <c r="AO154" s="35" t="n"/>
      <c r="AP154" s="35" t="n"/>
      <c r="AQ154" s="35" t="n"/>
      <c r="AR154" s="35" t="n"/>
      <c r="AS154" s="35" t="n"/>
      <c r="AT154" s="35" t="n"/>
      <c r="AU154" s="38" t="n"/>
      <c r="AV154" s="38" t="n"/>
      <c r="AW154" s="38" t="n"/>
      <c r="AX154" s="38" t="n"/>
      <c r="AY154" s="38" t="n"/>
      <c r="AZ154" s="38" t="n"/>
      <c r="BA154" s="38" t="n"/>
      <c r="BB154" s="38" t="n"/>
      <c r="BC154" s="38" t="n"/>
      <c r="BD154" s="38" t="n"/>
      <c r="BE154" s="35" t="n"/>
      <c r="BF154" s="35" t="n"/>
      <c r="BG154" s="38" t="n"/>
      <c r="BH154" s="38" t="n"/>
      <c r="BI154" s="38" t="n"/>
      <c r="BJ154" s="35" t="n"/>
      <c r="BK154" s="38" t="n"/>
      <c r="BL154" s="33">
        <f>IF(OR(AU154="",AV154=""),"",AV154-AU154)</f>
        <v/>
      </c>
      <c r="BM154" s="33">
        <f>IF(OR(AV154="",AW154=""),"",AW154-AV154)</f>
        <v/>
      </c>
      <c r="BN154" s="33">
        <f>IF(OR(AW154="",AX154=""),"",AX154-AW154)</f>
        <v/>
      </c>
      <c r="BO154" s="33">
        <f>IF(OR(AX154="",BA154=""),"",BA154-AX154)</f>
        <v/>
      </c>
      <c r="BP154" s="33">
        <f>IF(OR(AV154="",BA154=""),"",BA154-AV154)</f>
        <v/>
      </c>
      <c r="BQ154" s="33">
        <f>IF(OR(BB154="",BD154=""),"",BD154-BB154)</f>
        <v/>
      </c>
      <c r="BR154" s="33">
        <f>IF(OR(AX154="",BD154=""),"",BD154-AX154)</f>
        <v/>
      </c>
      <c r="BS154" s="33">
        <f>IF(OR(AW154="",BD154=""),"",BD154-AW154)</f>
        <v/>
      </c>
      <c r="BT154" s="33">
        <f>IF(OR(AV154="",BD154=""),"",BD154-AV154)</f>
        <v/>
      </c>
      <c r="BU154" s="33">
        <f>IF(OR(AU154="",BD154=""),"",BD154-AU154)</f>
        <v/>
      </c>
      <c r="BV154" s="33">
        <f>IF(OR(BB154="",BG154=""),"",BG154-BB154)</f>
        <v/>
      </c>
      <c r="BW154" s="33">
        <f>IF(OR(BG154="",BH154=""),"",BH154-BG154)</f>
        <v/>
      </c>
      <c r="BX154" s="33">
        <f>IF(OR(BG154="",BI154=""),"",BI154-BG154)</f>
        <v/>
      </c>
      <c r="BY154" s="39">
        <f>IF(OR(AX154="",BK154=""),"",ROUND((BK154-AX154)/30.44,1))</f>
        <v/>
      </c>
      <c r="BZ154" s="37">
        <f>IF(BR154="","",IF(BR154&lt;=30,1,0))</f>
        <v/>
      </c>
      <c r="CA154" s="37">
        <f>IF(BR154="","",IF(BR154&gt;40.5,1,0))</f>
        <v/>
      </c>
      <c r="CB154" s="37">
        <f>IF(BR154="","",IF(BR154&gt;60,1,0))</f>
        <v/>
      </c>
      <c r="CC154" s="37">
        <f>IF(BR154="","",IF(BR154&gt;67,1,0))</f>
        <v/>
      </c>
      <c r="CD154" s="37">
        <f>IF(BT154="","",IF(BT154&lt;=30,1,0))</f>
        <v/>
      </c>
      <c r="CE154" s="37">
        <f>IF(BQ154="","",IF(BQ154&lt;=28,1,0))</f>
        <v/>
      </c>
      <c r="CF154" s="37">
        <f>IF(OR(BV154="",BE154&lt;&gt;"ניתוח"),"",IF(BV154&lt;=30,1,0))</f>
        <v/>
      </c>
      <c r="CG154" s="37">
        <f>IF(BU154="","",IF(BU154&lt;=56,1,0))</f>
        <v/>
      </c>
      <c r="CH154" s="37">
        <f>IF(BW154="","",IF(BW154&lt;=42,1,0))</f>
        <v/>
      </c>
      <c r="CI154" s="37">
        <f>IF(BX154="","",IF(BX154&lt;=100,1,0))</f>
        <v/>
      </c>
      <c r="CJ154" s="33">
        <f>IF(A154="","",COUNTIF(Delays!$B$5:$B$404,A154))</f>
        <v/>
      </c>
      <c r="CK154" s="35" t="n"/>
    </row>
    <row r="155">
      <c r="A155" s="33">
        <f>IF(OR(B155="",C155="",D155="",AX155=""),"","RET-"&amp;RIGHT(YEAR(AX155),2)&amp;"-"&amp;TEXT(B155,"000")&amp;"-"&amp;C155&amp;"-"&amp;D155&amp;"-"&amp;TEXT(MONTH(AX155),"00"))</f>
        <v/>
      </c>
      <c r="B155" s="34" t="n">
        <v>150</v>
      </c>
      <c r="C155" s="35" t="n"/>
      <c r="D155" s="35" t="n"/>
      <c r="E155" s="33">
        <f>IF(AX155="","",YEAR(AX155))</f>
        <v/>
      </c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6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7">
        <f>IF(Y155="","",IF(OR(Y155="III",Y155="IV",Y155="IVA",Y155="IVB",Y155="IVC"),1,0))</f>
        <v/>
      </c>
      <c r="AA155" s="35" t="n"/>
      <c r="AB155" s="35" t="n"/>
      <c r="AC155" s="35" t="n"/>
      <c r="AD155" s="35" t="n"/>
      <c r="AE155" s="35" t="n"/>
      <c r="AF155" s="35" t="n"/>
      <c r="AG155" s="35" t="n"/>
      <c r="AH155" s="35" t="n"/>
      <c r="AI155" s="35" t="n"/>
      <c r="AJ155" s="35" t="n"/>
      <c r="AK155" s="35" t="n"/>
      <c r="AL155" s="35" t="n"/>
      <c r="AM155" s="35" t="n"/>
      <c r="AN155" s="35" t="n"/>
      <c r="AO155" s="35" t="n"/>
      <c r="AP155" s="35" t="n"/>
      <c r="AQ155" s="35" t="n"/>
      <c r="AR155" s="35" t="n"/>
      <c r="AS155" s="35" t="n"/>
      <c r="AT155" s="35" t="n"/>
      <c r="AU155" s="38" t="n"/>
      <c r="AV155" s="38" t="n"/>
      <c r="AW155" s="38" t="n"/>
      <c r="AX155" s="38" t="n"/>
      <c r="AY155" s="38" t="n"/>
      <c r="AZ155" s="38" t="n"/>
      <c r="BA155" s="38" t="n"/>
      <c r="BB155" s="38" t="n"/>
      <c r="BC155" s="38" t="n"/>
      <c r="BD155" s="38" t="n"/>
      <c r="BE155" s="35" t="n"/>
      <c r="BF155" s="35" t="n"/>
      <c r="BG155" s="38" t="n"/>
      <c r="BH155" s="38" t="n"/>
      <c r="BI155" s="38" t="n"/>
      <c r="BJ155" s="35" t="n"/>
      <c r="BK155" s="38" t="n"/>
      <c r="BL155" s="33">
        <f>IF(OR(AU155="",AV155=""),"",AV155-AU155)</f>
        <v/>
      </c>
      <c r="BM155" s="33">
        <f>IF(OR(AV155="",AW155=""),"",AW155-AV155)</f>
        <v/>
      </c>
      <c r="BN155" s="33">
        <f>IF(OR(AW155="",AX155=""),"",AX155-AW155)</f>
        <v/>
      </c>
      <c r="BO155" s="33">
        <f>IF(OR(AX155="",BA155=""),"",BA155-AX155)</f>
        <v/>
      </c>
      <c r="BP155" s="33">
        <f>IF(OR(AV155="",BA155=""),"",BA155-AV155)</f>
        <v/>
      </c>
      <c r="BQ155" s="33">
        <f>IF(OR(BB155="",BD155=""),"",BD155-BB155)</f>
        <v/>
      </c>
      <c r="BR155" s="33">
        <f>IF(OR(AX155="",BD155=""),"",BD155-AX155)</f>
        <v/>
      </c>
      <c r="BS155" s="33">
        <f>IF(OR(AW155="",BD155=""),"",BD155-AW155)</f>
        <v/>
      </c>
      <c r="BT155" s="33">
        <f>IF(OR(AV155="",BD155=""),"",BD155-AV155)</f>
        <v/>
      </c>
      <c r="BU155" s="33">
        <f>IF(OR(AU155="",BD155=""),"",BD155-AU155)</f>
        <v/>
      </c>
      <c r="BV155" s="33">
        <f>IF(OR(BB155="",BG155=""),"",BG155-BB155)</f>
        <v/>
      </c>
      <c r="BW155" s="33">
        <f>IF(OR(BG155="",BH155=""),"",BH155-BG155)</f>
        <v/>
      </c>
      <c r="BX155" s="33">
        <f>IF(OR(BG155="",BI155=""),"",BI155-BG155)</f>
        <v/>
      </c>
      <c r="BY155" s="39">
        <f>IF(OR(AX155="",BK155=""),"",ROUND((BK155-AX155)/30.44,1))</f>
        <v/>
      </c>
      <c r="BZ155" s="37">
        <f>IF(BR155="","",IF(BR155&lt;=30,1,0))</f>
        <v/>
      </c>
      <c r="CA155" s="37">
        <f>IF(BR155="","",IF(BR155&gt;40.5,1,0))</f>
        <v/>
      </c>
      <c r="CB155" s="37">
        <f>IF(BR155="","",IF(BR155&gt;60,1,0))</f>
        <v/>
      </c>
      <c r="CC155" s="37">
        <f>IF(BR155="","",IF(BR155&gt;67,1,0))</f>
        <v/>
      </c>
      <c r="CD155" s="37">
        <f>IF(BT155="","",IF(BT155&lt;=30,1,0))</f>
        <v/>
      </c>
      <c r="CE155" s="37">
        <f>IF(BQ155="","",IF(BQ155&lt;=28,1,0))</f>
        <v/>
      </c>
      <c r="CF155" s="37">
        <f>IF(OR(BV155="",BE155&lt;&gt;"ניתוח"),"",IF(BV155&lt;=30,1,0))</f>
        <v/>
      </c>
      <c r="CG155" s="37">
        <f>IF(BU155="","",IF(BU155&lt;=56,1,0))</f>
        <v/>
      </c>
      <c r="CH155" s="37">
        <f>IF(BW155="","",IF(BW155&lt;=42,1,0))</f>
        <v/>
      </c>
      <c r="CI155" s="37">
        <f>IF(BX155="","",IF(BX155&lt;=100,1,0))</f>
        <v/>
      </c>
      <c r="CJ155" s="33">
        <f>IF(A155="","",COUNTIF(Delays!$B$5:$B$404,A155))</f>
        <v/>
      </c>
      <c r="CK155" s="35" t="n"/>
    </row>
    <row r="156">
      <c r="A156" s="33">
        <f>IF(OR(B156="",C156="",D156="",AX156=""),"","RET-"&amp;RIGHT(YEAR(AX156),2)&amp;"-"&amp;TEXT(B156,"000")&amp;"-"&amp;C156&amp;"-"&amp;D156&amp;"-"&amp;TEXT(MONTH(AX156),"00"))</f>
        <v/>
      </c>
      <c r="B156" s="34" t="n">
        <v>151</v>
      </c>
      <c r="C156" s="35" t="n"/>
      <c r="D156" s="35" t="n"/>
      <c r="E156" s="33">
        <f>IF(AX156="","",YEAR(AX156))</f>
        <v/>
      </c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6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7">
        <f>IF(Y156="","",IF(OR(Y156="III",Y156="IV",Y156="IVA",Y156="IVB",Y156="IVC"),1,0))</f>
        <v/>
      </c>
      <c r="AA156" s="35" t="n"/>
      <c r="AB156" s="35" t="n"/>
      <c r="AC156" s="35" t="n"/>
      <c r="AD156" s="35" t="n"/>
      <c r="AE156" s="35" t="n"/>
      <c r="AF156" s="35" t="n"/>
      <c r="AG156" s="35" t="n"/>
      <c r="AH156" s="35" t="n"/>
      <c r="AI156" s="35" t="n"/>
      <c r="AJ156" s="35" t="n"/>
      <c r="AK156" s="35" t="n"/>
      <c r="AL156" s="35" t="n"/>
      <c r="AM156" s="35" t="n"/>
      <c r="AN156" s="35" t="n"/>
      <c r="AO156" s="35" t="n"/>
      <c r="AP156" s="35" t="n"/>
      <c r="AQ156" s="35" t="n"/>
      <c r="AR156" s="35" t="n"/>
      <c r="AS156" s="35" t="n"/>
      <c r="AT156" s="35" t="n"/>
      <c r="AU156" s="38" t="n"/>
      <c r="AV156" s="38" t="n"/>
      <c r="AW156" s="38" t="n"/>
      <c r="AX156" s="38" t="n"/>
      <c r="AY156" s="38" t="n"/>
      <c r="AZ156" s="38" t="n"/>
      <c r="BA156" s="38" t="n"/>
      <c r="BB156" s="38" t="n"/>
      <c r="BC156" s="38" t="n"/>
      <c r="BD156" s="38" t="n"/>
      <c r="BE156" s="35" t="n"/>
      <c r="BF156" s="35" t="n"/>
      <c r="BG156" s="38" t="n"/>
      <c r="BH156" s="38" t="n"/>
      <c r="BI156" s="38" t="n"/>
      <c r="BJ156" s="35" t="n"/>
      <c r="BK156" s="38" t="n"/>
      <c r="BL156" s="33">
        <f>IF(OR(AU156="",AV156=""),"",AV156-AU156)</f>
        <v/>
      </c>
      <c r="BM156" s="33">
        <f>IF(OR(AV156="",AW156=""),"",AW156-AV156)</f>
        <v/>
      </c>
      <c r="BN156" s="33">
        <f>IF(OR(AW156="",AX156=""),"",AX156-AW156)</f>
        <v/>
      </c>
      <c r="BO156" s="33">
        <f>IF(OR(AX156="",BA156=""),"",BA156-AX156)</f>
        <v/>
      </c>
      <c r="BP156" s="33">
        <f>IF(OR(AV156="",BA156=""),"",BA156-AV156)</f>
        <v/>
      </c>
      <c r="BQ156" s="33">
        <f>IF(OR(BB156="",BD156=""),"",BD156-BB156)</f>
        <v/>
      </c>
      <c r="BR156" s="33">
        <f>IF(OR(AX156="",BD156=""),"",BD156-AX156)</f>
        <v/>
      </c>
      <c r="BS156" s="33">
        <f>IF(OR(AW156="",BD156=""),"",BD156-AW156)</f>
        <v/>
      </c>
      <c r="BT156" s="33">
        <f>IF(OR(AV156="",BD156=""),"",BD156-AV156)</f>
        <v/>
      </c>
      <c r="BU156" s="33">
        <f>IF(OR(AU156="",BD156=""),"",BD156-AU156)</f>
        <v/>
      </c>
      <c r="BV156" s="33">
        <f>IF(OR(BB156="",BG156=""),"",BG156-BB156)</f>
        <v/>
      </c>
      <c r="BW156" s="33">
        <f>IF(OR(BG156="",BH156=""),"",BH156-BG156)</f>
        <v/>
      </c>
      <c r="BX156" s="33">
        <f>IF(OR(BG156="",BI156=""),"",BI156-BG156)</f>
        <v/>
      </c>
      <c r="BY156" s="39">
        <f>IF(OR(AX156="",BK156=""),"",ROUND((BK156-AX156)/30.44,1))</f>
        <v/>
      </c>
      <c r="BZ156" s="37">
        <f>IF(BR156="","",IF(BR156&lt;=30,1,0))</f>
        <v/>
      </c>
      <c r="CA156" s="37">
        <f>IF(BR156="","",IF(BR156&gt;40.5,1,0))</f>
        <v/>
      </c>
      <c r="CB156" s="37">
        <f>IF(BR156="","",IF(BR156&gt;60,1,0))</f>
        <v/>
      </c>
      <c r="CC156" s="37">
        <f>IF(BR156="","",IF(BR156&gt;67,1,0))</f>
        <v/>
      </c>
      <c r="CD156" s="37">
        <f>IF(BT156="","",IF(BT156&lt;=30,1,0))</f>
        <v/>
      </c>
      <c r="CE156" s="37">
        <f>IF(BQ156="","",IF(BQ156&lt;=28,1,0))</f>
        <v/>
      </c>
      <c r="CF156" s="37">
        <f>IF(OR(BV156="",BE156&lt;&gt;"ניתוח"),"",IF(BV156&lt;=30,1,0))</f>
        <v/>
      </c>
      <c r="CG156" s="37">
        <f>IF(BU156="","",IF(BU156&lt;=56,1,0))</f>
        <v/>
      </c>
      <c r="CH156" s="37">
        <f>IF(BW156="","",IF(BW156&lt;=42,1,0))</f>
        <v/>
      </c>
      <c r="CI156" s="37">
        <f>IF(BX156="","",IF(BX156&lt;=100,1,0))</f>
        <v/>
      </c>
      <c r="CJ156" s="33">
        <f>IF(A156="","",COUNTIF(Delays!$B$5:$B$404,A156))</f>
        <v/>
      </c>
      <c r="CK156" s="35" t="n"/>
    </row>
    <row r="157">
      <c r="A157" s="33">
        <f>IF(OR(B157="",C157="",D157="",AX157=""),"","RET-"&amp;RIGHT(YEAR(AX157),2)&amp;"-"&amp;TEXT(B157,"000")&amp;"-"&amp;C157&amp;"-"&amp;D157&amp;"-"&amp;TEXT(MONTH(AX157),"00"))</f>
        <v/>
      </c>
      <c r="B157" s="34" t="n">
        <v>152</v>
      </c>
      <c r="C157" s="35" t="n"/>
      <c r="D157" s="35" t="n"/>
      <c r="E157" s="33">
        <f>IF(AX157="","",YEAR(AX157))</f>
        <v/>
      </c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6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7">
        <f>IF(Y157="","",IF(OR(Y157="III",Y157="IV",Y157="IVA",Y157="IVB",Y157="IVC"),1,0))</f>
        <v/>
      </c>
      <c r="AA157" s="35" t="n"/>
      <c r="AB157" s="35" t="n"/>
      <c r="AC157" s="35" t="n"/>
      <c r="AD157" s="35" t="n"/>
      <c r="AE157" s="35" t="n"/>
      <c r="AF157" s="35" t="n"/>
      <c r="AG157" s="35" t="n"/>
      <c r="AH157" s="35" t="n"/>
      <c r="AI157" s="35" t="n"/>
      <c r="AJ157" s="35" t="n"/>
      <c r="AK157" s="35" t="n"/>
      <c r="AL157" s="35" t="n"/>
      <c r="AM157" s="35" t="n"/>
      <c r="AN157" s="35" t="n"/>
      <c r="AO157" s="35" t="n"/>
      <c r="AP157" s="35" t="n"/>
      <c r="AQ157" s="35" t="n"/>
      <c r="AR157" s="35" t="n"/>
      <c r="AS157" s="35" t="n"/>
      <c r="AT157" s="35" t="n"/>
      <c r="AU157" s="38" t="n"/>
      <c r="AV157" s="38" t="n"/>
      <c r="AW157" s="38" t="n"/>
      <c r="AX157" s="38" t="n"/>
      <c r="AY157" s="38" t="n"/>
      <c r="AZ157" s="38" t="n"/>
      <c r="BA157" s="38" t="n"/>
      <c r="BB157" s="38" t="n"/>
      <c r="BC157" s="38" t="n"/>
      <c r="BD157" s="38" t="n"/>
      <c r="BE157" s="35" t="n"/>
      <c r="BF157" s="35" t="n"/>
      <c r="BG157" s="38" t="n"/>
      <c r="BH157" s="38" t="n"/>
      <c r="BI157" s="38" t="n"/>
      <c r="BJ157" s="35" t="n"/>
      <c r="BK157" s="38" t="n"/>
      <c r="BL157" s="33">
        <f>IF(OR(AU157="",AV157=""),"",AV157-AU157)</f>
        <v/>
      </c>
      <c r="BM157" s="33">
        <f>IF(OR(AV157="",AW157=""),"",AW157-AV157)</f>
        <v/>
      </c>
      <c r="BN157" s="33">
        <f>IF(OR(AW157="",AX157=""),"",AX157-AW157)</f>
        <v/>
      </c>
      <c r="BO157" s="33">
        <f>IF(OR(AX157="",BA157=""),"",BA157-AX157)</f>
        <v/>
      </c>
      <c r="BP157" s="33">
        <f>IF(OR(AV157="",BA157=""),"",BA157-AV157)</f>
        <v/>
      </c>
      <c r="BQ157" s="33">
        <f>IF(OR(BB157="",BD157=""),"",BD157-BB157)</f>
        <v/>
      </c>
      <c r="BR157" s="33">
        <f>IF(OR(AX157="",BD157=""),"",BD157-AX157)</f>
        <v/>
      </c>
      <c r="BS157" s="33">
        <f>IF(OR(AW157="",BD157=""),"",BD157-AW157)</f>
        <v/>
      </c>
      <c r="BT157" s="33">
        <f>IF(OR(AV157="",BD157=""),"",BD157-AV157)</f>
        <v/>
      </c>
      <c r="BU157" s="33">
        <f>IF(OR(AU157="",BD157=""),"",BD157-AU157)</f>
        <v/>
      </c>
      <c r="BV157" s="33">
        <f>IF(OR(BB157="",BG157=""),"",BG157-BB157)</f>
        <v/>
      </c>
      <c r="BW157" s="33">
        <f>IF(OR(BG157="",BH157=""),"",BH157-BG157)</f>
        <v/>
      </c>
      <c r="BX157" s="33">
        <f>IF(OR(BG157="",BI157=""),"",BI157-BG157)</f>
        <v/>
      </c>
      <c r="BY157" s="39">
        <f>IF(OR(AX157="",BK157=""),"",ROUND((BK157-AX157)/30.44,1))</f>
        <v/>
      </c>
      <c r="BZ157" s="37">
        <f>IF(BR157="","",IF(BR157&lt;=30,1,0))</f>
        <v/>
      </c>
      <c r="CA157" s="37">
        <f>IF(BR157="","",IF(BR157&gt;40.5,1,0))</f>
        <v/>
      </c>
      <c r="CB157" s="37">
        <f>IF(BR157="","",IF(BR157&gt;60,1,0))</f>
        <v/>
      </c>
      <c r="CC157" s="37">
        <f>IF(BR157="","",IF(BR157&gt;67,1,0))</f>
        <v/>
      </c>
      <c r="CD157" s="37">
        <f>IF(BT157="","",IF(BT157&lt;=30,1,0))</f>
        <v/>
      </c>
      <c r="CE157" s="37">
        <f>IF(BQ157="","",IF(BQ157&lt;=28,1,0))</f>
        <v/>
      </c>
      <c r="CF157" s="37">
        <f>IF(OR(BV157="",BE157&lt;&gt;"ניתוח"),"",IF(BV157&lt;=30,1,0))</f>
        <v/>
      </c>
      <c r="CG157" s="37">
        <f>IF(BU157="","",IF(BU157&lt;=56,1,0))</f>
        <v/>
      </c>
      <c r="CH157" s="37">
        <f>IF(BW157="","",IF(BW157&lt;=42,1,0))</f>
        <v/>
      </c>
      <c r="CI157" s="37">
        <f>IF(BX157="","",IF(BX157&lt;=100,1,0))</f>
        <v/>
      </c>
      <c r="CJ157" s="33">
        <f>IF(A157="","",COUNTIF(Delays!$B$5:$B$404,A157))</f>
        <v/>
      </c>
      <c r="CK157" s="35" t="n"/>
    </row>
    <row r="158">
      <c r="A158" s="33">
        <f>IF(OR(B158="",C158="",D158="",AX158=""),"","RET-"&amp;RIGHT(YEAR(AX158),2)&amp;"-"&amp;TEXT(B158,"000")&amp;"-"&amp;C158&amp;"-"&amp;D158&amp;"-"&amp;TEXT(MONTH(AX158),"00"))</f>
        <v/>
      </c>
      <c r="B158" s="34" t="n">
        <v>153</v>
      </c>
      <c r="C158" s="35" t="n"/>
      <c r="D158" s="35" t="n"/>
      <c r="E158" s="33">
        <f>IF(AX158="","",YEAR(AX158))</f>
        <v/>
      </c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6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7">
        <f>IF(Y158="","",IF(OR(Y158="III",Y158="IV",Y158="IVA",Y158="IVB",Y158="IVC"),1,0))</f>
        <v/>
      </c>
      <c r="AA158" s="35" t="n"/>
      <c r="AB158" s="35" t="n"/>
      <c r="AC158" s="35" t="n"/>
      <c r="AD158" s="35" t="n"/>
      <c r="AE158" s="35" t="n"/>
      <c r="AF158" s="35" t="n"/>
      <c r="AG158" s="35" t="n"/>
      <c r="AH158" s="35" t="n"/>
      <c r="AI158" s="35" t="n"/>
      <c r="AJ158" s="35" t="n"/>
      <c r="AK158" s="35" t="n"/>
      <c r="AL158" s="35" t="n"/>
      <c r="AM158" s="35" t="n"/>
      <c r="AN158" s="35" t="n"/>
      <c r="AO158" s="35" t="n"/>
      <c r="AP158" s="35" t="n"/>
      <c r="AQ158" s="35" t="n"/>
      <c r="AR158" s="35" t="n"/>
      <c r="AS158" s="35" t="n"/>
      <c r="AT158" s="35" t="n"/>
      <c r="AU158" s="38" t="n"/>
      <c r="AV158" s="38" t="n"/>
      <c r="AW158" s="38" t="n"/>
      <c r="AX158" s="38" t="n"/>
      <c r="AY158" s="38" t="n"/>
      <c r="AZ158" s="38" t="n"/>
      <c r="BA158" s="38" t="n"/>
      <c r="BB158" s="38" t="n"/>
      <c r="BC158" s="38" t="n"/>
      <c r="BD158" s="38" t="n"/>
      <c r="BE158" s="35" t="n"/>
      <c r="BF158" s="35" t="n"/>
      <c r="BG158" s="38" t="n"/>
      <c r="BH158" s="38" t="n"/>
      <c r="BI158" s="38" t="n"/>
      <c r="BJ158" s="35" t="n"/>
      <c r="BK158" s="38" t="n"/>
      <c r="BL158" s="33">
        <f>IF(OR(AU158="",AV158=""),"",AV158-AU158)</f>
        <v/>
      </c>
      <c r="BM158" s="33">
        <f>IF(OR(AV158="",AW158=""),"",AW158-AV158)</f>
        <v/>
      </c>
      <c r="BN158" s="33">
        <f>IF(OR(AW158="",AX158=""),"",AX158-AW158)</f>
        <v/>
      </c>
      <c r="BO158" s="33">
        <f>IF(OR(AX158="",BA158=""),"",BA158-AX158)</f>
        <v/>
      </c>
      <c r="BP158" s="33">
        <f>IF(OR(AV158="",BA158=""),"",BA158-AV158)</f>
        <v/>
      </c>
      <c r="BQ158" s="33">
        <f>IF(OR(BB158="",BD158=""),"",BD158-BB158)</f>
        <v/>
      </c>
      <c r="BR158" s="33">
        <f>IF(OR(AX158="",BD158=""),"",BD158-AX158)</f>
        <v/>
      </c>
      <c r="BS158" s="33">
        <f>IF(OR(AW158="",BD158=""),"",BD158-AW158)</f>
        <v/>
      </c>
      <c r="BT158" s="33">
        <f>IF(OR(AV158="",BD158=""),"",BD158-AV158)</f>
        <v/>
      </c>
      <c r="BU158" s="33">
        <f>IF(OR(AU158="",BD158=""),"",BD158-AU158)</f>
        <v/>
      </c>
      <c r="BV158" s="33">
        <f>IF(OR(BB158="",BG158=""),"",BG158-BB158)</f>
        <v/>
      </c>
      <c r="BW158" s="33">
        <f>IF(OR(BG158="",BH158=""),"",BH158-BG158)</f>
        <v/>
      </c>
      <c r="BX158" s="33">
        <f>IF(OR(BG158="",BI158=""),"",BI158-BG158)</f>
        <v/>
      </c>
      <c r="BY158" s="39">
        <f>IF(OR(AX158="",BK158=""),"",ROUND((BK158-AX158)/30.44,1))</f>
        <v/>
      </c>
      <c r="BZ158" s="37">
        <f>IF(BR158="","",IF(BR158&lt;=30,1,0))</f>
        <v/>
      </c>
      <c r="CA158" s="37">
        <f>IF(BR158="","",IF(BR158&gt;40.5,1,0))</f>
        <v/>
      </c>
      <c r="CB158" s="37">
        <f>IF(BR158="","",IF(BR158&gt;60,1,0))</f>
        <v/>
      </c>
      <c r="CC158" s="37">
        <f>IF(BR158="","",IF(BR158&gt;67,1,0))</f>
        <v/>
      </c>
      <c r="CD158" s="37">
        <f>IF(BT158="","",IF(BT158&lt;=30,1,0))</f>
        <v/>
      </c>
      <c r="CE158" s="37">
        <f>IF(BQ158="","",IF(BQ158&lt;=28,1,0))</f>
        <v/>
      </c>
      <c r="CF158" s="37">
        <f>IF(OR(BV158="",BE158&lt;&gt;"ניתוח"),"",IF(BV158&lt;=30,1,0))</f>
        <v/>
      </c>
      <c r="CG158" s="37">
        <f>IF(BU158="","",IF(BU158&lt;=56,1,0))</f>
        <v/>
      </c>
      <c r="CH158" s="37">
        <f>IF(BW158="","",IF(BW158&lt;=42,1,0))</f>
        <v/>
      </c>
      <c r="CI158" s="37">
        <f>IF(BX158="","",IF(BX158&lt;=100,1,0))</f>
        <v/>
      </c>
      <c r="CJ158" s="33">
        <f>IF(A158="","",COUNTIF(Delays!$B$5:$B$404,A158))</f>
        <v/>
      </c>
      <c r="CK158" s="35" t="n"/>
    </row>
    <row r="159">
      <c r="A159" s="33">
        <f>IF(OR(B159="",C159="",D159="",AX159=""),"","RET-"&amp;RIGHT(YEAR(AX159),2)&amp;"-"&amp;TEXT(B159,"000")&amp;"-"&amp;C159&amp;"-"&amp;D159&amp;"-"&amp;TEXT(MONTH(AX159),"00"))</f>
        <v/>
      </c>
      <c r="B159" s="34" t="n">
        <v>154</v>
      </c>
      <c r="C159" s="35" t="n"/>
      <c r="D159" s="35" t="n"/>
      <c r="E159" s="33">
        <f>IF(AX159="","",YEAR(AX159))</f>
        <v/>
      </c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6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7">
        <f>IF(Y159="","",IF(OR(Y159="III",Y159="IV",Y159="IVA",Y159="IVB",Y159="IVC"),1,0))</f>
        <v/>
      </c>
      <c r="AA159" s="35" t="n"/>
      <c r="AB159" s="35" t="n"/>
      <c r="AC159" s="35" t="n"/>
      <c r="AD159" s="35" t="n"/>
      <c r="AE159" s="35" t="n"/>
      <c r="AF159" s="35" t="n"/>
      <c r="AG159" s="35" t="n"/>
      <c r="AH159" s="35" t="n"/>
      <c r="AI159" s="35" t="n"/>
      <c r="AJ159" s="35" t="n"/>
      <c r="AK159" s="35" t="n"/>
      <c r="AL159" s="35" t="n"/>
      <c r="AM159" s="35" t="n"/>
      <c r="AN159" s="35" t="n"/>
      <c r="AO159" s="35" t="n"/>
      <c r="AP159" s="35" t="n"/>
      <c r="AQ159" s="35" t="n"/>
      <c r="AR159" s="35" t="n"/>
      <c r="AS159" s="35" t="n"/>
      <c r="AT159" s="35" t="n"/>
      <c r="AU159" s="38" t="n"/>
      <c r="AV159" s="38" t="n"/>
      <c r="AW159" s="38" t="n"/>
      <c r="AX159" s="38" t="n"/>
      <c r="AY159" s="38" t="n"/>
      <c r="AZ159" s="38" t="n"/>
      <c r="BA159" s="38" t="n"/>
      <c r="BB159" s="38" t="n"/>
      <c r="BC159" s="38" t="n"/>
      <c r="BD159" s="38" t="n"/>
      <c r="BE159" s="35" t="n"/>
      <c r="BF159" s="35" t="n"/>
      <c r="BG159" s="38" t="n"/>
      <c r="BH159" s="38" t="n"/>
      <c r="BI159" s="38" t="n"/>
      <c r="BJ159" s="35" t="n"/>
      <c r="BK159" s="38" t="n"/>
      <c r="BL159" s="33">
        <f>IF(OR(AU159="",AV159=""),"",AV159-AU159)</f>
        <v/>
      </c>
      <c r="BM159" s="33">
        <f>IF(OR(AV159="",AW159=""),"",AW159-AV159)</f>
        <v/>
      </c>
      <c r="BN159" s="33">
        <f>IF(OR(AW159="",AX159=""),"",AX159-AW159)</f>
        <v/>
      </c>
      <c r="BO159" s="33">
        <f>IF(OR(AX159="",BA159=""),"",BA159-AX159)</f>
        <v/>
      </c>
      <c r="BP159" s="33">
        <f>IF(OR(AV159="",BA159=""),"",BA159-AV159)</f>
        <v/>
      </c>
      <c r="BQ159" s="33">
        <f>IF(OR(BB159="",BD159=""),"",BD159-BB159)</f>
        <v/>
      </c>
      <c r="BR159" s="33">
        <f>IF(OR(AX159="",BD159=""),"",BD159-AX159)</f>
        <v/>
      </c>
      <c r="BS159" s="33">
        <f>IF(OR(AW159="",BD159=""),"",BD159-AW159)</f>
        <v/>
      </c>
      <c r="BT159" s="33">
        <f>IF(OR(AV159="",BD159=""),"",BD159-AV159)</f>
        <v/>
      </c>
      <c r="BU159" s="33">
        <f>IF(OR(AU159="",BD159=""),"",BD159-AU159)</f>
        <v/>
      </c>
      <c r="BV159" s="33">
        <f>IF(OR(BB159="",BG159=""),"",BG159-BB159)</f>
        <v/>
      </c>
      <c r="BW159" s="33">
        <f>IF(OR(BG159="",BH159=""),"",BH159-BG159)</f>
        <v/>
      </c>
      <c r="BX159" s="33">
        <f>IF(OR(BG159="",BI159=""),"",BI159-BG159)</f>
        <v/>
      </c>
      <c r="BY159" s="39">
        <f>IF(OR(AX159="",BK159=""),"",ROUND((BK159-AX159)/30.44,1))</f>
        <v/>
      </c>
      <c r="BZ159" s="37">
        <f>IF(BR159="","",IF(BR159&lt;=30,1,0))</f>
        <v/>
      </c>
      <c r="CA159" s="37">
        <f>IF(BR159="","",IF(BR159&gt;40.5,1,0))</f>
        <v/>
      </c>
      <c r="CB159" s="37">
        <f>IF(BR159="","",IF(BR159&gt;60,1,0))</f>
        <v/>
      </c>
      <c r="CC159" s="37">
        <f>IF(BR159="","",IF(BR159&gt;67,1,0))</f>
        <v/>
      </c>
      <c r="CD159" s="37">
        <f>IF(BT159="","",IF(BT159&lt;=30,1,0))</f>
        <v/>
      </c>
      <c r="CE159" s="37">
        <f>IF(BQ159="","",IF(BQ159&lt;=28,1,0))</f>
        <v/>
      </c>
      <c r="CF159" s="37">
        <f>IF(OR(BV159="",BE159&lt;&gt;"ניתוח"),"",IF(BV159&lt;=30,1,0))</f>
        <v/>
      </c>
      <c r="CG159" s="37">
        <f>IF(BU159="","",IF(BU159&lt;=56,1,0))</f>
        <v/>
      </c>
      <c r="CH159" s="37">
        <f>IF(BW159="","",IF(BW159&lt;=42,1,0))</f>
        <v/>
      </c>
      <c r="CI159" s="37">
        <f>IF(BX159="","",IF(BX159&lt;=100,1,0))</f>
        <v/>
      </c>
      <c r="CJ159" s="33">
        <f>IF(A159="","",COUNTIF(Delays!$B$5:$B$404,A159))</f>
        <v/>
      </c>
      <c r="CK159" s="35" t="n"/>
    </row>
    <row r="160">
      <c r="A160" s="33">
        <f>IF(OR(B160="",C160="",D160="",AX160=""),"","RET-"&amp;RIGHT(YEAR(AX160),2)&amp;"-"&amp;TEXT(B160,"000")&amp;"-"&amp;C160&amp;"-"&amp;D160&amp;"-"&amp;TEXT(MONTH(AX160),"00"))</f>
        <v/>
      </c>
      <c r="B160" s="34" t="n">
        <v>155</v>
      </c>
      <c r="C160" s="35" t="n"/>
      <c r="D160" s="35" t="n"/>
      <c r="E160" s="33">
        <f>IF(AX160="","",YEAR(AX160))</f>
        <v/>
      </c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6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7">
        <f>IF(Y160="","",IF(OR(Y160="III",Y160="IV",Y160="IVA",Y160="IVB",Y160="IVC"),1,0))</f>
        <v/>
      </c>
      <c r="AA160" s="35" t="n"/>
      <c r="AB160" s="35" t="n"/>
      <c r="AC160" s="35" t="n"/>
      <c r="AD160" s="35" t="n"/>
      <c r="AE160" s="35" t="n"/>
      <c r="AF160" s="35" t="n"/>
      <c r="AG160" s="35" t="n"/>
      <c r="AH160" s="35" t="n"/>
      <c r="AI160" s="35" t="n"/>
      <c r="AJ160" s="35" t="n"/>
      <c r="AK160" s="35" t="n"/>
      <c r="AL160" s="35" t="n"/>
      <c r="AM160" s="35" t="n"/>
      <c r="AN160" s="35" t="n"/>
      <c r="AO160" s="35" t="n"/>
      <c r="AP160" s="35" t="n"/>
      <c r="AQ160" s="35" t="n"/>
      <c r="AR160" s="35" t="n"/>
      <c r="AS160" s="35" t="n"/>
      <c r="AT160" s="35" t="n"/>
      <c r="AU160" s="38" t="n"/>
      <c r="AV160" s="38" t="n"/>
      <c r="AW160" s="38" t="n"/>
      <c r="AX160" s="38" t="n"/>
      <c r="AY160" s="38" t="n"/>
      <c r="AZ160" s="38" t="n"/>
      <c r="BA160" s="38" t="n"/>
      <c r="BB160" s="38" t="n"/>
      <c r="BC160" s="38" t="n"/>
      <c r="BD160" s="38" t="n"/>
      <c r="BE160" s="35" t="n"/>
      <c r="BF160" s="35" t="n"/>
      <c r="BG160" s="38" t="n"/>
      <c r="BH160" s="38" t="n"/>
      <c r="BI160" s="38" t="n"/>
      <c r="BJ160" s="35" t="n"/>
      <c r="BK160" s="38" t="n"/>
      <c r="BL160" s="33">
        <f>IF(OR(AU160="",AV160=""),"",AV160-AU160)</f>
        <v/>
      </c>
      <c r="BM160" s="33">
        <f>IF(OR(AV160="",AW160=""),"",AW160-AV160)</f>
        <v/>
      </c>
      <c r="BN160" s="33">
        <f>IF(OR(AW160="",AX160=""),"",AX160-AW160)</f>
        <v/>
      </c>
      <c r="BO160" s="33">
        <f>IF(OR(AX160="",BA160=""),"",BA160-AX160)</f>
        <v/>
      </c>
      <c r="BP160" s="33">
        <f>IF(OR(AV160="",BA160=""),"",BA160-AV160)</f>
        <v/>
      </c>
      <c r="BQ160" s="33">
        <f>IF(OR(BB160="",BD160=""),"",BD160-BB160)</f>
        <v/>
      </c>
      <c r="BR160" s="33">
        <f>IF(OR(AX160="",BD160=""),"",BD160-AX160)</f>
        <v/>
      </c>
      <c r="BS160" s="33">
        <f>IF(OR(AW160="",BD160=""),"",BD160-AW160)</f>
        <v/>
      </c>
      <c r="BT160" s="33">
        <f>IF(OR(AV160="",BD160=""),"",BD160-AV160)</f>
        <v/>
      </c>
      <c r="BU160" s="33">
        <f>IF(OR(AU160="",BD160=""),"",BD160-AU160)</f>
        <v/>
      </c>
      <c r="BV160" s="33">
        <f>IF(OR(BB160="",BG160=""),"",BG160-BB160)</f>
        <v/>
      </c>
      <c r="BW160" s="33">
        <f>IF(OR(BG160="",BH160=""),"",BH160-BG160)</f>
        <v/>
      </c>
      <c r="BX160" s="33">
        <f>IF(OR(BG160="",BI160=""),"",BI160-BG160)</f>
        <v/>
      </c>
      <c r="BY160" s="39">
        <f>IF(OR(AX160="",BK160=""),"",ROUND((BK160-AX160)/30.44,1))</f>
        <v/>
      </c>
      <c r="BZ160" s="37">
        <f>IF(BR160="","",IF(BR160&lt;=30,1,0))</f>
        <v/>
      </c>
      <c r="CA160" s="37">
        <f>IF(BR160="","",IF(BR160&gt;40.5,1,0))</f>
        <v/>
      </c>
      <c r="CB160" s="37">
        <f>IF(BR160="","",IF(BR160&gt;60,1,0))</f>
        <v/>
      </c>
      <c r="CC160" s="37">
        <f>IF(BR160="","",IF(BR160&gt;67,1,0))</f>
        <v/>
      </c>
      <c r="CD160" s="37">
        <f>IF(BT160="","",IF(BT160&lt;=30,1,0))</f>
        <v/>
      </c>
      <c r="CE160" s="37">
        <f>IF(BQ160="","",IF(BQ160&lt;=28,1,0))</f>
        <v/>
      </c>
      <c r="CF160" s="37">
        <f>IF(OR(BV160="",BE160&lt;&gt;"ניתוח"),"",IF(BV160&lt;=30,1,0))</f>
        <v/>
      </c>
      <c r="CG160" s="37">
        <f>IF(BU160="","",IF(BU160&lt;=56,1,0))</f>
        <v/>
      </c>
      <c r="CH160" s="37">
        <f>IF(BW160="","",IF(BW160&lt;=42,1,0))</f>
        <v/>
      </c>
      <c r="CI160" s="37">
        <f>IF(BX160="","",IF(BX160&lt;=100,1,0))</f>
        <v/>
      </c>
      <c r="CJ160" s="33">
        <f>IF(A160="","",COUNTIF(Delays!$B$5:$B$404,A160))</f>
        <v/>
      </c>
      <c r="CK160" s="35" t="n"/>
    </row>
    <row r="161">
      <c r="A161" s="33">
        <f>IF(OR(B161="",C161="",D161="",AX161=""),"","RET-"&amp;RIGHT(YEAR(AX161),2)&amp;"-"&amp;TEXT(B161,"000")&amp;"-"&amp;C161&amp;"-"&amp;D161&amp;"-"&amp;TEXT(MONTH(AX161),"00"))</f>
        <v/>
      </c>
      <c r="B161" s="34" t="n">
        <v>156</v>
      </c>
      <c r="C161" s="35" t="n"/>
      <c r="D161" s="35" t="n"/>
      <c r="E161" s="33">
        <f>IF(AX161="","",YEAR(AX161))</f>
        <v/>
      </c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6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7">
        <f>IF(Y161="","",IF(OR(Y161="III",Y161="IV",Y161="IVA",Y161="IVB",Y161="IVC"),1,0))</f>
        <v/>
      </c>
      <c r="AA161" s="35" t="n"/>
      <c r="AB161" s="35" t="n"/>
      <c r="AC161" s="35" t="n"/>
      <c r="AD161" s="35" t="n"/>
      <c r="AE161" s="35" t="n"/>
      <c r="AF161" s="35" t="n"/>
      <c r="AG161" s="35" t="n"/>
      <c r="AH161" s="35" t="n"/>
      <c r="AI161" s="35" t="n"/>
      <c r="AJ161" s="35" t="n"/>
      <c r="AK161" s="35" t="n"/>
      <c r="AL161" s="35" t="n"/>
      <c r="AM161" s="35" t="n"/>
      <c r="AN161" s="35" t="n"/>
      <c r="AO161" s="35" t="n"/>
      <c r="AP161" s="35" t="n"/>
      <c r="AQ161" s="35" t="n"/>
      <c r="AR161" s="35" t="n"/>
      <c r="AS161" s="35" t="n"/>
      <c r="AT161" s="35" t="n"/>
      <c r="AU161" s="38" t="n"/>
      <c r="AV161" s="38" t="n"/>
      <c r="AW161" s="38" t="n"/>
      <c r="AX161" s="38" t="n"/>
      <c r="AY161" s="38" t="n"/>
      <c r="AZ161" s="38" t="n"/>
      <c r="BA161" s="38" t="n"/>
      <c r="BB161" s="38" t="n"/>
      <c r="BC161" s="38" t="n"/>
      <c r="BD161" s="38" t="n"/>
      <c r="BE161" s="35" t="n"/>
      <c r="BF161" s="35" t="n"/>
      <c r="BG161" s="38" t="n"/>
      <c r="BH161" s="38" t="n"/>
      <c r="BI161" s="38" t="n"/>
      <c r="BJ161" s="35" t="n"/>
      <c r="BK161" s="38" t="n"/>
      <c r="BL161" s="33">
        <f>IF(OR(AU161="",AV161=""),"",AV161-AU161)</f>
        <v/>
      </c>
      <c r="BM161" s="33">
        <f>IF(OR(AV161="",AW161=""),"",AW161-AV161)</f>
        <v/>
      </c>
      <c r="BN161" s="33">
        <f>IF(OR(AW161="",AX161=""),"",AX161-AW161)</f>
        <v/>
      </c>
      <c r="BO161" s="33">
        <f>IF(OR(AX161="",BA161=""),"",BA161-AX161)</f>
        <v/>
      </c>
      <c r="BP161" s="33">
        <f>IF(OR(AV161="",BA161=""),"",BA161-AV161)</f>
        <v/>
      </c>
      <c r="BQ161" s="33">
        <f>IF(OR(BB161="",BD161=""),"",BD161-BB161)</f>
        <v/>
      </c>
      <c r="BR161" s="33">
        <f>IF(OR(AX161="",BD161=""),"",BD161-AX161)</f>
        <v/>
      </c>
      <c r="BS161" s="33">
        <f>IF(OR(AW161="",BD161=""),"",BD161-AW161)</f>
        <v/>
      </c>
      <c r="BT161" s="33">
        <f>IF(OR(AV161="",BD161=""),"",BD161-AV161)</f>
        <v/>
      </c>
      <c r="BU161" s="33">
        <f>IF(OR(AU161="",BD161=""),"",BD161-AU161)</f>
        <v/>
      </c>
      <c r="BV161" s="33">
        <f>IF(OR(BB161="",BG161=""),"",BG161-BB161)</f>
        <v/>
      </c>
      <c r="BW161" s="33">
        <f>IF(OR(BG161="",BH161=""),"",BH161-BG161)</f>
        <v/>
      </c>
      <c r="BX161" s="33">
        <f>IF(OR(BG161="",BI161=""),"",BI161-BG161)</f>
        <v/>
      </c>
      <c r="BY161" s="39">
        <f>IF(OR(AX161="",BK161=""),"",ROUND((BK161-AX161)/30.44,1))</f>
        <v/>
      </c>
      <c r="BZ161" s="37">
        <f>IF(BR161="","",IF(BR161&lt;=30,1,0))</f>
        <v/>
      </c>
      <c r="CA161" s="37">
        <f>IF(BR161="","",IF(BR161&gt;40.5,1,0))</f>
        <v/>
      </c>
      <c r="CB161" s="37">
        <f>IF(BR161="","",IF(BR161&gt;60,1,0))</f>
        <v/>
      </c>
      <c r="CC161" s="37">
        <f>IF(BR161="","",IF(BR161&gt;67,1,0))</f>
        <v/>
      </c>
      <c r="CD161" s="37">
        <f>IF(BT161="","",IF(BT161&lt;=30,1,0))</f>
        <v/>
      </c>
      <c r="CE161" s="37">
        <f>IF(BQ161="","",IF(BQ161&lt;=28,1,0))</f>
        <v/>
      </c>
      <c r="CF161" s="37">
        <f>IF(OR(BV161="",BE161&lt;&gt;"ניתוח"),"",IF(BV161&lt;=30,1,0))</f>
        <v/>
      </c>
      <c r="CG161" s="37">
        <f>IF(BU161="","",IF(BU161&lt;=56,1,0))</f>
        <v/>
      </c>
      <c r="CH161" s="37">
        <f>IF(BW161="","",IF(BW161&lt;=42,1,0))</f>
        <v/>
      </c>
      <c r="CI161" s="37">
        <f>IF(BX161="","",IF(BX161&lt;=100,1,0))</f>
        <v/>
      </c>
      <c r="CJ161" s="33">
        <f>IF(A161="","",COUNTIF(Delays!$B$5:$B$404,A161))</f>
        <v/>
      </c>
      <c r="CK161" s="35" t="n"/>
    </row>
    <row r="162">
      <c r="A162" s="33">
        <f>IF(OR(B162="",C162="",D162="",AX162=""),"","RET-"&amp;RIGHT(YEAR(AX162),2)&amp;"-"&amp;TEXT(B162,"000")&amp;"-"&amp;C162&amp;"-"&amp;D162&amp;"-"&amp;TEXT(MONTH(AX162),"00"))</f>
        <v/>
      </c>
      <c r="B162" s="34" t="n">
        <v>157</v>
      </c>
      <c r="C162" s="35" t="n"/>
      <c r="D162" s="35" t="n"/>
      <c r="E162" s="33">
        <f>IF(AX162="","",YEAR(AX162))</f>
        <v/>
      </c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6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7">
        <f>IF(Y162="","",IF(OR(Y162="III",Y162="IV",Y162="IVA",Y162="IVB",Y162="IVC"),1,0))</f>
        <v/>
      </c>
      <c r="AA162" s="35" t="n"/>
      <c r="AB162" s="35" t="n"/>
      <c r="AC162" s="35" t="n"/>
      <c r="AD162" s="35" t="n"/>
      <c r="AE162" s="35" t="n"/>
      <c r="AF162" s="35" t="n"/>
      <c r="AG162" s="35" t="n"/>
      <c r="AH162" s="35" t="n"/>
      <c r="AI162" s="35" t="n"/>
      <c r="AJ162" s="35" t="n"/>
      <c r="AK162" s="35" t="n"/>
      <c r="AL162" s="35" t="n"/>
      <c r="AM162" s="35" t="n"/>
      <c r="AN162" s="35" t="n"/>
      <c r="AO162" s="35" t="n"/>
      <c r="AP162" s="35" t="n"/>
      <c r="AQ162" s="35" t="n"/>
      <c r="AR162" s="35" t="n"/>
      <c r="AS162" s="35" t="n"/>
      <c r="AT162" s="35" t="n"/>
      <c r="AU162" s="38" t="n"/>
      <c r="AV162" s="38" t="n"/>
      <c r="AW162" s="38" t="n"/>
      <c r="AX162" s="38" t="n"/>
      <c r="AY162" s="38" t="n"/>
      <c r="AZ162" s="38" t="n"/>
      <c r="BA162" s="38" t="n"/>
      <c r="BB162" s="38" t="n"/>
      <c r="BC162" s="38" t="n"/>
      <c r="BD162" s="38" t="n"/>
      <c r="BE162" s="35" t="n"/>
      <c r="BF162" s="35" t="n"/>
      <c r="BG162" s="38" t="n"/>
      <c r="BH162" s="38" t="n"/>
      <c r="BI162" s="38" t="n"/>
      <c r="BJ162" s="35" t="n"/>
      <c r="BK162" s="38" t="n"/>
      <c r="BL162" s="33">
        <f>IF(OR(AU162="",AV162=""),"",AV162-AU162)</f>
        <v/>
      </c>
      <c r="BM162" s="33">
        <f>IF(OR(AV162="",AW162=""),"",AW162-AV162)</f>
        <v/>
      </c>
      <c r="BN162" s="33">
        <f>IF(OR(AW162="",AX162=""),"",AX162-AW162)</f>
        <v/>
      </c>
      <c r="BO162" s="33">
        <f>IF(OR(AX162="",BA162=""),"",BA162-AX162)</f>
        <v/>
      </c>
      <c r="BP162" s="33">
        <f>IF(OR(AV162="",BA162=""),"",BA162-AV162)</f>
        <v/>
      </c>
      <c r="BQ162" s="33">
        <f>IF(OR(BB162="",BD162=""),"",BD162-BB162)</f>
        <v/>
      </c>
      <c r="BR162" s="33">
        <f>IF(OR(AX162="",BD162=""),"",BD162-AX162)</f>
        <v/>
      </c>
      <c r="BS162" s="33">
        <f>IF(OR(AW162="",BD162=""),"",BD162-AW162)</f>
        <v/>
      </c>
      <c r="BT162" s="33">
        <f>IF(OR(AV162="",BD162=""),"",BD162-AV162)</f>
        <v/>
      </c>
      <c r="BU162" s="33">
        <f>IF(OR(AU162="",BD162=""),"",BD162-AU162)</f>
        <v/>
      </c>
      <c r="BV162" s="33">
        <f>IF(OR(BB162="",BG162=""),"",BG162-BB162)</f>
        <v/>
      </c>
      <c r="BW162" s="33">
        <f>IF(OR(BG162="",BH162=""),"",BH162-BG162)</f>
        <v/>
      </c>
      <c r="BX162" s="33">
        <f>IF(OR(BG162="",BI162=""),"",BI162-BG162)</f>
        <v/>
      </c>
      <c r="BY162" s="39">
        <f>IF(OR(AX162="",BK162=""),"",ROUND((BK162-AX162)/30.44,1))</f>
        <v/>
      </c>
      <c r="BZ162" s="37">
        <f>IF(BR162="","",IF(BR162&lt;=30,1,0))</f>
        <v/>
      </c>
      <c r="CA162" s="37">
        <f>IF(BR162="","",IF(BR162&gt;40.5,1,0))</f>
        <v/>
      </c>
      <c r="CB162" s="37">
        <f>IF(BR162="","",IF(BR162&gt;60,1,0))</f>
        <v/>
      </c>
      <c r="CC162" s="37">
        <f>IF(BR162="","",IF(BR162&gt;67,1,0))</f>
        <v/>
      </c>
      <c r="CD162" s="37">
        <f>IF(BT162="","",IF(BT162&lt;=30,1,0))</f>
        <v/>
      </c>
      <c r="CE162" s="37">
        <f>IF(BQ162="","",IF(BQ162&lt;=28,1,0))</f>
        <v/>
      </c>
      <c r="CF162" s="37">
        <f>IF(OR(BV162="",BE162&lt;&gt;"ניתוח"),"",IF(BV162&lt;=30,1,0))</f>
        <v/>
      </c>
      <c r="CG162" s="37">
        <f>IF(BU162="","",IF(BU162&lt;=56,1,0))</f>
        <v/>
      </c>
      <c r="CH162" s="37">
        <f>IF(BW162="","",IF(BW162&lt;=42,1,0))</f>
        <v/>
      </c>
      <c r="CI162" s="37">
        <f>IF(BX162="","",IF(BX162&lt;=100,1,0))</f>
        <v/>
      </c>
      <c r="CJ162" s="33">
        <f>IF(A162="","",COUNTIF(Delays!$B$5:$B$404,A162))</f>
        <v/>
      </c>
      <c r="CK162" s="35" t="n"/>
    </row>
    <row r="163">
      <c r="A163" s="33">
        <f>IF(OR(B163="",C163="",D163="",AX163=""),"","RET-"&amp;RIGHT(YEAR(AX163),2)&amp;"-"&amp;TEXT(B163,"000")&amp;"-"&amp;C163&amp;"-"&amp;D163&amp;"-"&amp;TEXT(MONTH(AX163),"00"))</f>
        <v/>
      </c>
      <c r="B163" s="34" t="n">
        <v>158</v>
      </c>
      <c r="C163" s="35" t="n"/>
      <c r="D163" s="35" t="n"/>
      <c r="E163" s="33">
        <f>IF(AX163="","",YEAR(AX163))</f>
        <v/>
      </c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6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7">
        <f>IF(Y163="","",IF(OR(Y163="III",Y163="IV",Y163="IVA",Y163="IVB",Y163="IVC"),1,0))</f>
        <v/>
      </c>
      <c r="AA163" s="35" t="n"/>
      <c r="AB163" s="35" t="n"/>
      <c r="AC163" s="35" t="n"/>
      <c r="AD163" s="35" t="n"/>
      <c r="AE163" s="35" t="n"/>
      <c r="AF163" s="35" t="n"/>
      <c r="AG163" s="35" t="n"/>
      <c r="AH163" s="35" t="n"/>
      <c r="AI163" s="35" t="n"/>
      <c r="AJ163" s="35" t="n"/>
      <c r="AK163" s="35" t="n"/>
      <c r="AL163" s="35" t="n"/>
      <c r="AM163" s="35" t="n"/>
      <c r="AN163" s="35" t="n"/>
      <c r="AO163" s="35" t="n"/>
      <c r="AP163" s="35" t="n"/>
      <c r="AQ163" s="35" t="n"/>
      <c r="AR163" s="35" t="n"/>
      <c r="AS163" s="35" t="n"/>
      <c r="AT163" s="35" t="n"/>
      <c r="AU163" s="38" t="n"/>
      <c r="AV163" s="38" t="n"/>
      <c r="AW163" s="38" t="n"/>
      <c r="AX163" s="38" t="n"/>
      <c r="AY163" s="38" t="n"/>
      <c r="AZ163" s="38" t="n"/>
      <c r="BA163" s="38" t="n"/>
      <c r="BB163" s="38" t="n"/>
      <c r="BC163" s="38" t="n"/>
      <c r="BD163" s="38" t="n"/>
      <c r="BE163" s="35" t="n"/>
      <c r="BF163" s="35" t="n"/>
      <c r="BG163" s="38" t="n"/>
      <c r="BH163" s="38" t="n"/>
      <c r="BI163" s="38" t="n"/>
      <c r="BJ163" s="35" t="n"/>
      <c r="BK163" s="38" t="n"/>
      <c r="BL163" s="33">
        <f>IF(OR(AU163="",AV163=""),"",AV163-AU163)</f>
        <v/>
      </c>
      <c r="BM163" s="33">
        <f>IF(OR(AV163="",AW163=""),"",AW163-AV163)</f>
        <v/>
      </c>
      <c r="BN163" s="33">
        <f>IF(OR(AW163="",AX163=""),"",AX163-AW163)</f>
        <v/>
      </c>
      <c r="BO163" s="33">
        <f>IF(OR(AX163="",BA163=""),"",BA163-AX163)</f>
        <v/>
      </c>
      <c r="BP163" s="33">
        <f>IF(OR(AV163="",BA163=""),"",BA163-AV163)</f>
        <v/>
      </c>
      <c r="BQ163" s="33">
        <f>IF(OR(BB163="",BD163=""),"",BD163-BB163)</f>
        <v/>
      </c>
      <c r="BR163" s="33">
        <f>IF(OR(AX163="",BD163=""),"",BD163-AX163)</f>
        <v/>
      </c>
      <c r="BS163" s="33">
        <f>IF(OR(AW163="",BD163=""),"",BD163-AW163)</f>
        <v/>
      </c>
      <c r="BT163" s="33">
        <f>IF(OR(AV163="",BD163=""),"",BD163-AV163)</f>
        <v/>
      </c>
      <c r="BU163" s="33">
        <f>IF(OR(AU163="",BD163=""),"",BD163-AU163)</f>
        <v/>
      </c>
      <c r="BV163" s="33">
        <f>IF(OR(BB163="",BG163=""),"",BG163-BB163)</f>
        <v/>
      </c>
      <c r="BW163" s="33">
        <f>IF(OR(BG163="",BH163=""),"",BH163-BG163)</f>
        <v/>
      </c>
      <c r="BX163" s="33">
        <f>IF(OR(BG163="",BI163=""),"",BI163-BG163)</f>
        <v/>
      </c>
      <c r="BY163" s="39">
        <f>IF(OR(AX163="",BK163=""),"",ROUND((BK163-AX163)/30.44,1))</f>
        <v/>
      </c>
      <c r="BZ163" s="37">
        <f>IF(BR163="","",IF(BR163&lt;=30,1,0))</f>
        <v/>
      </c>
      <c r="CA163" s="37">
        <f>IF(BR163="","",IF(BR163&gt;40.5,1,0))</f>
        <v/>
      </c>
      <c r="CB163" s="37">
        <f>IF(BR163="","",IF(BR163&gt;60,1,0))</f>
        <v/>
      </c>
      <c r="CC163" s="37">
        <f>IF(BR163="","",IF(BR163&gt;67,1,0))</f>
        <v/>
      </c>
      <c r="CD163" s="37">
        <f>IF(BT163="","",IF(BT163&lt;=30,1,0))</f>
        <v/>
      </c>
      <c r="CE163" s="37">
        <f>IF(BQ163="","",IF(BQ163&lt;=28,1,0))</f>
        <v/>
      </c>
      <c r="CF163" s="37">
        <f>IF(OR(BV163="",BE163&lt;&gt;"ניתוח"),"",IF(BV163&lt;=30,1,0))</f>
        <v/>
      </c>
      <c r="CG163" s="37">
        <f>IF(BU163="","",IF(BU163&lt;=56,1,0))</f>
        <v/>
      </c>
      <c r="CH163" s="37">
        <f>IF(BW163="","",IF(BW163&lt;=42,1,0))</f>
        <v/>
      </c>
      <c r="CI163" s="37">
        <f>IF(BX163="","",IF(BX163&lt;=100,1,0))</f>
        <v/>
      </c>
      <c r="CJ163" s="33">
        <f>IF(A163="","",COUNTIF(Delays!$B$5:$B$404,A163))</f>
        <v/>
      </c>
      <c r="CK163" s="35" t="n"/>
    </row>
    <row r="164">
      <c r="A164" s="33">
        <f>IF(OR(B164="",C164="",D164="",AX164=""),"","RET-"&amp;RIGHT(YEAR(AX164),2)&amp;"-"&amp;TEXT(B164,"000")&amp;"-"&amp;C164&amp;"-"&amp;D164&amp;"-"&amp;TEXT(MONTH(AX164),"00"))</f>
        <v/>
      </c>
      <c r="B164" s="34" t="n">
        <v>159</v>
      </c>
      <c r="C164" s="35" t="n"/>
      <c r="D164" s="35" t="n"/>
      <c r="E164" s="33">
        <f>IF(AX164="","",YEAR(AX164))</f>
        <v/>
      </c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6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7">
        <f>IF(Y164="","",IF(OR(Y164="III",Y164="IV",Y164="IVA",Y164="IVB",Y164="IVC"),1,0))</f>
        <v/>
      </c>
      <c r="AA164" s="35" t="n"/>
      <c r="AB164" s="35" t="n"/>
      <c r="AC164" s="35" t="n"/>
      <c r="AD164" s="35" t="n"/>
      <c r="AE164" s="35" t="n"/>
      <c r="AF164" s="35" t="n"/>
      <c r="AG164" s="35" t="n"/>
      <c r="AH164" s="35" t="n"/>
      <c r="AI164" s="35" t="n"/>
      <c r="AJ164" s="35" t="n"/>
      <c r="AK164" s="35" t="n"/>
      <c r="AL164" s="35" t="n"/>
      <c r="AM164" s="35" t="n"/>
      <c r="AN164" s="35" t="n"/>
      <c r="AO164" s="35" t="n"/>
      <c r="AP164" s="35" t="n"/>
      <c r="AQ164" s="35" t="n"/>
      <c r="AR164" s="35" t="n"/>
      <c r="AS164" s="35" t="n"/>
      <c r="AT164" s="35" t="n"/>
      <c r="AU164" s="38" t="n"/>
      <c r="AV164" s="38" t="n"/>
      <c r="AW164" s="38" t="n"/>
      <c r="AX164" s="38" t="n"/>
      <c r="AY164" s="38" t="n"/>
      <c r="AZ164" s="38" t="n"/>
      <c r="BA164" s="38" t="n"/>
      <c r="BB164" s="38" t="n"/>
      <c r="BC164" s="38" t="n"/>
      <c r="BD164" s="38" t="n"/>
      <c r="BE164" s="35" t="n"/>
      <c r="BF164" s="35" t="n"/>
      <c r="BG164" s="38" t="n"/>
      <c r="BH164" s="38" t="n"/>
      <c r="BI164" s="38" t="n"/>
      <c r="BJ164" s="35" t="n"/>
      <c r="BK164" s="38" t="n"/>
      <c r="BL164" s="33">
        <f>IF(OR(AU164="",AV164=""),"",AV164-AU164)</f>
        <v/>
      </c>
      <c r="BM164" s="33">
        <f>IF(OR(AV164="",AW164=""),"",AW164-AV164)</f>
        <v/>
      </c>
      <c r="BN164" s="33">
        <f>IF(OR(AW164="",AX164=""),"",AX164-AW164)</f>
        <v/>
      </c>
      <c r="BO164" s="33">
        <f>IF(OR(AX164="",BA164=""),"",BA164-AX164)</f>
        <v/>
      </c>
      <c r="BP164" s="33">
        <f>IF(OR(AV164="",BA164=""),"",BA164-AV164)</f>
        <v/>
      </c>
      <c r="BQ164" s="33">
        <f>IF(OR(BB164="",BD164=""),"",BD164-BB164)</f>
        <v/>
      </c>
      <c r="BR164" s="33">
        <f>IF(OR(AX164="",BD164=""),"",BD164-AX164)</f>
        <v/>
      </c>
      <c r="BS164" s="33">
        <f>IF(OR(AW164="",BD164=""),"",BD164-AW164)</f>
        <v/>
      </c>
      <c r="BT164" s="33">
        <f>IF(OR(AV164="",BD164=""),"",BD164-AV164)</f>
        <v/>
      </c>
      <c r="BU164" s="33">
        <f>IF(OR(AU164="",BD164=""),"",BD164-AU164)</f>
        <v/>
      </c>
      <c r="BV164" s="33">
        <f>IF(OR(BB164="",BG164=""),"",BG164-BB164)</f>
        <v/>
      </c>
      <c r="BW164" s="33">
        <f>IF(OR(BG164="",BH164=""),"",BH164-BG164)</f>
        <v/>
      </c>
      <c r="BX164" s="33">
        <f>IF(OR(BG164="",BI164=""),"",BI164-BG164)</f>
        <v/>
      </c>
      <c r="BY164" s="39">
        <f>IF(OR(AX164="",BK164=""),"",ROUND((BK164-AX164)/30.44,1))</f>
        <v/>
      </c>
      <c r="BZ164" s="37">
        <f>IF(BR164="","",IF(BR164&lt;=30,1,0))</f>
        <v/>
      </c>
      <c r="CA164" s="37">
        <f>IF(BR164="","",IF(BR164&gt;40.5,1,0))</f>
        <v/>
      </c>
      <c r="CB164" s="37">
        <f>IF(BR164="","",IF(BR164&gt;60,1,0))</f>
        <v/>
      </c>
      <c r="CC164" s="37">
        <f>IF(BR164="","",IF(BR164&gt;67,1,0))</f>
        <v/>
      </c>
      <c r="CD164" s="37">
        <f>IF(BT164="","",IF(BT164&lt;=30,1,0))</f>
        <v/>
      </c>
      <c r="CE164" s="37">
        <f>IF(BQ164="","",IF(BQ164&lt;=28,1,0))</f>
        <v/>
      </c>
      <c r="CF164" s="37">
        <f>IF(OR(BV164="",BE164&lt;&gt;"ניתוח"),"",IF(BV164&lt;=30,1,0))</f>
        <v/>
      </c>
      <c r="CG164" s="37">
        <f>IF(BU164="","",IF(BU164&lt;=56,1,0))</f>
        <v/>
      </c>
      <c r="CH164" s="37">
        <f>IF(BW164="","",IF(BW164&lt;=42,1,0))</f>
        <v/>
      </c>
      <c r="CI164" s="37">
        <f>IF(BX164="","",IF(BX164&lt;=100,1,0))</f>
        <v/>
      </c>
      <c r="CJ164" s="33">
        <f>IF(A164="","",COUNTIF(Delays!$B$5:$B$404,A164))</f>
        <v/>
      </c>
      <c r="CK164" s="35" t="n"/>
    </row>
    <row r="165">
      <c r="A165" s="33">
        <f>IF(OR(B165="",C165="",D165="",AX165=""),"","RET-"&amp;RIGHT(YEAR(AX165),2)&amp;"-"&amp;TEXT(B165,"000")&amp;"-"&amp;C165&amp;"-"&amp;D165&amp;"-"&amp;TEXT(MONTH(AX165),"00"))</f>
        <v/>
      </c>
      <c r="B165" s="34" t="n">
        <v>160</v>
      </c>
      <c r="C165" s="35" t="n"/>
      <c r="D165" s="35" t="n"/>
      <c r="E165" s="33">
        <f>IF(AX165="","",YEAR(AX165))</f>
        <v/>
      </c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6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7">
        <f>IF(Y165="","",IF(OR(Y165="III",Y165="IV",Y165="IVA",Y165="IVB",Y165="IVC"),1,0))</f>
        <v/>
      </c>
      <c r="AA165" s="35" t="n"/>
      <c r="AB165" s="35" t="n"/>
      <c r="AC165" s="35" t="n"/>
      <c r="AD165" s="35" t="n"/>
      <c r="AE165" s="35" t="n"/>
      <c r="AF165" s="35" t="n"/>
      <c r="AG165" s="35" t="n"/>
      <c r="AH165" s="35" t="n"/>
      <c r="AI165" s="35" t="n"/>
      <c r="AJ165" s="35" t="n"/>
      <c r="AK165" s="35" t="n"/>
      <c r="AL165" s="35" t="n"/>
      <c r="AM165" s="35" t="n"/>
      <c r="AN165" s="35" t="n"/>
      <c r="AO165" s="35" t="n"/>
      <c r="AP165" s="35" t="n"/>
      <c r="AQ165" s="35" t="n"/>
      <c r="AR165" s="35" t="n"/>
      <c r="AS165" s="35" t="n"/>
      <c r="AT165" s="35" t="n"/>
      <c r="AU165" s="38" t="n"/>
      <c r="AV165" s="38" t="n"/>
      <c r="AW165" s="38" t="n"/>
      <c r="AX165" s="38" t="n"/>
      <c r="AY165" s="38" t="n"/>
      <c r="AZ165" s="38" t="n"/>
      <c r="BA165" s="38" t="n"/>
      <c r="BB165" s="38" t="n"/>
      <c r="BC165" s="38" t="n"/>
      <c r="BD165" s="38" t="n"/>
      <c r="BE165" s="35" t="n"/>
      <c r="BF165" s="35" t="n"/>
      <c r="BG165" s="38" t="n"/>
      <c r="BH165" s="38" t="n"/>
      <c r="BI165" s="38" t="n"/>
      <c r="BJ165" s="35" t="n"/>
      <c r="BK165" s="38" t="n"/>
      <c r="BL165" s="33">
        <f>IF(OR(AU165="",AV165=""),"",AV165-AU165)</f>
        <v/>
      </c>
      <c r="BM165" s="33">
        <f>IF(OR(AV165="",AW165=""),"",AW165-AV165)</f>
        <v/>
      </c>
      <c r="BN165" s="33">
        <f>IF(OR(AW165="",AX165=""),"",AX165-AW165)</f>
        <v/>
      </c>
      <c r="BO165" s="33">
        <f>IF(OR(AX165="",BA165=""),"",BA165-AX165)</f>
        <v/>
      </c>
      <c r="BP165" s="33">
        <f>IF(OR(AV165="",BA165=""),"",BA165-AV165)</f>
        <v/>
      </c>
      <c r="BQ165" s="33">
        <f>IF(OR(BB165="",BD165=""),"",BD165-BB165)</f>
        <v/>
      </c>
      <c r="BR165" s="33">
        <f>IF(OR(AX165="",BD165=""),"",BD165-AX165)</f>
        <v/>
      </c>
      <c r="BS165" s="33">
        <f>IF(OR(AW165="",BD165=""),"",BD165-AW165)</f>
        <v/>
      </c>
      <c r="BT165" s="33">
        <f>IF(OR(AV165="",BD165=""),"",BD165-AV165)</f>
        <v/>
      </c>
      <c r="BU165" s="33">
        <f>IF(OR(AU165="",BD165=""),"",BD165-AU165)</f>
        <v/>
      </c>
      <c r="BV165" s="33">
        <f>IF(OR(BB165="",BG165=""),"",BG165-BB165)</f>
        <v/>
      </c>
      <c r="BW165" s="33">
        <f>IF(OR(BG165="",BH165=""),"",BH165-BG165)</f>
        <v/>
      </c>
      <c r="BX165" s="33">
        <f>IF(OR(BG165="",BI165=""),"",BI165-BG165)</f>
        <v/>
      </c>
      <c r="BY165" s="39">
        <f>IF(OR(AX165="",BK165=""),"",ROUND((BK165-AX165)/30.44,1))</f>
        <v/>
      </c>
      <c r="BZ165" s="37">
        <f>IF(BR165="","",IF(BR165&lt;=30,1,0))</f>
        <v/>
      </c>
      <c r="CA165" s="37">
        <f>IF(BR165="","",IF(BR165&gt;40.5,1,0))</f>
        <v/>
      </c>
      <c r="CB165" s="37">
        <f>IF(BR165="","",IF(BR165&gt;60,1,0))</f>
        <v/>
      </c>
      <c r="CC165" s="37">
        <f>IF(BR165="","",IF(BR165&gt;67,1,0))</f>
        <v/>
      </c>
      <c r="CD165" s="37">
        <f>IF(BT165="","",IF(BT165&lt;=30,1,0))</f>
        <v/>
      </c>
      <c r="CE165" s="37">
        <f>IF(BQ165="","",IF(BQ165&lt;=28,1,0))</f>
        <v/>
      </c>
      <c r="CF165" s="37">
        <f>IF(OR(BV165="",BE165&lt;&gt;"ניתוח"),"",IF(BV165&lt;=30,1,0))</f>
        <v/>
      </c>
      <c r="CG165" s="37">
        <f>IF(BU165="","",IF(BU165&lt;=56,1,0))</f>
        <v/>
      </c>
      <c r="CH165" s="37">
        <f>IF(BW165="","",IF(BW165&lt;=42,1,0))</f>
        <v/>
      </c>
      <c r="CI165" s="37">
        <f>IF(BX165="","",IF(BX165&lt;=100,1,0))</f>
        <v/>
      </c>
      <c r="CJ165" s="33">
        <f>IF(A165="","",COUNTIF(Delays!$B$5:$B$404,A165))</f>
        <v/>
      </c>
      <c r="CK165" s="35" t="n"/>
    </row>
    <row r="166">
      <c r="A166" s="33">
        <f>IF(OR(B166="",C166="",D166="",AX166=""),"","RET-"&amp;RIGHT(YEAR(AX166),2)&amp;"-"&amp;TEXT(B166,"000")&amp;"-"&amp;C166&amp;"-"&amp;D166&amp;"-"&amp;TEXT(MONTH(AX166),"00"))</f>
        <v/>
      </c>
      <c r="B166" s="34" t="n">
        <v>161</v>
      </c>
      <c r="C166" s="35" t="n"/>
      <c r="D166" s="35" t="n"/>
      <c r="E166" s="33">
        <f>IF(AX166="","",YEAR(AX166))</f>
        <v/>
      </c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6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7">
        <f>IF(Y166="","",IF(OR(Y166="III",Y166="IV",Y166="IVA",Y166="IVB",Y166="IVC"),1,0))</f>
        <v/>
      </c>
      <c r="AA166" s="35" t="n"/>
      <c r="AB166" s="35" t="n"/>
      <c r="AC166" s="35" t="n"/>
      <c r="AD166" s="35" t="n"/>
      <c r="AE166" s="35" t="n"/>
      <c r="AF166" s="35" t="n"/>
      <c r="AG166" s="35" t="n"/>
      <c r="AH166" s="35" t="n"/>
      <c r="AI166" s="35" t="n"/>
      <c r="AJ166" s="35" t="n"/>
      <c r="AK166" s="35" t="n"/>
      <c r="AL166" s="35" t="n"/>
      <c r="AM166" s="35" t="n"/>
      <c r="AN166" s="35" t="n"/>
      <c r="AO166" s="35" t="n"/>
      <c r="AP166" s="35" t="n"/>
      <c r="AQ166" s="35" t="n"/>
      <c r="AR166" s="35" t="n"/>
      <c r="AS166" s="35" t="n"/>
      <c r="AT166" s="35" t="n"/>
      <c r="AU166" s="38" t="n"/>
      <c r="AV166" s="38" t="n"/>
      <c r="AW166" s="38" t="n"/>
      <c r="AX166" s="38" t="n"/>
      <c r="AY166" s="38" t="n"/>
      <c r="AZ166" s="38" t="n"/>
      <c r="BA166" s="38" t="n"/>
      <c r="BB166" s="38" t="n"/>
      <c r="BC166" s="38" t="n"/>
      <c r="BD166" s="38" t="n"/>
      <c r="BE166" s="35" t="n"/>
      <c r="BF166" s="35" t="n"/>
      <c r="BG166" s="38" t="n"/>
      <c r="BH166" s="38" t="n"/>
      <c r="BI166" s="38" t="n"/>
      <c r="BJ166" s="35" t="n"/>
      <c r="BK166" s="38" t="n"/>
      <c r="BL166" s="33">
        <f>IF(OR(AU166="",AV166=""),"",AV166-AU166)</f>
        <v/>
      </c>
      <c r="BM166" s="33">
        <f>IF(OR(AV166="",AW166=""),"",AW166-AV166)</f>
        <v/>
      </c>
      <c r="BN166" s="33">
        <f>IF(OR(AW166="",AX166=""),"",AX166-AW166)</f>
        <v/>
      </c>
      <c r="BO166" s="33">
        <f>IF(OR(AX166="",BA166=""),"",BA166-AX166)</f>
        <v/>
      </c>
      <c r="BP166" s="33">
        <f>IF(OR(AV166="",BA166=""),"",BA166-AV166)</f>
        <v/>
      </c>
      <c r="BQ166" s="33">
        <f>IF(OR(BB166="",BD166=""),"",BD166-BB166)</f>
        <v/>
      </c>
      <c r="BR166" s="33">
        <f>IF(OR(AX166="",BD166=""),"",BD166-AX166)</f>
        <v/>
      </c>
      <c r="BS166" s="33">
        <f>IF(OR(AW166="",BD166=""),"",BD166-AW166)</f>
        <v/>
      </c>
      <c r="BT166" s="33">
        <f>IF(OR(AV166="",BD166=""),"",BD166-AV166)</f>
        <v/>
      </c>
      <c r="BU166" s="33">
        <f>IF(OR(AU166="",BD166=""),"",BD166-AU166)</f>
        <v/>
      </c>
      <c r="BV166" s="33">
        <f>IF(OR(BB166="",BG166=""),"",BG166-BB166)</f>
        <v/>
      </c>
      <c r="BW166" s="33">
        <f>IF(OR(BG166="",BH166=""),"",BH166-BG166)</f>
        <v/>
      </c>
      <c r="BX166" s="33">
        <f>IF(OR(BG166="",BI166=""),"",BI166-BG166)</f>
        <v/>
      </c>
      <c r="BY166" s="39">
        <f>IF(OR(AX166="",BK166=""),"",ROUND((BK166-AX166)/30.44,1))</f>
        <v/>
      </c>
      <c r="BZ166" s="37">
        <f>IF(BR166="","",IF(BR166&lt;=30,1,0))</f>
        <v/>
      </c>
      <c r="CA166" s="37">
        <f>IF(BR166="","",IF(BR166&gt;40.5,1,0))</f>
        <v/>
      </c>
      <c r="CB166" s="37">
        <f>IF(BR166="","",IF(BR166&gt;60,1,0))</f>
        <v/>
      </c>
      <c r="CC166" s="37">
        <f>IF(BR166="","",IF(BR166&gt;67,1,0))</f>
        <v/>
      </c>
      <c r="CD166" s="37">
        <f>IF(BT166="","",IF(BT166&lt;=30,1,0))</f>
        <v/>
      </c>
      <c r="CE166" s="37">
        <f>IF(BQ166="","",IF(BQ166&lt;=28,1,0))</f>
        <v/>
      </c>
      <c r="CF166" s="37">
        <f>IF(OR(BV166="",BE166&lt;&gt;"ניתוח"),"",IF(BV166&lt;=30,1,0))</f>
        <v/>
      </c>
      <c r="CG166" s="37">
        <f>IF(BU166="","",IF(BU166&lt;=56,1,0))</f>
        <v/>
      </c>
      <c r="CH166" s="37">
        <f>IF(BW166="","",IF(BW166&lt;=42,1,0))</f>
        <v/>
      </c>
      <c r="CI166" s="37">
        <f>IF(BX166="","",IF(BX166&lt;=100,1,0))</f>
        <v/>
      </c>
      <c r="CJ166" s="33">
        <f>IF(A166="","",COUNTIF(Delays!$B$5:$B$404,A166))</f>
        <v/>
      </c>
      <c r="CK166" s="35" t="n"/>
    </row>
    <row r="167">
      <c r="A167" s="33">
        <f>IF(OR(B167="",C167="",D167="",AX167=""),"","RET-"&amp;RIGHT(YEAR(AX167),2)&amp;"-"&amp;TEXT(B167,"000")&amp;"-"&amp;C167&amp;"-"&amp;D167&amp;"-"&amp;TEXT(MONTH(AX167),"00"))</f>
        <v/>
      </c>
      <c r="B167" s="34" t="n">
        <v>162</v>
      </c>
      <c r="C167" s="35" t="n"/>
      <c r="D167" s="35" t="n"/>
      <c r="E167" s="33">
        <f>IF(AX167="","",YEAR(AX167))</f>
        <v/>
      </c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6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7">
        <f>IF(Y167="","",IF(OR(Y167="III",Y167="IV",Y167="IVA",Y167="IVB",Y167="IVC"),1,0))</f>
        <v/>
      </c>
      <c r="AA167" s="35" t="n"/>
      <c r="AB167" s="35" t="n"/>
      <c r="AC167" s="35" t="n"/>
      <c r="AD167" s="35" t="n"/>
      <c r="AE167" s="35" t="n"/>
      <c r="AF167" s="35" t="n"/>
      <c r="AG167" s="35" t="n"/>
      <c r="AH167" s="35" t="n"/>
      <c r="AI167" s="35" t="n"/>
      <c r="AJ167" s="35" t="n"/>
      <c r="AK167" s="35" t="n"/>
      <c r="AL167" s="35" t="n"/>
      <c r="AM167" s="35" t="n"/>
      <c r="AN167" s="35" t="n"/>
      <c r="AO167" s="35" t="n"/>
      <c r="AP167" s="35" t="n"/>
      <c r="AQ167" s="35" t="n"/>
      <c r="AR167" s="35" t="n"/>
      <c r="AS167" s="35" t="n"/>
      <c r="AT167" s="35" t="n"/>
      <c r="AU167" s="38" t="n"/>
      <c r="AV167" s="38" t="n"/>
      <c r="AW167" s="38" t="n"/>
      <c r="AX167" s="38" t="n"/>
      <c r="AY167" s="38" t="n"/>
      <c r="AZ167" s="38" t="n"/>
      <c r="BA167" s="38" t="n"/>
      <c r="BB167" s="38" t="n"/>
      <c r="BC167" s="38" t="n"/>
      <c r="BD167" s="38" t="n"/>
      <c r="BE167" s="35" t="n"/>
      <c r="BF167" s="35" t="n"/>
      <c r="BG167" s="38" t="n"/>
      <c r="BH167" s="38" t="n"/>
      <c r="BI167" s="38" t="n"/>
      <c r="BJ167" s="35" t="n"/>
      <c r="BK167" s="38" t="n"/>
      <c r="BL167" s="33">
        <f>IF(OR(AU167="",AV167=""),"",AV167-AU167)</f>
        <v/>
      </c>
      <c r="BM167" s="33">
        <f>IF(OR(AV167="",AW167=""),"",AW167-AV167)</f>
        <v/>
      </c>
      <c r="BN167" s="33">
        <f>IF(OR(AW167="",AX167=""),"",AX167-AW167)</f>
        <v/>
      </c>
      <c r="BO167" s="33">
        <f>IF(OR(AX167="",BA167=""),"",BA167-AX167)</f>
        <v/>
      </c>
      <c r="BP167" s="33">
        <f>IF(OR(AV167="",BA167=""),"",BA167-AV167)</f>
        <v/>
      </c>
      <c r="BQ167" s="33">
        <f>IF(OR(BB167="",BD167=""),"",BD167-BB167)</f>
        <v/>
      </c>
      <c r="BR167" s="33">
        <f>IF(OR(AX167="",BD167=""),"",BD167-AX167)</f>
        <v/>
      </c>
      <c r="BS167" s="33">
        <f>IF(OR(AW167="",BD167=""),"",BD167-AW167)</f>
        <v/>
      </c>
      <c r="BT167" s="33">
        <f>IF(OR(AV167="",BD167=""),"",BD167-AV167)</f>
        <v/>
      </c>
      <c r="BU167" s="33">
        <f>IF(OR(AU167="",BD167=""),"",BD167-AU167)</f>
        <v/>
      </c>
      <c r="BV167" s="33">
        <f>IF(OR(BB167="",BG167=""),"",BG167-BB167)</f>
        <v/>
      </c>
      <c r="BW167" s="33">
        <f>IF(OR(BG167="",BH167=""),"",BH167-BG167)</f>
        <v/>
      </c>
      <c r="BX167" s="33">
        <f>IF(OR(BG167="",BI167=""),"",BI167-BG167)</f>
        <v/>
      </c>
      <c r="BY167" s="39">
        <f>IF(OR(AX167="",BK167=""),"",ROUND((BK167-AX167)/30.44,1))</f>
        <v/>
      </c>
      <c r="BZ167" s="37">
        <f>IF(BR167="","",IF(BR167&lt;=30,1,0))</f>
        <v/>
      </c>
      <c r="CA167" s="37">
        <f>IF(BR167="","",IF(BR167&gt;40.5,1,0))</f>
        <v/>
      </c>
      <c r="CB167" s="37">
        <f>IF(BR167="","",IF(BR167&gt;60,1,0))</f>
        <v/>
      </c>
      <c r="CC167" s="37">
        <f>IF(BR167="","",IF(BR167&gt;67,1,0))</f>
        <v/>
      </c>
      <c r="CD167" s="37">
        <f>IF(BT167="","",IF(BT167&lt;=30,1,0))</f>
        <v/>
      </c>
      <c r="CE167" s="37">
        <f>IF(BQ167="","",IF(BQ167&lt;=28,1,0))</f>
        <v/>
      </c>
      <c r="CF167" s="37">
        <f>IF(OR(BV167="",BE167&lt;&gt;"ניתוח"),"",IF(BV167&lt;=30,1,0))</f>
        <v/>
      </c>
      <c r="CG167" s="37">
        <f>IF(BU167="","",IF(BU167&lt;=56,1,0))</f>
        <v/>
      </c>
      <c r="CH167" s="37">
        <f>IF(BW167="","",IF(BW167&lt;=42,1,0))</f>
        <v/>
      </c>
      <c r="CI167" s="37">
        <f>IF(BX167="","",IF(BX167&lt;=100,1,0))</f>
        <v/>
      </c>
      <c r="CJ167" s="33">
        <f>IF(A167="","",COUNTIF(Delays!$B$5:$B$404,A167))</f>
        <v/>
      </c>
      <c r="CK167" s="35" t="n"/>
    </row>
    <row r="168">
      <c r="A168" s="33">
        <f>IF(OR(B168="",C168="",D168="",AX168=""),"","RET-"&amp;RIGHT(YEAR(AX168),2)&amp;"-"&amp;TEXT(B168,"000")&amp;"-"&amp;C168&amp;"-"&amp;D168&amp;"-"&amp;TEXT(MONTH(AX168),"00"))</f>
        <v/>
      </c>
      <c r="B168" s="34" t="n">
        <v>163</v>
      </c>
      <c r="C168" s="35" t="n"/>
      <c r="D168" s="35" t="n"/>
      <c r="E168" s="33">
        <f>IF(AX168="","",YEAR(AX168))</f>
        <v/>
      </c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6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7">
        <f>IF(Y168="","",IF(OR(Y168="III",Y168="IV",Y168="IVA",Y168="IVB",Y168="IVC"),1,0))</f>
        <v/>
      </c>
      <c r="AA168" s="35" t="n"/>
      <c r="AB168" s="35" t="n"/>
      <c r="AC168" s="35" t="n"/>
      <c r="AD168" s="35" t="n"/>
      <c r="AE168" s="35" t="n"/>
      <c r="AF168" s="35" t="n"/>
      <c r="AG168" s="35" t="n"/>
      <c r="AH168" s="35" t="n"/>
      <c r="AI168" s="35" t="n"/>
      <c r="AJ168" s="35" t="n"/>
      <c r="AK168" s="35" t="n"/>
      <c r="AL168" s="35" t="n"/>
      <c r="AM168" s="35" t="n"/>
      <c r="AN168" s="35" t="n"/>
      <c r="AO168" s="35" t="n"/>
      <c r="AP168" s="35" t="n"/>
      <c r="AQ168" s="35" t="n"/>
      <c r="AR168" s="35" t="n"/>
      <c r="AS168" s="35" t="n"/>
      <c r="AT168" s="35" t="n"/>
      <c r="AU168" s="38" t="n"/>
      <c r="AV168" s="38" t="n"/>
      <c r="AW168" s="38" t="n"/>
      <c r="AX168" s="38" t="n"/>
      <c r="AY168" s="38" t="n"/>
      <c r="AZ168" s="38" t="n"/>
      <c r="BA168" s="38" t="n"/>
      <c r="BB168" s="38" t="n"/>
      <c r="BC168" s="38" t="n"/>
      <c r="BD168" s="38" t="n"/>
      <c r="BE168" s="35" t="n"/>
      <c r="BF168" s="35" t="n"/>
      <c r="BG168" s="38" t="n"/>
      <c r="BH168" s="38" t="n"/>
      <c r="BI168" s="38" t="n"/>
      <c r="BJ168" s="35" t="n"/>
      <c r="BK168" s="38" t="n"/>
      <c r="BL168" s="33">
        <f>IF(OR(AU168="",AV168=""),"",AV168-AU168)</f>
        <v/>
      </c>
      <c r="BM168" s="33">
        <f>IF(OR(AV168="",AW168=""),"",AW168-AV168)</f>
        <v/>
      </c>
      <c r="BN168" s="33">
        <f>IF(OR(AW168="",AX168=""),"",AX168-AW168)</f>
        <v/>
      </c>
      <c r="BO168" s="33">
        <f>IF(OR(AX168="",BA168=""),"",BA168-AX168)</f>
        <v/>
      </c>
      <c r="BP168" s="33">
        <f>IF(OR(AV168="",BA168=""),"",BA168-AV168)</f>
        <v/>
      </c>
      <c r="BQ168" s="33">
        <f>IF(OR(BB168="",BD168=""),"",BD168-BB168)</f>
        <v/>
      </c>
      <c r="BR168" s="33">
        <f>IF(OR(AX168="",BD168=""),"",BD168-AX168)</f>
        <v/>
      </c>
      <c r="BS168" s="33">
        <f>IF(OR(AW168="",BD168=""),"",BD168-AW168)</f>
        <v/>
      </c>
      <c r="BT168" s="33">
        <f>IF(OR(AV168="",BD168=""),"",BD168-AV168)</f>
        <v/>
      </c>
      <c r="BU168" s="33">
        <f>IF(OR(AU168="",BD168=""),"",BD168-AU168)</f>
        <v/>
      </c>
      <c r="BV168" s="33">
        <f>IF(OR(BB168="",BG168=""),"",BG168-BB168)</f>
        <v/>
      </c>
      <c r="BW168" s="33">
        <f>IF(OR(BG168="",BH168=""),"",BH168-BG168)</f>
        <v/>
      </c>
      <c r="BX168" s="33">
        <f>IF(OR(BG168="",BI168=""),"",BI168-BG168)</f>
        <v/>
      </c>
      <c r="BY168" s="39">
        <f>IF(OR(AX168="",BK168=""),"",ROUND((BK168-AX168)/30.44,1))</f>
        <v/>
      </c>
      <c r="BZ168" s="37">
        <f>IF(BR168="","",IF(BR168&lt;=30,1,0))</f>
        <v/>
      </c>
      <c r="CA168" s="37">
        <f>IF(BR168="","",IF(BR168&gt;40.5,1,0))</f>
        <v/>
      </c>
      <c r="CB168" s="37">
        <f>IF(BR168="","",IF(BR168&gt;60,1,0))</f>
        <v/>
      </c>
      <c r="CC168" s="37">
        <f>IF(BR168="","",IF(BR168&gt;67,1,0))</f>
        <v/>
      </c>
      <c r="CD168" s="37">
        <f>IF(BT168="","",IF(BT168&lt;=30,1,0))</f>
        <v/>
      </c>
      <c r="CE168" s="37">
        <f>IF(BQ168="","",IF(BQ168&lt;=28,1,0))</f>
        <v/>
      </c>
      <c r="CF168" s="37">
        <f>IF(OR(BV168="",BE168&lt;&gt;"ניתוח"),"",IF(BV168&lt;=30,1,0))</f>
        <v/>
      </c>
      <c r="CG168" s="37">
        <f>IF(BU168="","",IF(BU168&lt;=56,1,0))</f>
        <v/>
      </c>
      <c r="CH168" s="37">
        <f>IF(BW168="","",IF(BW168&lt;=42,1,0))</f>
        <v/>
      </c>
      <c r="CI168" s="37">
        <f>IF(BX168="","",IF(BX168&lt;=100,1,0))</f>
        <v/>
      </c>
      <c r="CJ168" s="33">
        <f>IF(A168="","",COUNTIF(Delays!$B$5:$B$404,A168))</f>
        <v/>
      </c>
      <c r="CK168" s="35" t="n"/>
    </row>
    <row r="169">
      <c r="A169" s="33">
        <f>IF(OR(B169="",C169="",D169="",AX169=""),"","RET-"&amp;RIGHT(YEAR(AX169),2)&amp;"-"&amp;TEXT(B169,"000")&amp;"-"&amp;C169&amp;"-"&amp;D169&amp;"-"&amp;TEXT(MONTH(AX169),"00"))</f>
        <v/>
      </c>
      <c r="B169" s="34" t="n">
        <v>164</v>
      </c>
      <c r="C169" s="35" t="n"/>
      <c r="D169" s="35" t="n"/>
      <c r="E169" s="33">
        <f>IF(AX169="","",YEAR(AX169))</f>
        <v/>
      </c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6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7">
        <f>IF(Y169="","",IF(OR(Y169="III",Y169="IV",Y169="IVA",Y169="IVB",Y169="IVC"),1,0))</f>
        <v/>
      </c>
      <c r="AA169" s="35" t="n"/>
      <c r="AB169" s="35" t="n"/>
      <c r="AC169" s="35" t="n"/>
      <c r="AD169" s="35" t="n"/>
      <c r="AE169" s="35" t="n"/>
      <c r="AF169" s="35" t="n"/>
      <c r="AG169" s="35" t="n"/>
      <c r="AH169" s="35" t="n"/>
      <c r="AI169" s="35" t="n"/>
      <c r="AJ169" s="35" t="n"/>
      <c r="AK169" s="35" t="n"/>
      <c r="AL169" s="35" t="n"/>
      <c r="AM169" s="35" t="n"/>
      <c r="AN169" s="35" t="n"/>
      <c r="AO169" s="35" t="n"/>
      <c r="AP169" s="35" t="n"/>
      <c r="AQ169" s="35" t="n"/>
      <c r="AR169" s="35" t="n"/>
      <c r="AS169" s="35" t="n"/>
      <c r="AT169" s="35" t="n"/>
      <c r="AU169" s="38" t="n"/>
      <c r="AV169" s="38" t="n"/>
      <c r="AW169" s="38" t="n"/>
      <c r="AX169" s="38" t="n"/>
      <c r="AY169" s="38" t="n"/>
      <c r="AZ169" s="38" t="n"/>
      <c r="BA169" s="38" t="n"/>
      <c r="BB169" s="38" t="n"/>
      <c r="BC169" s="38" t="n"/>
      <c r="BD169" s="38" t="n"/>
      <c r="BE169" s="35" t="n"/>
      <c r="BF169" s="35" t="n"/>
      <c r="BG169" s="38" t="n"/>
      <c r="BH169" s="38" t="n"/>
      <c r="BI169" s="38" t="n"/>
      <c r="BJ169" s="35" t="n"/>
      <c r="BK169" s="38" t="n"/>
      <c r="BL169" s="33">
        <f>IF(OR(AU169="",AV169=""),"",AV169-AU169)</f>
        <v/>
      </c>
      <c r="BM169" s="33">
        <f>IF(OR(AV169="",AW169=""),"",AW169-AV169)</f>
        <v/>
      </c>
      <c r="BN169" s="33">
        <f>IF(OR(AW169="",AX169=""),"",AX169-AW169)</f>
        <v/>
      </c>
      <c r="BO169" s="33">
        <f>IF(OR(AX169="",BA169=""),"",BA169-AX169)</f>
        <v/>
      </c>
      <c r="BP169" s="33">
        <f>IF(OR(AV169="",BA169=""),"",BA169-AV169)</f>
        <v/>
      </c>
      <c r="BQ169" s="33">
        <f>IF(OR(BB169="",BD169=""),"",BD169-BB169)</f>
        <v/>
      </c>
      <c r="BR169" s="33">
        <f>IF(OR(AX169="",BD169=""),"",BD169-AX169)</f>
        <v/>
      </c>
      <c r="BS169" s="33">
        <f>IF(OR(AW169="",BD169=""),"",BD169-AW169)</f>
        <v/>
      </c>
      <c r="BT169" s="33">
        <f>IF(OR(AV169="",BD169=""),"",BD169-AV169)</f>
        <v/>
      </c>
      <c r="BU169" s="33">
        <f>IF(OR(AU169="",BD169=""),"",BD169-AU169)</f>
        <v/>
      </c>
      <c r="BV169" s="33">
        <f>IF(OR(BB169="",BG169=""),"",BG169-BB169)</f>
        <v/>
      </c>
      <c r="BW169" s="33">
        <f>IF(OR(BG169="",BH169=""),"",BH169-BG169)</f>
        <v/>
      </c>
      <c r="BX169" s="33">
        <f>IF(OR(BG169="",BI169=""),"",BI169-BG169)</f>
        <v/>
      </c>
      <c r="BY169" s="39">
        <f>IF(OR(AX169="",BK169=""),"",ROUND((BK169-AX169)/30.44,1))</f>
        <v/>
      </c>
      <c r="BZ169" s="37">
        <f>IF(BR169="","",IF(BR169&lt;=30,1,0))</f>
        <v/>
      </c>
      <c r="CA169" s="37">
        <f>IF(BR169="","",IF(BR169&gt;40.5,1,0))</f>
        <v/>
      </c>
      <c r="CB169" s="37">
        <f>IF(BR169="","",IF(BR169&gt;60,1,0))</f>
        <v/>
      </c>
      <c r="CC169" s="37">
        <f>IF(BR169="","",IF(BR169&gt;67,1,0))</f>
        <v/>
      </c>
      <c r="CD169" s="37">
        <f>IF(BT169="","",IF(BT169&lt;=30,1,0))</f>
        <v/>
      </c>
      <c r="CE169" s="37">
        <f>IF(BQ169="","",IF(BQ169&lt;=28,1,0))</f>
        <v/>
      </c>
      <c r="CF169" s="37">
        <f>IF(OR(BV169="",BE169&lt;&gt;"ניתוח"),"",IF(BV169&lt;=30,1,0))</f>
        <v/>
      </c>
      <c r="CG169" s="37">
        <f>IF(BU169="","",IF(BU169&lt;=56,1,0))</f>
        <v/>
      </c>
      <c r="CH169" s="37">
        <f>IF(BW169="","",IF(BW169&lt;=42,1,0))</f>
        <v/>
      </c>
      <c r="CI169" s="37">
        <f>IF(BX169="","",IF(BX169&lt;=100,1,0))</f>
        <v/>
      </c>
      <c r="CJ169" s="33">
        <f>IF(A169="","",COUNTIF(Delays!$B$5:$B$404,A169))</f>
        <v/>
      </c>
      <c r="CK169" s="35" t="n"/>
    </row>
    <row r="170">
      <c r="A170" s="33">
        <f>IF(OR(B170="",C170="",D170="",AX170=""),"","RET-"&amp;RIGHT(YEAR(AX170),2)&amp;"-"&amp;TEXT(B170,"000")&amp;"-"&amp;C170&amp;"-"&amp;D170&amp;"-"&amp;TEXT(MONTH(AX170),"00"))</f>
        <v/>
      </c>
      <c r="B170" s="34" t="n">
        <v>165</v>
      </c>
      <c r="C170" s="35" t="n"/>
      <c r="D170" s="35" t="n"/>
      <c r="E170" s="33">
        <f>IF(AX170="","",YEAR(AX170))</f>
        <v/>
      </c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6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7">
        <f>IF(Y170="","",IF(OR(Y170="III",Y170="IV",Y170="IVA",Y170="IVB",Y170="IVC"),1,0))</f>
        <v/>
      </c>
      <c r="AA170" s="35" t="n"/>
      <c r="AB170" s="35" t="n"/>
      <c r="AC170" s="35" t="n"/>
      <c r="AD170" s="35" t="n"/>
      <c r="AE170" s="35" t="n"/>
      <c r="AF170" s="35" t="n"/>
      <c r="AG170" s="35" t="n"/>
      <c r="AH170" s="35" t="n"/>
      <c r="AI170" s="35" t="n"/>
      <c r="AJ170" s="35" t="n"/>
      <c r="AK170" s="35" t="n"/>
      <c r="AL170" s="35" t="n"/>
      <c r="AM170" s="35" t="n"/>
      <c r="AN170" s="35" t="n"/>
      <c r="AO170" s="35" t="n"/>
      <c r="AP170" s="35" t="n"/>
      <c r="AQ170" s="35" t="n"/>
      <c r="AR170" s="35" t="n"/>
      <c r="AS170" s="35" t="n"/>
      <c r="AT170" s="35" t="n"/>
      <c r="AU170" s="38" t="n"/>
      <c r="AV170" s="38" t="n"/>
      <c r="AW170" s="38" t="n"/>
      <c r="AX170" s="38" t="n"/>
      <c r="AY170" s="38" t="n"/>
      <c r="AZ170" s="38" t="n"/>
      <c r="BA170" s="38" t="n"/>
      <c r="BB170" s="38" t="n"/>
      <c r="BC170" s="38" t="n"/>
      <c r="BD170" s="38" t="n"/>
      <c r="BE170" s="35" t="n"/>
      <c r="BF170" s="35" t="n"/>
      <c r="BG170" s="38" t="n"/>
      <c r="BH170" s="38" t="n"/>
      <c r="BI170" s="38" t="n"/>
      <c r="BJ170" s="35" t="n"/>
      <c r="BK170" s="38" t="n"/>
      <c r="BL170" s="33">
        <f>IF(OR(AU170="",AV170=""),"",AV170-AU170)</f>
        <v/>
      </c>
      <c r="BM170" s="33">
        <f>IF(OR(AV170="",AW170=""),"",AW170-AV170)</f>
        <v/>
      </c>
      <c r="BN170" s="33">
        <f>IF(OR(AW170="",AX170=""),"",AX170-AW170)</f>
        <v/>
      </c>
      <c r="BO170" s="33">
        <f>IF(OR(AX170="",BA170=""),"",BA170-AX170)</f>
        <v/>
      </c>
      <c r="BP170" s="33">
        <f>IF(OR(AV170="",BA170=""),"",BA170-AV170)</f>
        <v/>
      </c>
      <c r="BQ170" s="33">
        <f>IF(OR(BB170="",BD170=""),"",BD170-BB170)</f>
        <v/>
      </c>
      <c r="BR170" s="33">
        <f>IF(OR(AX170="",BD170=""),"",BD170-AX170)</f>
        <v/>
      </c>
      <c r="BS170" s="33">
        <f>IF(OR(AW170="",BD170=""),"",BD170-AW170)</f>
        <v/>
      </c>
      <c r="BT170" s="33">
        <f>IF(OR(AV170="",BD170=""),"",BD170-AV170)</f>
        <v/>
      </c>
      <c r="BU170" s="33">
        <f>IF(OR(AU170="",BD170=""),"",BD170-AU170)</f>
        <v/>
      </c>
      <c r="BV170" s="33">
        <f>IF(OR(BB170="",BG170=""),"",BG170-BB170)</f>
        <v/>
      </c>
      <c r="BW170" s="33">
        <f>IF(OR(BG170="",BH170=""),"",BH170-BG170)</f>
        <v/>
      </c>
      <c r="BX170" s="33">
        <f>IF(OR(BG170="",BI170=""),"",BI170-BG170)</f>
        <v/>
      </c>
      <c r="BY170" s="39">
        <f>IF(OR(AX170="",BK170=""),"",ROUND((BK170-AX170)/30.44,1))</f>
        <v/>
      </c>
      <c r="BZ170" s="37">
        <f>IF(BR170="","",IF(BR170&lt;=30,1,0))</f>
        <v/>
      </c>
      <c r="CA170" s="37">
        <f>IF(BR170="","",IF(BR170&gt;40.5,1,0))</f>
        <v/>
      </c>
      <c r="CB170" s="37">
        <f>IF(BR170="","",IF(BR170&gt;60,1,0))</f>
        <v/>
      </c>
      <c r="CC170" s="37">
        <f>IF(BR170="","",IF(BR170&gt;67,1,0))</f>
        <v/>
      </c>
      <c r="CD170" s="37">
        <f>IF(BT170="","",IF(BT170&lt;=30,1,0))</f>
        <v/>
      </c>
      <c r="CE170" s="37">
        <f>IF(BQ170="","",IF(BQ170&lt;=28,1,0))</f>
        <v/>
      </c>
      <c r="CF170" s="37">
        <f>IF(OR(BV170="",BE170&lt;&gt;"ניתוח"),"",IF(BV170&lt;=30,1,0))</f>
        <v/>
      </c>
      <c r="CG170" s="37">
        <f>IF(BU170="","",IF(BU170&lt;=56,1,0))</f>
        <v/>
      </c>
      <c r="CH170" s="37">
        <f>IF(BW170="","",IF(BW170&lt;=42,1,0))</f>
        <v/>
      </c>
      <c r="CI170" s="37">
        <f>IF(BX170="","",IF(BX170&lt;=100,1,0))</f>
        <v/>
      </c>
      <c r="CJ170" s="33">
        <f>IF(A170="","",COUNTIF(Delays!$B$5:$B$404,A170))</f>
        <v/>
      </c>
      <c r="CK170" s="35" t="n"/>
    </row>
    <row r="171">
      <c r="A171" s="33">
        <f>IF(OR(B171="",C171="",D171="",AX171=""),"","RET-"&amp;RIGHT(YEAR(AX171),2)&amp;"-"&amp;TEXT(B171,"000")&amp;"-"&amp;C171&amp;"-"&amp;D171&amp;"-"&amp;TEXT(MONTH(AX171),"00"))</f>
        <v/>
      </c>
      <c r="B171" s="34" t="n">
        <v>166</v>
      </c>
      <c r="C171" s="35" t="n"/>
      <c r="D171" s="35" t="n"/>
      <c r="E171" s="33">
        <f>IF(AX171="","",YEAR(AX171))</f>
        <v/>
      </c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6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7">
        <f>IF(Y171="","",IF(OR(Y171="III",Y171="IV",Y171="IVA",Y171="IVB",Y171="IVC"),1,0))</f>
        <v/>
      </c>
      <c r="AA171" s="35" t="n"/>
      <c r="AB171" s="35" t="n"/>
      <c r="AC171" s="35" t="n"/>
      <c r="AD171" s="35" t="n"/>
      <c r="AE171" s="35" t="n"/>
      <c r="AF171" s="35" t="n"/>
      <c r="AG171" s="35" t="n"/>
      <c r="AH171" s="35" t="n"/>
      <c r="AI171" s="35" t="n"/>
      <c r="AJ171" s="35" t="n"/>
      <c r="AK171" s="35" t="n"/>
      <c r="AL171" s="35" t="n"/>
      <c r="AM171" s="35" t="n"/>
      <c r="AN171" s="35" t="n"/>
      <c r="AO171" s="35" t="n"/>
      <c r="AP171" s="35" t="n"/>
      <c r="AQ171" s="35" t="n"/>
      <c r="AR171" s="35" t="n"/>
      <c r="AS171" s="35" t="n"/>
      <c r="AT171" s="35" t="n"/>
      <c r="AU171" s="38" t="n"/>
      <c r="AV171" s="38" t="n"/>
      <c r="AW171" s="38" t="n"/>
      <c r="AX171" s="38" t="n"/>
      <c r="AY171" s="38" t="n"/>
      <c r="AZ171" s="38" t="n"/>
      <c r="BA171" s="38" t="n"/>
      <c r="BB171" s="38" t="n"/>
      <c r="BC171" s="38" t="n"/>
      <c r="BD171" s="38" t="n"/>
      <c r="BE171" s="35" t="n"/>
      <c r="BF171" s="35" t="n"/>
      <c r="BG171" s="38" t="n"/>
      <c r="BH171" s="38" t="n"/>
      <c r="BI171" s="38" t="n"/>
      <c r="BJ171" s="35" t="n"/>
      <c r="BK171" s="38" t="n"/>
      <c r="BL171" s="33">
        <f>IF(OR(AU171="",AV171=""),"",AV171-AU171)</f>
        <v/>
      </c>
      <c r="BM171" s="33">
        <f>IF(OR(AV171="",AW171=""),"",AW171-AV171)</f>
        <v/>
      </c>
      <c r="BN171" s="33">
        <f>IF(OR(AW171="",AX171=""),"",AX171-AW171)</f>
        <v/>
      </c>
      <c r="BO171" s="33">
        <f>IF(OR(AX171="",BA171=""),"",BA171-AX171)</f>
        <v/>
      </c>
      <c r="BP171" s="33">
        <f>IF(OR(AV171="",BA171=""),"",BA171-AV171)</f>
        <v/>
      </c>
      <c r="BQ171" s="33">
        <f>IF(OR(BB171="",BD171=""),"",BD171-BB171)</f>
        <v/>
      </c>
      <c r="BR171" s="33">
        <f>IF(OR(AX171="",BD171=""),"",BD171-AX171)</f>
        <v/>
      </c>
      <c r="BS171" s="33">
        <f>IF(OR(AW171="",BD171=""),"",BD171-AW171)</f>
        <v/>
      </c>
      <c r="BT171" s="33">
        <f>IF(OR(AV171="",BD171=""),"",BD171-AV171)</f>
        <v/>
      </c>
      <c r="BU171" s="33">
        <f>IF(OR(AU171="",BD171=""),"",BD171-AU171)</f>
        <v/>
      </c>
      <c r="BV171" s="33">
        <f>IF(OR(BB171="",BG171=""),"",BG171-BB171)</f>
        <v/>
      </c>
      <c r="BW171" s="33">
        <f>IF(OR(BG171="",BH171=""),"",BH171-BG171)</f>
        <v/>
      </c>
      <c r="BX171" s="33">
        <f>IF(OR(BG171="",BI171=""),"",BI171-BG171)</f>
        <v/>
      </c>
      <c r="BY171" s="39">
        <f>IF(OR(AX171="",BK171=""),"",ROUND((BK171-AX171)/30.44,1))</f>
        <v/>
      </c>
      <c r="BZ171" s="37">
        <f>IF(BR171="","",IF(BR171&lt;=30,1,0))</f>
        <v/>
      </c>
      <c r="CA171" s="37">
        <f>IF(BR171="","",IF(BR171&gt;40.5,1,0))</f>
        <v/>
      </c>
      <c r="CB171" s="37">
        <f>IF(BR171="","",IF(BR171&gt;60,1,0))</f>
        <v/>
      </c>
      <c r="CC171" s="37">
        <f>IF(BR171="","",IF(BR171&gt;67,1,0))</f>
        <v/>
      </c>
      <c r="CD171" s="37">
        <f>IF(BT171="","",IF(BT171&lt;=30,1,0))</f>
        <v/>
      </c>
      <c r="CE171" s="37">
        <f>IF(BQ171="","",IF(BQ171&lt;=28,1,0))</f>
        <v/>
      </c>
      <c r="CF171" s="37">
        <f>IF(OR(BV171="",BE171&lt;&gt;"ניתוח"),"",IF(BV171&lt;=30,1,0))</f>
        <v/>
      </c>
      <c r="CG171" s="37">
        <f>IF(BU171="","",IF(BU171&lt;=56,1,0))</f>
        <v/>
      </c>
      <c r="CH171" s="37">
        <f>IF(BW171="","",IF(BW171&lt;=42,1,0))</f>
        <v/>
      </c>
      <c r="CI171" s="37">
        <f>IF(BX171="","",IF(BX171&lt;=100,1,0))</f>
        <v/>
      </c>
      <c r="CJ171" s="33">
        <f>IF(A171="","",COUNTIF(Delays!$B$5:$B$404,A171))</f>
        <v/>
      </c>
      <c r="CK171" s="35" t="n"/>
    </row>
    <row r="172">
      <c r="A172" s="33">
        <f>IF(OR(B172="",C172="",D172="",AX172=""),"","RET-"&amp;RIGHT(YEAR(AX172),2)&amp;"-"&amp;TEXT(B172,"000")&amp;"-"&amp;C172&amp;"-"&amp;D172&amp;"-"&amp;TEXT(MONTH(AX172),"00"))</f>
        <v/>
      </c>
      <c r="B172" s="34" t="n">
        <v>167</v>
      </c>
      <c r="C172" s="35" t="n"/>
      <c r="D172" s="35" t="n"/>
      <c r="E172" s="33">
        <f>IF(AX172="","",YEAR(AX172))</f>
        <v/>
      </c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6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7">
        <f>IF(Y172="","",IF(OR(Y172="III",Y172="IV",Y172="IVA",Y172="IVB",Y172="IVC"),1,0))</f>
        <v/>
      </c>
      <c r="AA172" s="35" t="n"/>
      <c r="AB172" s="35" t="n"/>
      <c r="AC172" s="35" t="n"/>
      <c r="AD172" s="35" t="n"/>
      <c r="AE172" s="35" t="n"/>
      <c r="AF172" s="35" t="n"/>
      <c r="AG172" s="35" t="n"/>
      <c r="AH172" s="35" t="n"/>
      <c r="AI172" s="35" t="n"/>
      <c r="AJ172" s="35" t="n"/>
      <c r="AK172" s="35" t="n"/>
      <c r="AL172" s="35" t="n"/>
      <c r="AM172" s="35" t="n"/>
      <c r="AN172" s="35" t="n"/>
      <c r="AO172" s="35" t="n"/>
      <c r="AP172" s="35" t="n"/>
      <c r="AQ172" s="35" t="n"/>
      <c r="AR172" s="35" t="n"/>
      <c r="AS172" s="35" t="n"/>
      <c r="AT172" s="35" t="n"/>
      <c r="AU172" s="38" t="n"/>
      <c r="AV172" s="38" t="n"/>
      <c r="AW172" s="38" t="n"/>
      <c r="AX172" s="38" t="n"/>
      <c r="AY172" s="38" t="n"/>
      <c r="AZ172" s="38" t="n"/>
      <c r="BA172" s="38" t="n"/>
      <c r="BB172" s="38" t="n"/>
      <c r="BC172" s="38" t="n"/>
      <c r="BD172" s="38" t="n"/>
      <c r="BE172" s="35" t="n"/>
      <c r="BF172" s="35" t="n"/>
      <c r="BG172" s="38" t="n"/>
      <c r="BH172" s="38" t="n"/>
      <c r="BI172" s="38" t="n"/>
      <c r="BJ172" s="35" t="n"/>
      <c r="BK172" s="38" t="n"/>
      <c r="BL172" s="33">
        <f>IF(OR(AU172="",AV172=""),"",AV172-AU172)</f>
        <v/>
      </c>
      <c r="BM172" s="33">
        <f>IF(OR(AV172="",AW172=""),"",AW172-AV172)</f>
        <v/>
      </c>
      <c r="BN172" s="33">
        <f>IF(OR(AW172="",AX172=""),"",AX172-AW172)</f>
        <v/>
      </c>
      <c r="BO172" s="33">
        <f>IF(OR(AX172="",BA172=""),"",BA172-AX172)</f>
        <v/>
      </c>
      <c r="BP172" s="33">
        <f>IF(OR(AV172="",BA172=""),"",BA172-AV172)</f>
        <v/>
      </c>
      <c r="BQ172" s="33">
        <f>IF(OR(BB172="",BD172=""),"",BD172-BB172)</f>
        <v/>
      </c>
      <c r="BR172" s="33">
        <f>IF(OR(AX172="",BD172=""),"",BD172-AX172)</f>
        <v/>
      </c>
      <c r="BS172" s="33">
        <f>IF(OR(AW172="",BD172=""),"",BD172-AW172)</f>
        <v/>
      </c>
      <c r="BT172" s="33">
        <f>IF(OR(AV172="",BD172=""),"",BD172-AV172)</f>
        <v/>
      </c>
      <c r="BU172" s="33">
        <f>IF(OR(AU172="",BD172=""),"",BD172-AU172)</f>
        <v/>
      </c>
      <c r="BV172" s="33">
        <f>IF(OR(BB172="",BG172=""),"",BG172-BB172)</f>
        <v/>
      </c>
      <c r="BW172" s="33">
        <f>IF(OR(BG172="",BH172=""),"",BH172-BG172)</f>
        <v/>
      </c>
      <c r="BX172" s="33">
        <f>IF(OR(BG172="",BI172=""),"",BI172-BG172)</f>
        <v/>
      </c>
      <c r="BY172" s="39">
        <f>IF(OR(AX172="",BK172=""),"",ROUND((BK172-AX172)/30.44,1))</f>
        <v/>
      </c>
      <c r="BZ172" s="37">
        <f>IF(BR172="","",IF(BR172&lt;=30,1,0))</f>
        <v/>
      </c>
      <c r="CA172" s="37">
        <f>IF(BR172="","",IF(BR172&gt;40.5,1,0))</f>
        <v/>
      </c>
      <c r="CB172" s="37">
        <f>IF(BR172="","",IF(BR172&gt;60,1,0))</f>
        <v/>
      </c>
      <c r="CC172" s="37">
        <f>IF(BR172="","",IF(BR172&gt;67,1,0))</f>
        <v/>
      </c>
      <c r="CD172" s="37">
        <f>IF(BT172="","",IF(BT172&lt;=30,1,0))</f>
        <v/>
      </c>
      <c r="CE172" s="37">
        <f>IF(BQ172="","",IF(BQ172&lt;=28,1,0))</f>
        <v/>
      </c>
      <c r="CF172" s="37">
        <f>IF(OR(BV172="",BE172&lt;&gt;"ניתוח"),"",IF(BV172&lt;=30,1,0))</f>
        <v/>
      </c>
      <c r="CG172" s="37">
        <f>IF(BU172="","",IF(BU172&lt;=56,1,0))</f>
        <v/>
      </c>
      <c r="CH172" s="37">
        <f>IF(BW172="","",IF(BW172&lt;=42,1,0))</f>
        <v/>
      </c>
      <c r="CI172" s="37">
        <f>IF(BX172="","",IF(BX172&lt;=100,1,0))</f>
        <v/>
      </c>
      <c r="CJ172" s="33">
        <f>IF(A172="","",COUNTIF(Delays!$B$5:$B$404,A172))</f>
        <v/>
      </c>
      <c r="CK172" s="35" t="n"/>
    </row>
    <row r="173">
      <c r="A173" s="33">
        <f>IF(OR(B173="",C173="",D173="",AX173=""),"","RET-"&amp;RIGHT(YEAR(AX173),2)&amp;"-"&amp;TEXT(B173,"000")&amp;"-"&amp;C173&amp;"-"&amp;D173&amp;"-"&amp;TEXT(MONTH(AX173),"00"))</f>
        <v/>
      </c>
      <c r="B173" s="34" t="n">
        <v>168</v>
      </c>
      <c r="C173" s="35" t="n"/>
      <c r="D173" s="35" t="n"/>
      <c r="E173" s="33">
        <f>IF(AX173="","",YEAR(AX173))</f>
        <v/>
      </c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6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7">
        <f>IF(Y173="","",IF(OR(Y173="III",Y173="IV",Y173="IVA",Y173="IVB",Y173="IVC"),1,0))</f>
        <v/>
      </c>
      <c r="AA173" s="35" t="n"/>
      <c r="AB173" s="35" t="n"/>
      <c r="AC173" s="35" t="n"/>
      <c r="AD173" s="35" t="n"/>
      <c r="AE173" s="35" t="n"/>
      <c r="AF173" s="35" t="n"/>
      <c r="AG173" s="35" t="n"/>
      <c r="AH173" s="35" t="n"/>
      <c r="AI173" s="35" t="n"/>
      <c r="AJ173" s="35" t="n"/>
      <c r="AK173" s="35" t="n"/>
      <c r="AL173" s="35" t="n"/>
      <c r="AM173" s="35" t="n"/>
      <c r="AN173" s="35" t="n"/>
      <c r="AO173" s="35" t="n"/>
      <c r="AP173" s="35" t="n"/>
      <c r="AQ173" s="35" t="n"/>
      <c r="AR173" s="35" t="n"/>
      <c r="AS173" s="35" t="n"/>
      <c r="AT173" s="35" t="n"/>
      <c r="AU173" s="38" t="n"/>
      <c r="AV173" s="38" t="n"/>
      <c r="AW173" s="38" t="n"/>
      <c r="AX173" s="38" t="n"/>
      <c r="AY173" s="38" t="n"/>
      <c r="AZ173" s="38" t="n"/>
      <c r="BA173" s="38" t="n"/>
      <c r="BB173" s="38" t="n"/>
      <c r="BC173" s="38" t="n"/>
      <c r="BD173" s="38" t="n"/>
      <c r="BE173" s="35" t="n"/>
      <c r="BF173" s="35" t="n"/>
      <c r="BG173" s="38" t="n"/>
      <c r="BH173" s="38" t="n"/>
      <c r="BI173" s="38" t="n"/>
      <c r="BJ173" s="35" t="n"/>
      <c r="BK173" s="38" t="n"/>
      <c r="BL173" s="33">
        <f>IF(OR(AU173="",AV173=""),"",AV173-AU173)</f>
        <v/>
      </c>
      <c r="BM173" s="33">
        <f>IF(OR(AV173="",AW173=""),"",AW173-AV173)</f>
        <v/>
      </c>
      <c r="BN173" s="33">
        <f>IF(OR(AW173="",AX173=""),"",AX173-AW173)</f>
        <v/>
      </c>
      <c r="BO173" s="33">
        <f>IF(OR(AX173="",BA173=""),"",BA173-AX173)</f>
        <v/>
      </c>
      <c r="BP173" s="33">
        <f>IF(OR(AV173="",BA173=""),"",BA173-AV173)</f>
        <v/>
      </c>
      <c r="BQ173" s="33">
        <f>IF(OR(BB173="",BD173=""),"",BD173-BB173)</f>
        <v/>
      </c>
      <c r="BR173" s="33">
        <f>IF(OR(AX173="",BD173=""),"",BD173-AX173)</f>
        <v/>
      </c>
      <c r="BS173" s="33">
        <f>IF(OR(AW173="",BD173=""),"",BD173-AW173)</f>
        <v/>
      </c>
      <c r="BT173" s="33">
        <f>IF(OR(AV173="",BD173=""),"",BD173-AV173)</f>
        <v/>
      </c>
      <c r="BU173" s="33">
        <f>IF(OR(AU173="",BD173=""),"",BD173-AU173)</f>
        <v/>
      </c>
      <c r="BV173" s="33">
        <f>IF(OR(BB173="",BG173=""),"",BG173-BB173)</f>
        <v/>
      </c>
      <c r="BW173" s="33">
        <f>IF(OR(BG173="",BH173=""),"",BH173-BG173)</f>
        <v/>
      </c>
      <c r="BX173" s="33">
        <f>IF(OR(BG173="",BI173=""),"",BI173-BG173)</f>
        <v/>
      </c>
      <c r="BY173" s="39">
        <f>IF(OR(AX173="",BK173=""),"",ROUND((BK173-AX173)/30.44,1))</f>
        <v/>
      </c>
      <c r="BZ173" s="37">
        <f>IF(BR173="","",IF(BR173&lt;=30,1,0))</f>
        <v/>
      </c>
      <c r="CA173" s="37">
        <f>IF(BR173="","",IF(BR173&gt;40.5,1,0))</f>
        <v/>
      </c>
      <c r="CB173" s="37">
        <f>IF(BR173="","",IF(BR173&gt;60,1,0))</f>
        <v/>
      </c>
      <c r="CC173" s="37">
        <f>IF(BR173="","",IF(BR173&gt;67,1,0))</f>
        <v/>
      </c>
      <c r="CD173" s="37">
        <f>IF(BT173="","",IF(BT173&lt;=30,1,0))</f>
        <v/>
      </c>
      <c r="CE173" s="37">
        <f>IF(BQ173="","",IF(BQ173&lt;=28,1,0))</f>
        <v/>
      </c>
      <c r="CF173" s="37">
        <f>IF(OR(BV173="",BE173&lt;&gt;"ניתוח"),"",IF(BV173&lt;=30,1,0))</f>
        <v/>
      </c>
      <c r="CG173" s="37">
        <f>IF(BU173="","",IF(BU173&lt;=56,1,0))</f>
        <v/>
      </c>
      <c r="CH173" s="37">
        <f>IF(BW173="","",IF(BW173&lt;=42,1,0))</f>
        <v/>
      </c>
      <c r="CI173" s="37">
        <f>IF(BX173="","",IF(BX173&lt;=100,1,0))</f>
        <v/>
      </c>
      <c r="CJ173" s="33">
        <f>IF(A173="","",COUNTIF(Delays!$B$5:$B$404,A173))</f>
        <v/>
      </c>
      <c r="CK173" s="35" t="n"/>
    </row>
    <row r="174">
      <c r="A174" s="33">
        <f>IF(OR(B174="",C174="",D174="",AX174=""),"","RET-"&amp;RIGHT(YEAR(AX174),2)&amp;"-"&amp;TEXT(B174,"000")&amp;"-"&amp;C174&amp;"-"&amp;D174&amp;"-"&amp;TEXT(MONTH(AX174),"00"))</f>
        <v/>
      </c>
      <c r="B174" s="34" t="n">
        <v>169</v>
      </c>
      <c r="C174" s="35" t="n"/>
      <c r="D174" s="35" t="n"/>
      <c r="E174" s="33">
        <f>IF(AX174="","",YEAR(AX174))</f>
        <v/>
      </c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6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7">
        <f>IF(Y174="","",IF(OR(Y174="III",Y174="IV",Y174="IVA",Y174="IVB",Y174="IVC"),1,0))</f>
        <v/>
      </c>
      <c r="AA174" s="35" t="n"/>
      <c r="AB174" s="35" t="n"/>
      <c r="AC174" s="35" t="n"/>
      <c r="AD174" s="35" t="n"/>
      <c r="AE174" s="35" t="n"/>
      <c r="AF174" s="35" t="n"/>
      <c r="AG174" s="35" t="n"/>
      <c r="AH174" s="35" t="n"/>
      <c r="AI174" s="35" t="n"/>
      <c r="AJ174" s="35" t="n"/>
      <c r="AK174" s="35" t="n"/>
      <c r="AL174" s="35" t="n"/>
      <c r="AM174" s="35" t="n"/>
      <c r="AN174" s="35" t="n"/>
      <c r="AO174" s="35" t="n"/>
      <c r="AP174" s="35" t="n"/>
      <c r="AQ174" s="35" t="n"/>
      <c r="AR174" s="35" t="n"/>
      <c r="AS174" s="35" t="n"/>
      <c r="AT174" s="35" t="n"/>
      <c r="AU174" s="38" t="n"/>
      <c r="AV174" s="38" t="n"/>
      <c r="AW174" s="38" t="n"/>
      <c r="AX174" s="38" t="n"/>
      <c r="AY174" s="38" t="n"/>
      <c r="AZ174" s="38" t="n"/>
      <c r="BA174" s="38" t="n"/>
      <c r="BB174" s="38" t="n"/>
      <c r="BC174" s="38" t="n"/>
      <c r="BD174" s="38" t="n"/>
      <c r="BE174" s="35" t="n"/>
      <c r="BF174" s="35" t="n"/>
      <c r="BG174" s="38" t="n"/>
      <c r="BH174" s="38" t="n"/>
      <c r="BI174" s="38" t="n"/>
      <c r="BJ174" s="35" t="n"/>
      <c r="BK174" s="38" t="n"/>
      <c r="BL174" s="33">
        <f>IF(OR(AU174="",AV174=""),"",AV174-AU174)</f>
        <v/>
      </c>
      <c r="BM174" s="33">
        <f>IF(OR(AV174="",AW174=""),"",AW174-AV174)</f>
        <v/>
      </c>
      <c r="BN174" s="33">
        <f>IF(OR(AW174="",AX174=""),"",AX174-AW174)</f>
        <v/>
      </c>
      <c r="BO174" s="33">
        <f>IF(OR(AX174="",BA174=""),"",BA174-AX174)</f>
        <v/>
      </c>
      <c r="BP174" s="33">
        <f>IF(OR(AV174="",BA174=""),"",BA174-AV174)</f>
        <v/>
      </c>
      <c r="BQ174" s="33">
        <f>IF(OR(BB174="",BD174=""),"",BD174-BB174)</f>
        <v/>
      </c>
      <c r="BR174" s="33">
        <f>IF(OR(AX174="",BD174=""),"",BD174-AX174)</f>
        <v/>
      </c>
      <c r="BS174" s="33">
        <f>IF(OR(AW174="",BD174=""),"",BD174-AW174)</f>
        <v/>
      </c>
      <c r="BT174" s="33">
        <f>IF(OR(AV174="",BD174=""),"",BD174-AV174)</f>
        <v/>
      </c>
      <c r="BU174" s="33">
        <f>IF(OR(AU174="",BD174=""),"",BD174-AU174)</f>
        <v/>
      </c>
      <c r="BV174" s="33">
        <f>IF(OR(BB174="",BG174=""),"",BG174-BB174)</f>
        <v/>
      </c>
      <c r="BW174" s="33">
        <f>IF(OR(BG174="",BH174=""),"",BH174-BG174)</f>
        <v/>
      </c>
      <c r="BX174" s="33">
        <f>IF(OR(BG174="",BI174=""),"",BI174-BG174)</f>
        <v/>
      </c>
      <c r="BY174" s="39">
        <f>IF(OR(AX174="",BK174=""),"",ROUND((BK174-AX174)/30.44,1))</f>
        <v/>
      </c>
      <c r="BZ174" s="37">
        <f>IF(BR174="","",IF(BR174&lt;=30,1,0))</f>
        <v/>
      </c>
      <c r="CA174" s="37">
        <f>IF(BR174="","",IF(BR174&gt;40.5,1,0))</f>
        <v/>
      </c>
      <c r="CB174" s="37">
        <f>IF(BR174="","",IF(BR174&gt;60,1,0))</f>
        <v/>
      </c>
      <c r="CC174" s="37">
        <f>IF(BR174="","",IF(BR174&gt;67,1,0))</f>
        <v/>
      </c>
      <c r="CD174" s="37">
        <f>IF(BT174="","",IF(BT174&lt;=30,1,0))</f>
        <v/>
      </c>
      <c r="CE174" s="37">
        <f>IF(BQ174="","",IF(BQ174&lt;=28,1,0))</f>
        <v/>
      </c>
      <c r="CF174" s="37">
        <f>IF(OR(BV174="",BE174&lt;&gt;"ניתוח"),"",IF(BV174&lt;=30,1,0))</f>
        <v/>
      </c>
      <c r="CG174" s="37">
        <f>IF(BU174="","",IF(BU174&lt;=56,1,0))</f>
        <v/>
      </c>
      <c r="CH174" s="37">
        <f>IF(BW174="","",IF(BW174&lt;=42,1,0))</f>
        <v/>
      </c>
      <c r="CI174" s="37">
        <f>IF(BX174="","",IF(BX174&lt;=100,1,0))</f>
        <v/>
      </c>
      <c r="CJ174" s="33">
        <f>IF(A174="","",COUNTIF(Delays!$B$5:$B$404,A174))</f>
        <v/>
      </c>
      <c r="CK174" s="35" t="n"/>
    </row>
    <row r="175">
      <c r="A175" s="33">
        <f>IF(OR(B175="",C175="",D175="",AX175=""),"","RET-"&amp;RIGHT(YEAR(AX175),2)&amp;"-"&amp;TEXT(B175,"000")&amp;"-"&amp;C175&amp;"-"&amp;D175&amp;"-"&amp;TEXT(MONTH(AX175),"00"))</f>
        <v/>
      </c>
      <c r="B175" s="34" t="n">
        <v>170</v>
      </c>
      <c r="C175" s="35" t="n"/>
      <c r="D175" s="35" t="n"/>
      <c r="E175" s="33">
        <f>IF(AX175="","",YEAR(AX175))</f>
        <v/>
      </c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6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7">
        <f>IF(Y175="","",IF(OR(Y175="III",Y175="IV",Y175="IVA",Y175="IVB",Y175="IVC"),1,0))</f>
        <v/>
      </c>
      <c r="AA175" s="35" t="n"/>
      <c r="AB175" s="35" t="n"/>
      <c r="AC175" s="35" t="n"/>
      <c r="AD175" s="35" t="n"/>
      <c r="AE175" s="35" t="n"/>
      <c r="AF175" s="35" t="n"/>
      <c r="AG175" s="35" t="n"/>
      <c r="AH175" s="35" t="n"/>
      <c r="AI175" s="35" t="n"/>
      <c r="AJ175" s="35" t="n"/>
      <c r="AK175" s="35" t="n"/>
      <c r="AL175" s="35" t="n"/>
      <c r="AM175" s="35" t="n"/>
      <c r="AN175" s="35" t="n"/>
      <c r="AO175" s="35" t="n"/>
      <c r="AP175" s="35" t="n"/>
      <c r="AQ175" s="35" t="n"/>
      <c r="AR175" s="35" t="n"/>
      <c r="AS175" s="35" t="n"/>
      <c r="AT175" s="35" t="n"/>
      <c r="AU175" s="38" t="n"/>
      <c r="AV175" s="38" t="n"/>
      <c r="AW175" s="38" t="n"/>
      <c r="AX175" s="38" t="n"/>
      <c r="AY175" s="38" t="n"/>
      <c r="AZ175" s="38" t="n"/>
      <c r="BA175" s="38" t="n"/>
      <c r="BB175" s="38" t="n"/>
      <c r="BC175" s="38" t="n"/>
      <c r="BD175" s="38" t="n"/>
      <c r="BE175" s="35" t="n"/>
      <c r="BF175" s="35" t="n"/>
      <c r="BG175" s="38" t="n"/>
      <c r="BH175" s="38" t="n"/>
      <c r="BI175" s="38" t="n"/>
      <c r="BJ175" s="35" t="n"/>
      <c r="BK175" s="38" t="n"/>
      <c r="BL175" s="33">
        <f>IF(OR(AU175="",AV175=""),"",AV175-AU175)</f>
        <v/>
      </c>
      <c r="BM175" s="33">
        <f>IF(OR(AV175="",AW175=""),"",AW175-AV175)</f>
        <v/>
      </c>
      <c r="BN175" s="33">
        <f>IF(OR(AW175="",AX175=""),"",AX175-AW175)</f>
        <v/>
      </c>
      <c r="BO175" s="33">
        <f>IF(OR(AX175="",BA175=""),"",BA175-AX175)</f>
        <v/>
      </c>
      <c r="BP175" s="33">
        <f>IF(OR(AV175="",BA175=""),"",BA175-AV175)</f>
        <v/>
      </c>
      <c r="BQ175" s="33">
        <f>IF(OR(BB175="",BD175=""),"",BD175-BB175)</f>
        <v/>
      </c>
      <c r="BR175" s="33">
        <f>IF(OR(AX175="",BD175=""),"",BD175-AX175)</f>
        <v/>
      </c>
      <c r="BS175" s="33">
        <f>IF(OR(AW175="",BD175=""),"",BD175-AW175)</f>
        <v/>
      </c>
      <c r="BT175" s="33">
        <f>IF(OR(AV175="",BD175=""),"",BD175-AV175)</f>
        <v/>
      </c>
      <c r="BU175" s="33">
        <f>IF(OR(AU175="",BD175=""),"",BD175-AU175)</f>
        <v/>
      </c>
      <c r="BV175" s="33">
        <f>IF(OR(BB175="",BG175=""),"",BG175-BB175)</f>
        <v/>
      </c>
      <c r="BW175" s="33">
        <f>IF(OR(BG175="",BH175=""),"",BH175-BG175)</f>
        <v/>
      </c>
      <c r="BX175" s="33">
        <f>IF(OR(BG175="",BI175=""),"",BI175-BG175)</f>
        <v/>
      </c>
      <c r="BY175" s="39">
        <f>IF(OR(AX175="",BK175=""),"",ROUND((BK175-AX175)/30.44,1))</f>
        <v/>
      </c>
      <c r="BZ175" s="37">
        <f>IF(BR175="","",IF(BR175&lt;=30,1,0))</f>
        <v/>
      </c>
      <c r="CA175" s="37">
        <f>IF(BR175="","",IF(BR175&gt;40.5,1,0))</f>
        <v/>
      </c>
      <c r="CB175" s="37">
        <f>IF(BR175="","",IF(BR175&gt;60,1,0))</f>
        <v/>
      </c>
      <c r="CC175" s="37">
        <f>IF(BR175="","",IF(BR175&gt;67,1,0))</f>
        <v/>
      </c>
      <c r="CD175" s="37">
        <f>IF(BT175="","",IF(BT175&lt;=30,1,0))</f>
        <v/>
      </c>
      <c r="CE175" s="37">
        <f>IF(BQ175="","",IF(BQ175&lt;=28,1,0))</f>
        <v/>
      </c>
      <c r="CF175" s="37">
        <f>IF(OR(BV175="",BE175&lt;&gt;"ניתוח"),"",IF(BV175&lt;=30,1,0))</f>
        <v/>
      </c>
      <c r="CG175" s="37">
        <f>IF(BU175="","",IF(BU175&lt;=56,1,0))</f>
        <v/>
      </c>
      <c r="CH175" s="37">
        <f>IF(BW175="","",IF(BW175&lt;=42,1,0))</f>
        <v/>
      </c>
      <c r="CI175" s="37">
        <f>IF(BX175="","",IF(BX175&lt;=100,1,0))</f>
        <v/>
      </c>
      <c r="CJ175" s="33">
        <f>IF(A175="","",COUNTIF(Delays!$B$5:$B$404,A175))</f>
        <v/>
      </c>
      <c r="CK175" s="35" t="n"/>
    </row>
    <row r="176">
      <c r="A176" s="33">
        <f>IF(OR(B176="",C176="",D176="",AX176=""),"","RET-"&amp;RIGHT(YEAR(AX176),2)&amp;"-"&amp;TEXT(B176,"000")&amp;"-"&amp;C176&amp;"-"&amp;D176&amp;"-"&amp;TEXT(MONTH(AX176),"00"))</f>
        <v/>
      </c>
      <c r="B176" s="34" t="n">
        <v>171</v>
      </c>
      <c r="C176" s="35" t="n"/>
      <c r="D176" s="35" t="n"/>
      <c r="E176" s="33">
        <f>IF(AX176="","",YEAR(AX176))</f>
        <v/>
      </c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6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7">
        <f>IF(Y176="","",IF(OR(Y176="III",Y176="IV",Y176="IVA",Y176="IVB",Y176="IVC"),1,0))</f>
        <v/>
      </c>
      <c r="AA176" s="35" t="n"/>
      <c r="AB176" s="35" t="n"/>
      <c r="AC176" s="35" t="n"/>
      <c r="AD176" s="35" t="n"/>
      <c r="AE176" s="35" t="n"/>
      <c r="AF176" s="35" t="n"/>
      <c r="AG176" s="35" t="n"/>
      <c r="AH176" s="35" t="n"/>
      <c r="AI176" s="35" t="n"/>
      <c r="AJ176" s="35" t="n"/>
      <c r="AK176" s="35" t="n"/>
      <c r="AL176" s="35" t="n"/>
      <c r="AM176" s="35" t="n"/>
      <c r="AN176" s="35" t="n"/>
      <c r="AO176" s="35" t="n"/>
      <c r="AP176" s="35" t="n"/>
      <c r="AQ176" s="35" t="n"/>
      <c r="AR176" s="35" t="n"/>
      <c r="AS176" s="35" t="n"/>
      <c r="AT176" s="35" t="n"/>
      <c r="AU176" s="38" t="n"/>
      <c r="AV176" s="38" t="n"/>
      <c r="AW176" s="38" t="n"/>
      <c r="AX176" s="38" t="n"/>
      <c r="AY176" s="38" t="n"/>
      <c r="AZ176" s="38" t="n"/>
      <c r="BA176" s="38" t="n"/>
      <c r="BB176" s="38" t="n"/>
      <c r="BC176" s="38" t="n"/>
      <c r="BD176" s="38" t="n"/>
      <c r="BE176" s="35" t="n"/>
      <c r="BF176" s="35" t="n"/>
      <c r="BG176" s="38" t="n"/>
      <c r="BH176" s="38" t="n"/>
      <c r="BI176" s="38" t="n"/>
      <c r="BJ176" s="35" t="n"/>
      <c r="BK176" s="38" t="n"/>
      <c r="BL176" s="33">
        <f>IF(OR(AU176="",AV176=""),"",AV176-AU176)</f>
        <v/>
      </c>
      <c r="BM176" s="33">
        <f>IF(OR(AV176="",AW176=""),"",AW176-AV176)</f>
        <v/>
      </c>
      <c r="BN176" s="33">
        <f>IF(OR(AW176="",AX176=""),"",AX176-AW176)</f>
        <v/>
      </c>
      <c r="BO176" s="33">
        <f>IF(OR(AX176="",BA176=""),"",BA176-AX176)</f>
        <v/>
      </c>
      <c r="BP176" s="33">
        <f>IF(OR(AV176="",BA176=""),"",BA176-AV176)</f>
        <v/>
      </c>
      <c r="BQ176" s="33">
        <f>IF(OR(BB176="",BD176=""),"",BD176-BB176)</f>
        <v/>
      </c>
      <c r="BR176" s="33">
        <f>IF(OR(AX176="",BD176=""),"",BD176-AX176)</f>
        <v/>
      </c>
      <c r="BS176" s="33">
        <f>IF(OR(AW176="",BD176=""),"",BD176-AW176)</f>
        <v/>
      </c>
      <c r="BT176" s="33">
        <f>IF(OR(AV176="",BD176=""),"",BD176-AV176)</f>
        <v/>
      </c>
      <c r="BU176" s="33">
        <f>IF(OR(AU176="",BD176=""),"",BD176-AU176)</f>
        <v/>
      </c>
      <c r="BV176" s="33">
        <f>IF(OR(BB176="",BG176=""),"",BG176-BB176)</f>
        <v/>
      </c>
      <c r="BW176" s="33">
        <f>IF(OR(BG176="",BH176=""),"",BH176-BG176)</f>
        <v/>
      </c>
      <c r="BX176" s="33">
        <f>IF(OR(BG176="",BI176=""),"",BI176-BG176)</f>
        <v/>
      </c>
      <c r="BY176" s="39">
        <f>IF(OR(AX176="",BK176=""),"",ROUND((BK176-AX176)/30.44,1))</f>
        <v/>
      </c>
      <c r="BZ176" s="37">
        <f>IF(BR176="","",IF(BR176&lt;=30,1,0))</f>
        <v/>
      </c>
      <c r="CA176" s="37">
        <f>IF(BR176="","",IF(BR176&gt;40.5,1,0))</f>
        <v/>
      </c>
      <c r="CB176" s="37">
        <f>IF(BR176="","",IF(BR176&gt;60,1,0))</f>
        <v/>
      </c>
      <c r="CC176" s="37">
        <f>IF(BR176="","",IF(BR176&gt;67,1,0))</f>
        <v/>
      </c>
      <c r="CD176" s="37">
        <f>IF(BT176="","",IF(BT176&lt;=30,1,0))</f>
        <v/>
      </c>
      <c r="CE176" s="37">
        <f>IF(BQ176="","",IF(BQ176&lt;=28,1,0))</f>
        <v/>
      </c>
      <c r="CF176" s="37">
        <f>IF(OR(BV176="",BE176&lt;&gt;"ניתוח"),"",IF(BV176&lt;=30,1,0))</f>
        <v/>
      </c>
      <c r="CG176" s="37">
        <f>IF(BU176="","",IF(BU176&lt;=56,1,0))</f>
        <v/>
      </c>
      <c r="CH176" s="37">
        <f>IF(BW176="","",IF(BW176&lt;=42,1,0))</f>
        <v/>
      </c>
      <c r="CI176" s="37">
        <f>IF(BX176="","",IF(BX176&lt;=100,1,0))</f>
        <v/>
      </c>
      <c r="CJ176" s="33">
        <f>IF(A176="","",COUNTIF(Delays!$B$5:$B$404,A176))</f>
        <v/>
      </c>
      <c r="CK176" s="35" t="n"/>
    </row>
    <row r="177">
      <c r="A177" s="33">
        <f>IF(OR(B177="",C177="",D177="",AX177=""),"","RET-"&amp;RIGHT(YEAR(AX177),2)&amp;"-"&amp;TEXT(B177,"000")&amp;"-"&amp;C177&amp;"-"&amp;D177&amp;"-"&amp;TEXT(MONTH(AX177),"00"))</f>
        <v/>
      </c>
      <c r="B177" s="34" t="n">
        <v>172</v>
      </c>
      <c r="C177" s="35" t="n"/>
      <c r="D177" s="35" t="n"/>
      <c r="E177" s="33">
        <f>IF(AX177="","",YEAR(AX177))</f>
        <v/>
      </c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6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7">
        <f>IF(Y177="","",IF(OR(Y177="III",Y177="IV",Y177="IVA",Y177="IVB",Y177="IVC"),1,0))</f>
        <v/>
      </c>
      <c r="AA177" s="35" t="n"/>
      <c r="AB177" s="35" t="n"/>
      <c r="AC177" s="35" t="n"/>
      <c r="AD177" s="35" t="n"/>
      <c r="AE177" s="35" t="n"/>
      <c r="AF177" s="35" t="n"/>
      <c r="AG177" s="35" t="n"/>
      <c r="AH177" s="35" t="n"/>
      <c r="AI177" s="35" t="n"/>
      <c r="AJ177" s="35" t="n"/>
      <c r="AK177" s="35" t="n"/>
      <c r="AL177" s="35" t="n"/>
      <c r="AM177" s="35" t="n"/>
      <c r="AN177" s="35" t="n"/>
      <c r="AO177" s="35" t="n"/>
      <c r="AP177" s="35" t="n"/>
      <c r="AQ177" s="35" t="n"/>
      <c r="AR177" s="35" t="n"/>
      <c r="AS177" s="35" t="n"/>
      <c r="AT177" s="35" t="n"/>
      <c r="AU177" s="38" t="n"/>
      <c r="AV177" s="38" t="n"/>
      <c r="AW177" s="38" t="n"/>
      <c r="AX177" s="38" t="n"/>
      <c r="AY177" s="38" t="n"/>
      <c r="AZ177" s="38" t="n"/>
      <c r="BA177" s="38" t="n"/>
      <c r="BB177" s="38" t="n"/>
      <c r="BC177" s="38" t="n"/>
      <c r="BD177" s="38" t="n"/>
      <c r="BE177" s="35" t="n"/>
      <c r="BF177" s="35" t="n"/>
      <c r="BG177" s="38" t="n"/>
      <c r="BH177" s="38" t="n"/>
      <c r="BI177" s="38" t="n"/>
      <c r="BJ177" s="35" t="n"/>
      <c r="BK177" s="38" t="n"/>
      <c r="BL177" s="33">
        <f>IF(OR(AU177="",AV177=""),"",AV177-AU177)</f>
        <v/>
      </c>
      <c r="BM177" s="33">
        <f>IF(OR(AV177="",AW177=""),"",AW177-AV177)</f>
        <v/>
      </c>
      <c r="BN177" s="33">
        <f>IF(OR(AW177="",AX177=""),"",AX177-AW177)</f>
        <v/>
      </c>
      <c r="BO177" s="33">
        <f>IF(OR(AX177="",BA177=""),"",BA177-AX177)</f>
        <v/>
      </c>
      <c r="BP177" s="33">
        <f>IF(OR(AV177="",BA177=""),"",BA177-AV177)</f>
        <v/>
      </c>
      <c r="BQ177" s="33">
        <f>IF(OR(BB177="",BD177=""),"",BD177-BB177)</f>
        <v/>
      </c>
      <c r="BR177" s="33">
        <f>IF(OR(AX177="",BD177=""),"",BD177-AX177)</f>
        <v/>
      </c>
      <c r="BS177" s="33">
        <f>IF(OR(AW177="",BD177=""),"",BD177-AW177)</f>
        <v/>
      </c>
      <c r="BT177" s="33">
        <f>IF(OR(AV177="",BD177=""),"",BD177-AV177)</f>
        <v/>
      </c>
      <c r="BU177" s="33">
        <f>IF(OR(AU177="",BD177=""),"",BD177-AU177)</f>
        <v/>
      </c>
      <c r="BV177" s="33">
        <f>IF(OR(BB177="",BG177=""),"",BG177-BB177)</f>
        <v/>
      </c>
      <c r="BW177" s="33">
        <f>IF(OR(BG177="",BH177=""),"",BH177-BG177)</f>
        <v/>
      </c>
      <c r="BX177" s="33">
        <f>IF(OR(BG177="",BI177=""),"",BI177-BG177)</f>
        <v/>
      </c>
      <c r="BY177" s="39">
        <f>IF(OR(AX177="",BK177=""),"",ROUND((BK177-AX177)/30.44,1))</f>
        <v/>
      </c>
      <c r="BZ177" s="37">
        <f>IF(BR177="","",IF(BR177&lt;=30,1,0))</f>
        <v/>
      </c>
      <c r="CA177" s="37">
        <f>IF(BR177="","",IF(BR177&gt;40.5,1,0))</f>
        <v/>
      </c>
      <c r="CB177" s="37">
        <f>IF(BR177="","",IF(BR177&gt;60,1,0))</f>
        <v/>
      </c>
      <c r="CC177" s="37">
        <f>IF(BR177="","",IF(BR177&gt;67,1,0))</f>
        <v/>
      </c>
      <c r="CD177" s="37">
        <f>IF(BT177="","",IF(BT177&lt;=30,1,0))</f>
        <v/>
      </c>
      <c r="CE177" s="37">
        <f>IF(BQ177="","",IF(BQ177&lt;=28,1,0))</f>
        <v/>
      </c>
      <c r="CF177" s="37">
        <f>IF(OR(BV177="",BE177&lt;&gt;"ניתוח"),"",IF(BV177&lt;=30,1,0))</f>
        <v/>
      </c>
      <c r="CG177" s="37">
        <f>IF(BU177="","",IF(BU177&lt;=56,1,0))</f>
        <v/>
      </c>
      <c r="CH177" s="37">
        <f>IF(BW177="","",IF(BW177&lt;=42,1,0))</f>
        <v/>
      </c>
      <c r="CI177" s="37">
        <f>IF(BX177="","",IF(BX177&lt;=100,1,0))</f>
        <v/>
      </c>
      <c r="CJ177" s="33">
        <f>IF(A177="","",COUNTIF(Delays!$B$5:$B$404,A177))</f>
        <v/>
      </c>
      <c r="CK177" s="35" t="n"/>
    </row>
    <row r="178">
      <c r="A178" s="33">
        <f>IF(OR(B178="",C178="",D178="",AX178=""),"","RET-"&amp;RIGHT(YEAR(AX178),2)&amp;"-"&amp;TEXT(B178,"000")&amp;"-"&amp;C178&amp;"-"&amp;D178&amp;"-"&amp;TEXT(MONTH(AX178),"00"))</f>
        <v/>
      </c>
      <c r="B178" s="34" t="n">
        <v>173</v>
      </c>
      <c r="C178" s="35" t="n"/>
      <c r="D178" s="35" t="n"/>
      <c r="E178" s="33">
        <f>IF(AX178="","",YEAR(AX178))</f>
        <v/>
      </c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6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7">
        <f>IF(Y178="","",IF(OR(Y178="III",Y178="IV",Y178="IVA",Y178="IVB",Y178="IVC"),1,0))</f>
        <v/>
      </c>
      <c r="AA178" s="35" t="n"/>
      <c r="AB178" s="35" t="n"/>
      <c r="AC178" s="35" t="n"/>
      <c r="AD178" s="35" t="n"/>
      <c r="AE178" s="35" t="n"/>
      <c r="AF178" s="35" t="n"/>
      <c r="AG178" s="35" t="n"/>
      <c r="AH178" s="35" t="n"/>
      <c r="AI178" s="35" t="n"/>
      <c r="AJ178" s="35" t="n"/>
      <c r="AK178" s="35" t="n"/>
      <c r="AL178" s="35" t="n"/>
      <c r="AM178" s="35" t="n"/>
      <c r="AN178" s="35" t="n"/>
      <c r="AO178" s="35" t="n"/>
      <c r="AP178" s="35" t="n"/>
      <c r="AQ178" s="35" t="n"/>
      <c r="AR178" s="35" t="n"/>
      <c r="AS178" s="35" t="n"/>
      <c r="AT178" s="35" t="n"/>
      <c r="AU178" s="38" t="n"/>
      <c r="AV178" s="38" t="n"/>
      <c r="AW178" s="38" t="n"/>
      <c r="AX178" s="38" t="n"/>
      <c r="AY178" s="38" t="n"/>
      <c r="AZ178" s="38" t="n"/>
      <c r="BA178" s="38" t="n"/>
      <c r="BB178" s="38" t="n"/>
      <c r="BC178" s="38" t="n"/>
      <c r="BD178" s="38" t="n"/>
      <c r="BE178" s="35" t="n"/>
      <c r="BF178" s="35" t="n"/>
      <c r="BG178" s="38" t="n"/>
      <c r="BH178" s="38" t="n"/>
      <c r="BI178" s="38" t="n"/>
      <c r="BJ178" s="35" t="n"/>
      <c r="BK178" s="38" t="n"/>
      <c r="BL178" s="33">
        <f>IF(OR(AU178="",AV178=""),"",AV178-AU178)</f>
        <v/>
      </c>
      <c r="BM178" s="33">
        <f>IF(OR(AV178="",AW178=""),"",AW178-AV178)</f>
        <v/>
      </c>
      <c r="BN178" s="33">
        <f>IF(OR(AW178="",AX178=""),"",AX178-AW178)</f>
        <v/>
      </c>
      <c r="BO178" s="33">
        <f>IF(OR(AX178="",BA178=""),"",BA178-AX178)</f>
        <v/>
      </c>
      <c r="BP178" s="33">
        <f>IF(OR(AV178="",BA178=""),"",BA178-AV178)</f>
        <v/>
      </c>
      <c r="BQ178" s="33">
        <f>IF(OR(BB178="",BD178=""),"",BD178-BB178)</f>
        <v/>
      </c>
      <c r="BR178" s="33">
        <f>IF(OR(AX178="",BD178=""),"",BD178-AX178)</f>
        <v/>
      </c>
      <c r="BS178" s="33">
        <f>IF(OR(AW178="",BD178=""),"",BD178-AW178)</f>
        <v/>
      </c>
      <c r="BT178" s="33">
        <f>IF(OR(AV178="",BD178=""),"",BD178-AV178)</f>
        <v/>
      </c>
      <c r="BU178" s="33">
        <f>IF(OR(AU178="",BD178=""),"",BD178-AU178)</f>
        <v/>
      </c>
      <c r="BV178" s="33">
        <f>IF(OR(BB178="",BG178=""),"",BG178-BB178)</f>
        <v/>
      </c>
      <c r="BW178" s="33">
        <f>IF(OR(BG178="",BH178=""),"",BH178-BG178)</f>
        <v/>
      </c>
      <c r="BX178" s="33">
        <f>IF(OR(BG178="",BI178=""),"",BI178-BG178)</f>
        <v/>
      </c>
      <c r="BY178" s="39">
        <f>IF(OR(AX178="",BK178=""),"",ROUND((BK178-AX178)/30.44,1))</f>
        <v/>
      </c>
      <c r="BZ178" s="37">
        <f>IF(BR178="","",IF(BR178&lt;=30,1,0))</f>
        <v/>
      </c>
      <c r="CA178" s="37">
        <f>IF(BR178="","",IF(BR178&gt;40.5,1,0))</f>
        <v/>
      </c>
      <c r="CB178" s="37">
        <f>IF(BR178="","",IF(BR178&gt;60,1,0))</f>
        <v/>
      </c>
      <c r="CC178" s="37">
        <f>IF(BR178="","",IF(BR178&gt;67,1,0))</f>
        <v/>
      </c>
      <c r="CD178" s="37">
        <f>IF(BT178="","",IF(BT178&lt;=30,1,0))</f>
        <v/>
      </c>
      <c r="CE178" s="37">
        <f>IF(BQ178="","",IF(BQ178&lt;=28,1,0))</f>
        <v/>
      </c>
      <c r="CF178" s="37">
        <f>IF(OR(BV178="",BE178&lt;&gt;"ניתוח"),"",IF(BV178&lt;=30,1,0))</f>
        <v/>
      </c>
      <c r="CG178" s="37">
        <f>IF(BU178="","",IF(BU178&lt;=56,1,0))</f>
        <v/>
      </c>
      <c r="CH178" s="37">
        <f>IF(BW178="","",IF(BW178&lt;=42,1,0))</f>
        <v/>
      </c>
      <c r="CI178" s="37">
        <f>IF(BX178="","",IF(BX178&lt;=100,1,0))</f>
        <v/>
      </c>
      <c r="CJ178" s="33">
        <f>IF(A178="","",COUNTIF(Delays!$B$5:$B$404,A178))</f>
        <v/>
      </c>
      <c r="CK178" s="35" t="n"/>
    </row>
    <row r="179">
      <c r="A179" s="33">
        <f>IF(OR(B179="",C179="",D179="",AX179=""),"","RET-"&amp;RIGHT(YEAR(AX179),2)&amp;"-"&amp;TEXT(B179,"000")&amp;"-"&amp;C179&amp;"-"&amp;D179&amp;"-"&amp;TEXT(MONTH(AX179),"00"))</f>
        <v/>
      </c>
      <c r="B179" s="34" t="n">
        <v>174</v>
      </c>
      <c r="C179" s="35" t="n"/>
      <c r="D179" s="35" t="n"/>
      <c r="E179" s="33">
        <f>IF(AX179="","",YEAR(AX179))</f>
        <v/>
      </c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6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7">
        <f>IF(Y179="","",IF(OR(Y179="III",Y179="IV",Y179="IVA",Y179="IVB",Y179="IVC"),1,0))</f>
        <v/>
      </c>
      <c r="AA179" s="35" t="n"/>
      <c r="AB179" s="35" t="n"/>
      <c r="AC179" s="35" t="n"/>
      <c r="AD179" s="35" t="n"/>
      <c r="AE179" s="35" t="n"/>
      <c r="AF179" s="35" t="n"/>
      <c r="AG179" s="35" t="n"/>
      <c r="AH179" s="35" t="n"/>
      <c r="AI179" s="35" t="n"/>
      <c r="AJ179" s="35" t="n"/>
      <c r="AK179" s="35" t="n"/>
      <c r="AL179" s="35" t="n"/>
      <c r="AM179" s="35" t="n"/>
      <c r="AN179" s="35" t="n"/>
      <c r="AO179" s="35" t="n"/>
      <c r="AP179" s="35" t="n"/>
      <c r="AQ179" s="35" t="n"/>
      <c r="AR179" s="35" t="n"/>
      <c r="AS179" s="35" t="n"/>
      <c r="AT179" s="35" t="n"/>
      <c r="AU179" s="38" t="n"/>
      <c r="AV179" s="38" t="n"/>
      <c r="AW179" s="38" t="n"/>
      <c r="AX179" s="38" t="n"/>
      <c r="AY179" s="38" t="n"/>
      <c r="AZ179" s="38" t="n"/>
      <c r="BA179" s="38" t="n"/>
      <c r="BB179" s="38" t="n"/>
      <c r="BC179" s="38" t="n"/>
      <c r="BD179" s="38" t="n"/>
      <c r="BE179" s="35" t="n"/>
      <c r="BF179" s="35" t="n"/>
      <c r="BG179" s="38" t="n"/>
      <c r="BH179" s="38" t="n"/>
      <c r="BI179" s="38" t="n"/>
      <c r="BJ179" s="35" t="n"/>
      <c r="BK179" s="38" t="n"/>
      <c r="BL179" s="33">
        <f>IF(OR(AU179="",AV179=""),"",AV179-AU179)</f>
        <v/>
      </c>
      <c r="BM179" s="33">
        <f>IF(OR(AV179="",AW179=""),"",AW179-AV179)</f>
        <v/>
      </c>
      <c r="BN179" s="33">
        <f>IF(OR(AW179="",AX179=""),"",AX179-AW179)</f>
        <v/>
      </c>
      <c r="BO179" s="33">
        <f>IF(OR(AX179="",BA179=""),"",BA179-AX179)</f>
        <v/>
      </c>
      <c r="BP179" s="33">
        <f>IF(OR(AV179="",BA179=""),"",BA179-AV179)</f>
        <v/>
      </c>
      <c r="BQ179" s="33">
        <f>IF(OR(BB179="",BD179=""),"",BD179-BB179)</f>
        <v/>
      </c>
      <c r="BR179" s="33">
        <f>IF(OR(AX179="",BD179=""),"",BD179-AX179)</f>
        <v/>
      </c>
      <c r="BS179" s="33">
        <f>IF(OR(AW179="",BD179=""),"",BD179-AW179)</f>
        <v/>
      </c>
      <c r="BT179" s="33">
        <f>IF(OR(AV179="",BD179=""),"",BD179-AV179)</f>
        <v/>
      </c>
      <c r="BU179" s="33">
        <f>IF(OR(AU179="",BD179=""),"",BD179-AU179)</f>
        <v/>
      </c>
      <c r="BV179" s="33">
        <f>IF(OR(BB179="",BG179=""),"",BG179-BB179)</f>
        <v/>
      </c>
      <c r="BW179" s="33">
        <f>IF(OR(BG179="",BH179=""),"",BH179-BG179)</f>
        <v/>
      </c>
      <c r="BX179" s="33">
        <f>IF(OR(BG179="",BI179=""),"",BI179-BG179)</f>
        <v/>
      </c>
      <c r="BY179" s="39">
        <f>IF(OR(AX179="",BK179=""),"",ROUND((BK179-AX179)/30.44,1))</f>
        <v/>
      </c>
      <c r="BZ179" s="37">
        <f>IF(BR179="","",IF(BR179&lt;=30,1,0))</f>
        <v/>
      </c>
      <c r="CA179" s="37">
        <f>IF(BR179="","",IF(BR179&gt;40.5,1,0))</f>
        <v/>
      </c>
      <c r="CB179" s="37">
        <f>IF(BR179="","",IF(BR179&gt;60,1,0))</f>
        <v/>
      </c>
      <c r="CC179" s="37">
        <f>IF(BR179="","",IF(BR179&gt;67,1,0))</f>
        <v/>
      </c>
      <c r="CD179" s="37">
        <f>IF(BT179="","",IF(BT179&lt;=30,1,0))</f>
        <v/>
      </c>
      <c r="CE179" s="37">
        <f>IF(BQ179="","",IF(BQ179&lt;=28,1,0))</f>
        <v/>
      </c>
      <c r="CF179" s="37">
        <f>IF(OR(BV179="",BE179&lt;&gt;"ניתוח"),"",IF(BV179&lt;=30,1,0))</f>
        <v/>
      </c>
      <c r="CG179" s="37">
        <f>IF(BU179="","",IF(BU179&lt;=56,1,0))</f>
        <v/>
      </c>
      <c r="CH179" s="37">
        <f>IF(BW179="","",IF(BW179&lt;=42,1,0))</f>
        <v/>
      </c>
      <c r="CI179" s="37">
        <f>IF(BX179="","",IF(BX179&lt;=100,1,0))</f>
        <v/>
      </c>
      <c r="CJ179" s="33">
        <f>IF(A179="","",COUNTIF(Delays!$B$5:$B$404,A179))</f>
        <v/>
      </c>
      <c r="CK179" s="35" t="n"/>
    </row>
    <row r="180">
      <c r="A180" s="33">
        <f>IF(OR(B180="",C180="",D180="",AX180=""),"","RET-"&amp;RIGHT(YEAR(AX180),2)&amp;"-"&amp;TEXT(B180,"000")&amp;"-"&amp;C180&amp;"-"&amp;D180&amp;"-"&amp;TEXT(MONTH(AX180),"00"))</f>
        <v/>
      </c>
      <c r="B180" s="34" t="n">
        <v>175</v>
      </c>
      <c r="C180" s="35" t="n"/>
      <c r="D180" s="35" t="n"/>
      <c r="E180" s="33">
        <f>IF(AX180="","",YEAR(AX180))</f>
        <v/>
      </c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6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7">
        <f>IF(Y180="","",IF(OR(Y180="III",Y180="IV",Y180="IVA",Y180="IVB",Y180="IVC"),1,0))</f>
        <v/>
      </c>
      <c r="AA180" s="35" t="n"/>
      <c r="AB180" s="35" t="n"/>
      <c r="AC180" s="35" t="n"/>
      <c r="AD180" s="35" t="n"/>
      <c r="AE180" s="35" t="n"/>
      <c r="AF180" s="35" t="n"/>
      <c r="AG180" s="35" t="n"/>
      <c r="AH180" s="35" t="n"/>
      <c r="AI180" s="35" t="n"/>
      <c r="AJ180" s="35" t="n"/>
      <c r="AK180" s="35" t="n"/>
      <c r="AL180" s="35" t="n"/>
      <c r="AM180" s="35" t="n"/>
      <c r="AN180" s="35" t="n"/>
      <c r="AO180" s="35" t="n"/>
      <c r="AP180" s="35" t="n"/>
      <c r="AQ180" s="35" t="n"/>
      <c r="AR180" s="35" t="n"/>
      <c r="AS180" s="35" t="n"/>
      <c r="AT180" s="35" t="n"/>
      <c r="AU180" s="38" t="n"/>
      <c r="AV180" s="38" t="n"/>
      <c r="AW180" s="38" t="n"/>
      <c r="AX180" s="38" t="n"/>
      <c r="AY180" s="38" t="n"/>
      <c r="AZ180" s="38" t="n"/>
      <c r="BA180" s="38" t="n"/>
      <c r="BB180" s="38" t="n"/>
      <c r="BC180" s="38" t="n"/>
      <c r="BD180" s="38" t="n"/>
      <c r="BE180" s="35" t="n"/>
      <c r="BF180" s="35" t="n"/>
      <c r="BG180" s="38" t="n"/>
      <c r="BH180" s="38" t="n"/>
      <c r="BI180" s="38" t="n"/>
      <c r="BJ180" s="35" t="n"/>
      <c r="BK180" s="38" t="n"/>
      <c r="BL180" s="33">
        <f>IF(OR(AU180="",AV180=""),"",AV180-AU180)</f>
        <v/>
      </c>
      <c r="BM180" s="33">
        <f>IF(OR(AV180="",AW180=""),"",AW180-AV180)</f>
        <v/>
      </c>
      <c r="BN180" s="33">
        <f>IF(OR(AW180="",AX180=""),"",AX180-AW180)</f>
        <v/>
      </c>
      <c r="BO180" s="33">
        <f>IF(OR(AX180="",BA180=""),"",BA180-AX180)</f>
        <v/>
      </c>
      <c r="BP180" s="33">
        <f>IF(OR(AV180="",BA180=""),"",BA180-AV180)</f>
        <v/>
      </c>
      <c r="BQ180" s="33">
        <f>IF(OR(BB180="",BD180=""),"",BD180-BB180)</f>
        <v/>
      </c>
      <c r="BR180" s="33">
        <f>IF(OR(AX180="",BD180=""),"",BD180-AX180)</f>
        <v/>
      </c>
      <c r="BS180" s="33">
        <f>IF(OR(AW180="",BD180=""),"",BD180-AW180)</f>
        <v/>
      </c>
      <c r="BT180" s="33">
        <f>IF(OR(AV180="",BD180=""),"",BD180-AV180)</f>
        <v/>
      </c>
      <c r="BU180" s="33">
        <f>IF(OR(AU180="",BD180=""),"",BD180-AU180)</f>
        <v/>
      </c>
      <c r="BV180" s="33">
        <f>IF(OR(BB180="",BG180=""),"",BG180-BB180)</f>
        <v/>
      </c>
      <c r="BW180" s="33">
        <f>IF(OR(BG180="",BH180=""),"",BH180-BG180)</f>
        <v/>
      </c>
      <c r="BX180" s="33">
        <f>IF(OR(BG180="",BI180=""),"",BI180-BG180)</f>
        <v/>
      </c>
      <c r="BY180" s="39">
        <f>IF(OR(AX180="",BK180=""),"",ROUND((BK180-AX180)/30.44,1))</f>
        <v/>
      </c>
      <c r="BZ180" s="37">
        <f>IF(BR180="","",IF(BR180&lt;=30,1,0))</f>
        <v/>
      </c>
      <c r="CA180" s="37">
        <f>IF(BR180="","",IF(BR180&gt;40.5,1,0))</f>
        <v/>
      </c>
      <c r="CB180" s="37">
        <f>IF(BR180="","",IF(BR180&gt;60,1,0))</f>
        <v/>
      </c>
      <c r="CC180" s="37">
        <f>IF(BR180="","",IF(BR180&gt;67,1,0))</f>
        <v/>
      </c>
      <c r="CD180" s="37">
        <f>IF(BT180="","",IF(BT180&lt;=30,1,0))</f>
        <v/>
      </c>
      <c r="CE180" s="37">
        <f>IF(BQ180="","",IF(BQ180&lt;=28,1,0))</f>
        <v/>
      </c>
      <c r="CF180" s="37">
        <f>IF(OR(BV180="",BE180&lt;&gt;"ניתוח"),"",IF(BV180&lt;=30,1,0))</f>
        <v/>
      </c>
      <c r="CG180" s="37">
        <f>IF(BU180="","",IF(BU180&lt;=56,1,0))</f>
        <v/>
      </c>
      <c r="CH180" s="37">
        <f>IF(BW180="","",IF(BW180&lt;=42,1,0))</f>
        <v/>
      </c>
      <c r="CI180" s="37">
        <f>IF(BX180="","",IF(BX180&lt;=100,1,0))</f>
        <v/>
      </c>
      <c r="CJ180" s="33">
        <f>IF(A180="","",COUNTIF(Delays!$B$5:$B$404,A180))</f>
        <v/>
      </c>
      <c r="CK180" s="35" t="n"/>
    </row>
    <row r="181">
      <c r="A181" s="33">
        <f>IF(OR(B181="",C181="",D181="",AX181=""),"","RET-"&amp;RIGHT(YEAR(AX181),2)&amp;"-"&amp;TEXT(B181,"000")&amp;"-"&amp;C181&amp;"-"&amp;D181&amp;"-"&amp;TEXT(MONTH(AX181),"00"))</f>
        <v/>
      </c>
      <c r="B181" s="34" t="n">
        <v>176</v>
      </c>
      <c r="C181" s="35" t="n"/>
      <c r="D181" s="35" t="n"/>
      <c r="E181" s="33">
        <f>IF(AX181="","",YEAR(AX181))</f>
        <v/>
      </c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6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7">
        <f>IF(Y181="","",IF(OR(Y181="III",Y181="IV",Y181="IVA",Y181="IVB",Y181="IVC"),1,0))</f>
        <v/>
      </c>
      <c r="AA181" s="35" t="n"/>
      <c r="AB181" s="35" t="n"/>
      <c r="AC181" s="35" t="n"/>
      <c r="AD181" s="35" t="n"/>
      <c r="AE181" s="35" t="n"/>
      <c r="AF181" s="35" t="n"/>
      <c r="AG181" s="35" t="n"/>
      <c r="AH181" s="35" t="n"/>
      <c r="AI181" s="35" t="n"/>
      <c r="AJ181" s="35" t="n"/>
      <c r="AK181" s="35" t="n"/>
      <c r="AL181" s="35" t="n"/>
      <c r="AM181" s="35" t="n"/>
      <c r="AN181" s="35" t="n"/>
      <c r="AO181" s="35" t="n"/>
      <c r="AP181" s="35" t="n"/>
      <c r="AQ181" s="35" t="n"/>
      <c r="AR181" s="35" t="n"/>
      <c r="AS181" s="35" t="n"/>
      <c r="AT181" s="35" t="n"/>
      <c r="AU181" s="38" t="n"/>
      <c r="AV181" s="38" t="n"/>
      <c r="AW181" s="38" t="n"/>
      <c r="AX181" s="38" t="n"/>
      <c r="AY181" s="38" t="n"/>
      <c r="AZ181" s="38" t="n"/>
      <c r="BA181" s="38" t="n"/>
      <c r="BB181" s="38" t="n"/>
      <c r="BC181" s="38" t="n"/>
      <c r="BD181" s="38" t="n"/>
      <c r="BE181" s="35" t="n"/>
      <c r="BF181" s="35" t="n"/>
      <c r="BG181" s="38" t="n"/>
      <c r="BH181" s="38" t="n"/>
      <c r="BI181" s="38" t="n"/>
      <c r="BJ181" s="35" t="n"/>
      <c r="BK181" s="38" t="n"/>
      <c r="BL181" s="33">
        <f>IF(OR(AU181="",AV181=""),"",AV181-AU181)</f>
        <v/>
      </c>
      <c r="BM181" s="33">
        <f>IF(OR(AV181="",AW181=""),"",AW181-AV181)</f>
        <v/>
      </c>
      <c r="BN181" s="33">
        <f>IF(OR(AW181="",AX181=""),"",AX181-AW181)</f>
        <v/>
      </c>
      <c r="BO181" s="33">
        <f>IF(OR(AX181="",BA181=""),"",BA181-AX181)</f>
        <v/>
      </c>
      <c r="BP181" s="33">
        <f>IF(OR(AV181="",BA181=""),"",BA181-AV181)</f>
        <v/>
      </c>
      <c r="BQ181" s="33">
        <f>IF(OR(BB181="",BD181=""),"",BD181-BB181)</f>
        <v/>
      </c>
      <c r="BR181" s="33">
        <f>IF(OR(AX181="",BD181=""),"",BD181-AX181)</f>
        <v/>
      </c>
      <c r="BS181" s="33">
        <f>IF(OR(AW181="",BD181=""),"",BD181-AW181)</f>
        <v/>
      </c>
      <c r="BT181" s="33">
        <f>IF(OR(AV181="",BD181=""),"",BD181-AV181)</f>
        <v/>
      </c>
      <c r="BU181" s="33">
        <f>IF(OR(AU181="",BD181=""),"",BD181-AU181)</f>
        <v/>
      </c>
      <c r="BV181" s="33">
        <f>IF(OR(BB181="",BG181=""),"",BG181-BB181)</f>
        <v/>
      </c>
      <c r="BW181" s="33">
        <f>IF(OR(BG181="",BH181=""),"",BH181-BG181)</f>
        <v/>
      </c>
      <c r="BX181" s="33">
        <f>IF(OR(BG181="",BI181=""),"",BI181-BG181)</f>
        <v/>
      </c>
      <c r="BY181" s="39">
        <f>IF(OR(AX181="",BK181=""),"",ROUND((BK181-AX181)/30.44,1))</f>
        <v/>
      </c>
      <c r="BZ181" s="37">
        <f>IF(BR181="","",IF(BR181&lt;=30,1,0))</f>
        <v/>
      </c>
      <c r="CA181" s="37">
        <f>IF(BR181="","",IF(BR181&gt;40.5,1,0))</f>
        <v/>
      </c>
      <c r="CB181" s="37">
        <f>IF(BR181="","",IF(BR181&gt;60,1,0))</f>
        <v/>
      </c>
      <c r="CC181" s="37">
        <f>IF(BR181="","",IF(BR181&gt;67,1,0))</f>
        <v/>
      </c>
      <c r="CD181" s="37">
        <f>IF(BT181="","",IF(BT181&lt;=30,1,0))</f>
        <v/>
      </c>
      <c r="CE181" s="37">
        <f>IF(BQ181="","",IF(BQ181&lt;=28,1,0))</f>
        <v/>
      </c>
      <c r="CF181" s="37">
        <f>IF(OR(BV181="",BE181&lt;&gt;"ניתוח"),"",IF(BV181&lt;=30,1,0))</f>
        <v/>
      </c>
      <c r="CG181" s="37">
        <f>IF(BU181="","",IF(BU181&lt;=56,1,0))</f>
        <v/>
      </c>
      <c r="CH181" s="37">
        <f>IF(BW181="","",IF(BW181&lt;=42,1,0))</f>
        <v/>
      </c>
      <c r="CI181" s="37">
        <f>IF(BX181="","",IF(BX181&lt;=100,1,0))</f>
        <v/>
      </c>
      <c r="CJ181" s="33">
        <f>IF(A181="","",COUNTIF(Delays!$B$5:$B$404,A181))</f>
        <v/>
      </c>
      <c r="CK181" s="35" t="n"/>
    </row>
    <row r="182">
      <c r="A182" s="33">
        <f>IF(OR(B182="",C182="",D182="",AX182=""),"","RET-"&amp;RIGHT(YEAR(AX182),2)&amp;"-"&amp;TEXT(B182,"000")&amp;"-"&amp;C182&amp;"-"&amp;D182&amp;"-"&amp;TEXT(MONTH(AX182),"00"))</f>
        <v/>
      </c>
      <c r="B182" s="34" t="n">
        <v>177</v>
      </c>
      <c r="C182" s="35" t="n"/>
      <c r="D182" s="35" t="n"/>
      <c r="E182" s="33">
        <f>IF(AX182="","",YEAR(AX182))</f>
        <v/>
      </c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6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7">
        <f>IF(Y182="","",IF(OR(Y182="III",Y182="IV",Y182="IVA",Y182="IVB",Y182="IVC"),1,0))</f>
        <v/>
      </c>
      <c r="AA182" s="35" t="n"/>
      <c r="AB182" s="35" t="n"/>
      <c r="AC182" s="35" t="n"/>
      <c r="AD182" s="35" t="n"/>
      <c r="AE182" s="35" t="n"/>
      <c r="AF182" s="35" t="n"/>
      <c r="AG182" s="35" t="n"/>
      <c r="AH182" s="35" t="n"/>
      <c r="AI182" s="35" t="n"/>
      <c r="AJ182" s="35" t="n"/>
      <c r="AK182" s="35" t="n"/>
      <c r="AL182" s="35" t="n"/>
      <c r="AM182" s="35" t="n"/>
      <c r="AN182" s="35" t="n"/>
      <c r="AO182" s="35" t="n"/>
      <c r="AP182" s="35" t="n"/>
      <c r="AQ182" s="35" t="n"/>
      <c r="AR182" s="35" t="n"/>
      <c r="AS182" s="35" t="n"/>
      <c r="AT182" s="35" t="n"/>
      <c r="AU182" s="38" t="n"/>
      <c r="AV182" s="38" t="n"/>
      <c r="AW182" s="38" t="n"/>
      <c r="AX182" s="38" t="n"/>
      <c r="AY182" s="38" t="n"/>
      <c r="AZ182" s="38" t="n"/>
      <c r="BA182" s="38" t="n"/>
      <c r="BB182" s="38" t="n"/>
      <c r="BC182" s="38" t="n"/>
      <c r="BD182" s="38" t="n"/>
      <c r="BE182" s="35" t="n"/>
      <c r="BF182" s="35" t="n"/>
      <c r="BG182" s="38" t="n"/>
      <c r="BH182" s="38" t="n"/>
      <c r="BI182" s="38" t="n"/>
      <c r="BJ182" s="35" t="n"/>
      <c r="BK182" s="38" t="n"/>
      <c r="BL182" s="33">
        <f>IF(OR(AU182="",AV182=""),"",AV182-AU182)</f>
        <v/>
      </c>
      <c r="BM182" s="33">
        <f>IF(OR(AV182="",AW182=""),"",AW182-AV182)</f>
        <v/>
      </c>
      <c r="BN182" s="33">
        <f>IF(OR(AW182="",AX182=""),"",AX182-AW182)</f>
        <v/>
      </c>
      <c r="BO182" s="33">
        <f>IF(OR(AX182="",BA182=""),"",BA182-AX182)</f>
        <v/>
      </c>
      <c r="BP182" s="33">
        <f>IF(OR(AV182="",BA182=""),"",BA182-AV182)</f>
        <v/>
      </c>
      <c r="BQ182" s="33">
        <f>IF(OR(BB182="",BD182=""),"",BD182-BB182)</f>
        <v/>
      </c>
      <c r="BR182" s="33">
        <f>IF(OR(AX182="",BD182=""),"",BD182-AX182)</f>
        <v/>
      </c>
      <c r="BS182" s="33">
        <f>IF(OR(AW182="",BD182=""),"",BD182-AW182)</f>
        <v/>
      </c>
      <c r="BT182" s="33">
        <f>IF(OR(AV182="",BD182=""),"",BD182-AV182)</f>
        <v/>
      </c>
      <c r="BU182" s="33">
        <f>IF(OR(AU182="",BD182=""),"",BD182-AU182)</f>
        <v/>
      </c>
      <c r="BV182" s="33">
        <f>IF(OR(BB182="",BG182=""),"",BG182-BB182)</f>
        <v/>
      </c>
      <c r="BW182" s="33">
        <f>IF(OR(BG182="",BH182=""),"",BH182-BG182)</f>
        <v/>
      </c>
      <c r="BX182" s="33">
        <f>IF(OR(BG182="",BI182=""),"",BI182-BG182)</f>
        <v/>
      </c>
      <c r="BY182" s="39">
        <f>IF(OR(AX182="",BK182=""),"",ROUND((BK182-AX182)/30.44,1))</f>
        <v/>
      </c>
      <c r="BZ182" s="37">
        <f>IF(BR182="","",IF(BR182&lt;=30,1,0))</f>
        <v/>
      </c>
      <c r="CA182" s="37">
        <f>IF(BR182="","",IF(BR182&gt;40.5,1,0))</f>
        <v/>
      </c>
      <c r="CB182" s="37">
        <f>IF(BR182="","",IF(BR182&gt;60,1,0))</f>
        <v/>
      </c>
      <c r="CC182" s="37">
        <f>IF(BR182="","",IF(BR182&gt;67,1,0))</f>
        <v/>
      </c>
      <c r="CD182" s="37">
        <f>IF(BT182="","",IF(BT182&lt;=30,1,0))</f>
        <v/>
      </c>
      <c r="CE182" s="37">
        <f>IF(BQ182="","",IF(BQ182&lt;=28,1,0))</f>
        <v/>
      </c>
      <c r="CF182" s="37">
        <f>IF(OR(BV182="",BE182&lt;&gt;"ניתוח"),"",IF(BV182&lt;=30,1,0))</f>
        <v/>
      </c>
      <c r="CG182" s="37">
        <f>IF(BU182="","",IF(BU182&lt;=56,1,0))</f>
        <v/>
      </c>
      <c r="CH182" s="37">
        <f>IF(BW182="","",IF(BW182&lt;=42,1,0))</f>
        <v/>
      </c>
      <c r="CI182" s="37">
        <f>IF(BX182="","",IF(BX182&lt;=100,1,0))</f>
        <v/>
      </c>
      <c r="CJ182" s="33">
        <f>IF(A182="","",COUNTIF(Delays!$B$5:$B$404,A182))</f>
        <v/>
      </c>
      <c r="CK182" s="35" t="n"/>
    </row>
    <row r="183">
      <c r="A183" s="33">
        <f>IF(OR(B183="",C183="",D183="",AX183=""),"","RET-"&amp;RIGHT(YEAR(AX183),2)&amp;"-"&amp;TEXT(B183,"000")&amp;"-"&amp;C183&amp;"-"&amp;D183&amp;"-"&amp;TEXT(MONTH(AX183),"00"))</f>
        <v/>
      </c>
      <c r="B183" s="34" t="n">
        <v>178</v>
      </c>
      <c r="C183" s="35" t="n"/>
      <c r="D183" s="35" t="n"/>
      <c r="E183" s="33">
        <f>IF(AX183="","",YEAR(AX183))</f>
        <v/>
      </c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6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7">
        <f>IF(Y183="","",IF(OR(Y183="III",Y183="IV",Y183="IVA",Y183="IVB",Y183="IVC"),1,0))</f>
        <v/>
      </c>
      <c r="AA183" s="35" t="n"/>
      <c r="AB183" s="35" t="n"/>
      <c r="AC183" s="35" t="n"/>
      <c r="AD183" s="35" t="n"/>
      <c r="AE183" s="35" t="n"/>
      <c r="AF183" s="35" t="n"/>
      <c r="AG183" s="35" t="n"/>
      <c r="AH183" s="35" t="n"/>
      <c r="AI183" s="35" t="n"/>
      <c r="AJ183" s="35" t="n"/>
      <c r="AK183" s="35" t="n"/>
      <c r="AL183" s="35" t="n"/>
      <c r="AM183" s="35" t="n"/>
      <c r="AN183" s="35" t="n"/>
      <c r="AO183" s="35" t="n"/>
      <c r="AP183" s="35" t="n"/>
      <c r="AQ183" s="35" t="n"/>
      <c r="AR183" s="35" t="n"/>
      <c r="AS183" s="35" t="n"/>
      <c r="AT183" s="35" t="n"/>
      <c r="AU183" s="38" t="n"/>
      <c r="AV183" s="38" t="n"/>
      <c r="AW183" s="38" t="n"/>
      <c r="AX183" s="38" t="n"/>
      <c r="AY183" s="38" t="n"/>
      <c r="AZ183" s="38" t="n"/>
      <c r="BA183" s="38" t="n"/>
      <c r="BB183" s="38" t="n"/>
      <c r="BC183" s="38" t="n"/>
      <c r="BD183" s="38" t="n"/>
      <c r="BE183" s="35" t="n"/>
      <c r="BF183" s="35" t="n"/>
      <c r="BG183" s="38" t="n"/>
      <c r="BH183" s="38" t="n"/>
      <c r="BI183" s="38" t="n"/>
      <c r="BJ183" s="35" t="n"/>
      <c r="BK183" s="38" t="n"/>
      <c r="BL183" s="33">
        <f>IF(OR(AU183="",AV183=""),"",AV183-AU183)</f>
        <v/>
      </c>
      <c r="BM183" s="33">
        <f>IF(OR(AV183="",AW183=""),"",AW183-AV183)</f>
        <v/>
      </c>
      <c r="BN183" s="33">
        <f>IF(OR(AW183="",AX183=""),"",AX183-AW183)</f>
        <v/>
      </c>
      <c r="BO183" s="33">
        <f>IF(OR(AX183="",BA183=""),"",BA183-AX183)</f>
        <v/>
      </c>
      <c r="BP183" s="33">
        <f>IF(OR(AV183="",BA183=""),"",BA183-AV183)</f>
        <v/>
      </c>
      <c r="BQ183" s="33">
        <f>IF(OR(BB183="",BD183=""),"",BD183-BB183)</f>
        <v/>
      </c>
      <c r="BR183" s="33">
        <f>IF(OR(AX183="",BD183=""),"",BD183-AX183)</f>
        <v/>
      </c>
      <c r="BS183" s="33">
        <f>IF(OR(AW183="",BD183=""),"",BD183-AW183)</f>
        <v/>
      </c>
      <c r="BT183" s="33">
        <f>IF(OR(AV183="",BD183=""),"",BD183-AV183)</f>
        <v/>
      </c>
      <c r="BU183" s="33">
        <f>IF(OR(AU183="",BD183=""),"",BD183-AU183)</f>
        <v/>
      </c>
      <c r="BV183" s="33">
        <f>IF(OR(BB183="",BG183=""),"",BG183-BB183)</f>
        <v/>
      </c>
      <c r="BW183" s="33">
        <f>IF(OR(BG183="",BH183=""),"",BH183-BG183)</f>
        <v/>
      </c>
      <c r="BX183" s="33">
        <f>IF(OR(BG183="",BI183=""),"",BI183-BG183)</f>
        <v/>
      </c>
      <c r="BY183" s="39">
        <f>IF(OR(AX183="",BK183=""),"",ROUND((BK183-AX183)/30.44,1))</f>
        <v/>
      </c>
      <c r="BZ183" s="37">
        <f>IF(BR183="","",IF(BR183&lt;=30,1,0))</f>
        <v/>
      </c>
      <c r="CA183" s="37">
        <f>IF(BR183="","",IF(BR183&gt;40.5,1,0))</f>
        <v/>
      </c>
      <c r="CB183" s="37">
        <f>IF(BR183="","",IF(BR183&gt;60,1,0))</f>
        <v/>
      </c>
      <c r="CC183" s="37">
        <f>IF(BR183="","",IF(BR183&gt;67,1,0))</f>
        <v/>
      </c>
      <c r="CD183" s="37">
        <f>IF(BT183="","",IF(BT183&lt;=30,1,0))</f>
        <v/>
      </c>
      <c r="CE183" s="37">
        <f>IF(BQ183="","",IF(BQ183&lt;=28,1,0))</f>
        <v/>
      </c>
      <c r="CF183" s="37">
        <f>IF(OR(BV183="",BE183&lt;&gt;"ניתוח"),"",IF(BV183&lt;=30,1,0))</f>
        <v/>
      </c>
      <c r="CG183" s="37">
        <f>IF(BU183="","",IF(BU183&lt;=56,1,0))</f>
        <v/>
      </c>
      <c r="CH183" s="37">
        <f>IF(BW183="","",IF(BW183&lt;=42,1,0))</f>
        <v/>
      </c>
      <c r="CI183" s="37">
        <f>IF(BX183="","",IF(BX183&lt;=100,1,0))</f>
        <v/>
      </c>
      <c r="CJ183" s="33">
        <f>IF(A183="","",COUNTIF(Delays!$B$5:$B$404,A183))</f>
        <v/>
      </c>
      <c r="CK183" s="35" t="n"/>
    </row>
    <row r="184">
      <c r="A184" s="33">
        <f>IF(OR(B184="",C184="",D184="",AX184=""),"","RET-"&amp;RIGHT(YEAR(AX184),2)&amp;"-"&amp;TEXT(B184,"000")&amp;"-"&amp;C184&amp;"-"&amp;D184&amp;"-"&amp;TEXT(MONTH(AX184),"00"))</f>
        <v/>
      </c>
      <c r="B184" s="34" t="n">
        <v>179</v>
      </c>
      <c r="C184" s="35" t="n"/>
      <c r="D184" s="35" t="n"/>
      <c r="E184" s="33">
        <f>IF(AX184="","",YEAR(AX184))</f>
        <v/>
      </c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6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7">
        <f>IF(Y184="","",IF(OR(Y184="III",Y184="IV",Y184="IVA",Y184="IVB",Y184="IVC"),1,0))</f>
        <v/>
      </c>
      <c r="AA184" s="35" t="n"/>
      <c r="AB184" s="35" t="n"/>
      <c r="AC184" s="35" t="n"/>
      <c r="AD184" s="35" t="n"/>
      <c r="AE184" s="35" t="n"/>
      <c r="AF184" s="35" t="n"/>
      <c r="AG184" s="35" t="n"/>
      <c r="AH184" s="35" t="n"/>
      <c r="AI184" s="35" t="n"/>
      <c r="AJ184" s="35" t="n"/>
      <c r="AK184" s="35" t="n"/>
      <c r="AL184" s="35" t="n"/>
      <c r="AM184" s="35" t="n"/>
      <c r="AN184" s="35" t="n"/>
      <c r="AO184" s="35" t="n"/>
      <c r="AP184" s="35" t="n"/>
      <c r="AQ184" s="35" t="n"/>
      <c r="AR184" s="35" t="n"/>
      <c r="AS184" s="35" t="n"/>
      <c r="AT184" s="35" t="n"/>
      <c r="AU184" s="38" t="n"/>
      <c r="AV184" s="38" t="n"/>
      <c r="AW184" s="38" t="n"/>
      <c r="AX184" s="38" t="n"/>
      <c r="AY184" s="38" t="n"/>
      <c r="AZ184" s="38" t="n"/>
      <c r="BA184" s="38" t="n"/>
      <c r="BB184" s="38" t="n"/>
      <c r="BC184" s="38" t="n"/>
      <c r="BD184" s="38" t="n"/>
      <c r="BE184" s="35" t="n"/>
      <c r="BF184" s="35" t="n"/>
      <c r="BG184" s="38" t="n"/>
      <c r="BH184" s="38" t="n"/>
      <c r="BI184" s="38" t="n"/>
      <c r="BJ184" s="35" t="n"/>
      <c r="BK184" s="38" t="n"/>
      <c r="BL184" s="33">
        <f>IF(OR(AU184="",AV184=""),"",AV184-AU184)</f>
        <v/>
      </c>
      <c r="BM184" s="33">
        <f>IF(OR(AV184="",AW184=""),"",AW184-AV184)</f>
        <v/>
      </c>
      <c r="BN184" s="33">
        <f>IF(OR(AW184="",AX184=""),"",AX184-AW184)</f>
        <v/>
      </c>
      <c r="BO184" s="33">
        <f>IF(OR(AX184="",BA184=""),"",BA184-AX184)</f>
        <v/>
      </c>
      <c r="BP184" s="33">
        <f>IF(OR(AV184="",BA184=""),"",BA184-AV184)</f>
        <v/>
      </c>
      <c r="BQ184" s="33">
        <f>IF(OR(BB184="",BD184=""),"",BD184-BB184)</f>
        <v/>
      </c>
      <c r="BR184" s="33">
        <f>IF(OR(AX184="",BD184=""),"",BD184-AX184)</f>
        <v/>
      </c>
      <c r="BS184" s="33">
        <f>IF(OR(AW184="",BD184=""),"",BD184-AW184)</f>
        <v/>
      </c>
      <c r="BT184" s="33">
        <f>IF(OR(AV184="",BD184=""),"",BD184-AV184)</f>
        <v/>
      </c>
      <c r="BU184" s="33">
        <f>IF(OR(AU184="",BD184=""),"",BD184-AU184)</f>
        <v/>
      </c>
      <c r="BV184" s="33">
        <f>IF(OR(BB184="",BG184=""),"",BG184-BB184)</f>
        <v/>
      </c>
      <c r="BW184" s="33">
        <f>IF(OR(BG184="",BH184=""),"",BH184-BG184)</f>
        <v/>
      </c>
      <c r="BX184" s="33">
        <f>IF(OR(BG184="",BI184=""),"",BI184-BG184)</f>
        <v/>
      </c>
      <c r="BY184" s="39">
        <f>IF(OR(AX184="",BK184=""),"",ROUND((BK184-AX184)/30.44,1))</f>
        <v/>
      </c>
      <c r="BZ184" s="37">
        <f>IF(BR184="","",IF(BR184&lt;=30,1,0))</f>
        <v/>
      </c>
      <c r="CA184" s="37">
        <f>IF(BR184="","",IF(BR184&gt;40.5,1,0))</f>
        <v/>
      </c>
      <c r="CB184" s="37">
        <f>IF(BR184="","",IF(BR184&gt;60,1,0))</f>
        <v/>
      </c>
      <c r="CC184" s="37">
        <f>IF(BR184="","",IF(BR184&gt;67,1,0))</f>
        <v/>
      </c>
      <c r="CD184" s="37">
        <f>IF(BT184="","",IF(BT184&lt;=30,1,0))</f>
        <v/>
      </c>
      <c r="CE184" s="37">
        <f>IF(BQ184="","",IF(BQ184&lt;=28,1,0))</f>
        <v/>
      </c>
      <c r="CF184" s="37">
        <f>IF(OR(BV184="",BE184&lt;&gt;"ניתוח"),"",IF(BV184&lt;=30,1,0))</f>
        <v/>
      </c>
      <c r="CG184" s="37">
        <f>IF(BU184="","",IF(BU184&lt;=56,1,0))</f>
        <v/>
      </c>
      <c r="CH184" s="37">
        <f>IF(BW184="","",IF(BW184&lt;=42,1,0))</f>
        <v/>
      </c>
      <c r="CI184" s="37">
        <f>IF(BX184="","",IF(BX184&lt;=100,1,0))</f>
        <v/>
      </c>
      <c r="CJ184" s="33">
        <f>IF(A184="","",COUNTIF(Delays!$B$5:$B$404,A184))</f>
        <v/>
      </c>
      <c r="CK184" s="35" t="n"/>
    </row>
    <row r="185">
      <c r="A185" s="33">
        <f>IF(OR(B185="",C185="",D185="",AX185=""),"","RET-"&amp;RIGHT(YEAR(AX185),2)&amp;"-"&amp;TEXT(B185,"000")&amp;"-"&amp;C185&amp;"-"&amp;D185&amp;"-"&amp;TEXT(MONTH(AX185),"00"))</f>
        <v/>
      </c>
      <c r="B185" s="34" t="n">
        <v>180</v>
      </c>
      <c r="C185" s="35" t="n"/>
      <c r="D185" s="35" t="n"/>
      <c r="E185" s="33">
        <f>IF(AX185="","",YEAR(AX185))</f>
        <v/>
      </c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6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7">
        <f>IF(Y185="","",IF(OR(Y185="III",Y185="IV",Y185="IVA",Y185="IVB",Y185="IVC"),1,0))</f>
        <v/>
      </c>
      <c r="AA185" s="35" t="n"/>
      <c r="AB185" s="35" t="n"/>
      <c r="AC185" s="35" t="n"/>
      <c r="AD185" s="35" t="n"/>
      <c r="AE185" s="35" t="n"/>
      <c r="AF185" s="35" t="n"/>
      <c r="AG185" s="35" t="n"/>
      <c r="AH185" s="35" t="n"/>
      <c r="AI185" s="35" t="n"/>
      <c r="AJ185" s="35" t="n"/>
      <c r="AK185" s="35" t="n"/>
      <c r="AL185" s="35" t="n"/>
      <c r="AM185" s="35" t="n"/>
      <c r="AN185" s="35" t="n"/>
      <c r="AO185" s="35" t="n"/>
      <c r="AP185" s="35" t="n"/>
      <c r="AQ185" s="35" t="n"/>
      <c r="AR185" s="35" t="n"/>
      <c r="AS185" s="35" t="n"/>
      <c r="AT185" s="35" t="n"/>
      <c r="AU185" s="38" t="n"/>
      <c r="AV185" s="38" t="n"/>
      <c r="AW185" s="38" t="n"/>
      <c r="AX185" s="38" t="n"/>
      <c r="AY185" s="38" t="n"/>
      <c r="AZ185" s="38" t="n"/>
      <c r="BA185" s="38" t="n"/>
      <c r="BB185" s="38" t="n"/>
      <c r="BC185" s="38" t="n"/>
      <c r="BD185" s="38" t="n"/>
      <c r="BE185" s="35" t="n"/>
      <c r="BF185" s="35" t="n"/>
      <c r="BG185" s="38" t="n"/>
      <c r="BH185" s="38" t="n"/>
      <c r="BI185" s="38" t="n"/>
      <c r="BJ185" s="35" t="n"/>
      <c r="BK185" s="38" t="n"/>
      <c r="BL185" s="33">
        <f>IF(OR(AU185="",AV185=""),"",AV185-AU185)</f>
        <v/>
      </c>
      <c r="BM185" s="33">
        <f>IF(OR(AV185="",AW185=""),"",AW185-AV185)</f>
        <v/>
      </c>
      <c r="BN185" s="33">
        <f>IF(OR(AW185="",AX185=""),"",AX185-AW185)</f>
        <v/>
      </c>
      <c r="BO185" s="33">
        <f>IF(OR(AX185="",BA185=""),"",BA185-AX185)</f>
        <v/>
      </c>
      <c r="BP185" s="33">
        <f>IF(OR(AV185="",BA185=""),"",BA185-AV185)</f>
        <v/>
      </c>
      <c r="BQ185" s="33">
        <f>IF(OR(BB185="",BD185=""),"",BD185-BB185)</f>
        <v/>
      </c>
      <c r="BR185" s="33">
        <f>IF(OR(AX185="",BD185=""),"",BD185-AX185)</f>
        <v/>
      </c>
      <c r="BS185" s="33">
        <f>IF(OR(AW185="",BD185=""),"",BD185-AW185)</f>
        <v/>
      </c>
      <c r="BT185" s="33">
        <f>IF(OR(AV185="",BD185=""),"",BD185-AV185)</f>
        <v/>
      </c>
      <c r="BU185" s="33">
        <f>IF(OR(AU185="",BD185=""),"",BD185-AU185)</f>
        <v/>
      </c>
      <c r="BV185" s="33">
        <f>IF(OR(BB185="",BG185=""),"",BG185-BB185)</f>
        <v/>
      </c>
      <c r="BW185" s="33">
        <f>IF(OR(BG185="",BH185=""),"",BH185-BG185)</f>
        <v/>
      </c>
      <c r="BX185" s="33">
        <f>IF(OR(BG185="",BI185=""),"",BI185-BG185)</f>
        <v/>
      </c>
      <c r="BY185" s="39">
        <f>IF(OR(AX185="",BK185=""),"",ROUND((BK185-AX185)/30.44,1))</f>
        <v/>
      </c>
      <c r="BZ185" s="37">
        <f>IF(BR185="","",IF(BR185&lt;=30,1,0))</f>
        <v/>
      </c>
      <c r="CA185" s="37">
        <f>IF(BR185="","",IF(BR185&gt;40.5,1,0))</f>
        <v/>
      </c>
      <c r="CB185" s="37">
        <f>IF(BR185="","",IF(BR185&gt;60,1,0))</f>
        <v/>
      </c>
      <c r="CC185" s="37">
        <f>IF(BR185="","",IF(BR185&gt;67,1,0))</f>
        <v/>
      </c>
      <c r="CD185" s="37">
        <f>IF(BT185="","",IF(BT185&lt;=30,1,0))</f>
        <v/>
      </c>
      <c r="CE185" s="37">
        <f>IF(BQ185="","",IF(BQ185&lt;=28,1,0))</f>
        <v/>
      </c>
      <c r="CF185" s="37">
        <f>IF(OR(BV185="",BE185&lt;&gt;"ניתוח"),"",IF(BV185&lt;=30,1,0))</f>
        <v/>
      </c>
      <c r="CG185" s="37">
        <f>IF(BU185="","",IF(BU185&lt;=56,1,0))</f>
        <v/>
      </c>
      <c r="CH185" s="37">
        <f>IF(BW185="","",IF(BW185&lt;=42,1,0))</f>
        <v/>
      </c>
      <c r="CI185" s="37">
        <f>IF(BX185="","",IF(BX185&lt;=100,1,0))</f>
        <v/>
      </c>
      <c r="CJ185" s="33">
        <f>IF(A185="","",COUNTIF(Delays!$B$5:$B$404,A185))</f>
        <v/>
      </c>
      <c r="CK185" s="35" t="n"/>
    </row>
    <row r="186">
      <c r="A186" s="33">
        <f>IF(OR(B186="",C186="",D186="",AX186=""),"","RET-"&amp;RIGHT(YEAR(AX186),2)&amp;"-"&amp;TEXT(B186,"000")&amp;"-"&amp;C186&amp;"-"&amp;D186&amp;"-"&amp;TEXT(MONTH(AX186),"00"))</f>
        <v/>
      </c>
      <c r="B186" s="34" t="n">
        <v>181</v>
      </c>
      <c r="C186" s="35" t="n"/>
      <c r="D186" s="35" t="n"/>
      <c r="E186" s="33">
        <f>IF(AX186="","",YEAR(AX186))</f>
        <v/>
      </c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6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7">
        <f>IF(Y186="","",IF(OR(Y186="III",Y186="IV",Y186="IVA",Y186="IVB",Y186="IVC"),1,0))</f>
        <v/>
      </c>
      <c r="AA186" s="35" t="n"/>
      <c r="AB186" s="35" t="n"/>
      <c r="AC186" s="35" t="n"/>
      <c r="AD186" s="35" t="n"/>
      <c r="AE186" s="35" t="n"/>
      <c r="AF186" s="35" t="n"/>
      <c r="AG186" s="35" t="n"/>
      <c r="AH186" s="35" t="n"/>
      <c r="AI186" s="35" t="n"/>
      <c r="AJ186" s="35" t="n"/>
      <c r="AK186" s="35" t="n"/>
      <c r="AL186" s="35" t="n"/>
      <c r="AM186" s="35" t="n"/>
      <c r="AN186" s="35" t="n"/>
      <c r="AO186" s="35" t="n"/>
      <c r="AP186" s="35" t="n"/>
      <c r="AQ186" s="35" t="n"/>
      <c r="AR186" s="35" t="n"/>
      <c r="AS186" s="35" t="n"/>
      <c r="AT186" s="35" t="n"/>
      <c r="AU186" s="38" t="n"/>
      <c r="AV186" s="38" t="n"/>
      <c r="AW186" s="38" t="n"/>
      <c r="AX186" s="38" t="n"/>
      <c r="AY186" s="38" t="n"/>
      <c r="AZ186" s="38" t="n"/>
      <c r="BA186" s="38" t="n"/>
      <c r="BB186" s="38" t="n"/>
      <c r="BC186" s="38" t="n"/>
      <c r="BD186" s="38" t="n"/>
      <c r="BE186" s="35" t="n"/>
      <c r="BF186" s="35" t="n"/>
      <c r="BG186" s="38" t="n"/>
      <c r="BH186" s="38" t="n"/>
      <c r="BI186" s="38" t="n"/>
      <c r="BJ186" s="35" t="n"/>
      <c r="BK186" s="38" t="n"/>
      <c r="BL186" s="33">
        <f>IF(OR(AU186="",AV186=""),"",AV186-AU186)</f>
        <v/>
      </c>
      <c r="BM186" s="33">
        <f>IF(OR(AV186="",AW186=""),"",AW186-AV186)</f>
        <v/>
      </c>
      <c r="BN186" s="33">
        <f>IF(OR(AW186="",AX186=""),"",AX186-AW186)</f>
        <v/>
      </c>
      <c r="BO186" s="33">
        <f>IF(OR(AX186="",BA186=""),"",BA186-AX186)</f>
        <v/>
      </c>
      <c r="BP186" s="33">
        <f>IF(OR(AV186="",BA186=""),"",BA186-AV186)</f>
        <v/>
      </c>
      <c r="BQ186" s="33">
        <f>IF(OR(BB186="",BD186=""),"",BD186-BB186)</f>
        <v/>
      </c>
      <c r="BR186" s="33">
        <f>IF(OR(AX186="",BD186=""),"",BD186-AX186)</f>
        <v/>
      </c>
      <c r="BS186" s="33">
        <f>IF(OR(AW186="",BD186=""),"",BD186-AW186)</f>
        <v/>
      </c>
      <c r="BT186" s="33">
        <f>IF(OR(AV186="",BD186=""),"",BD186-AV186)</f>
        <v/>
      </c>
      <c r="BU186" s="33">
        <f>IF(OR(AU186="",BD186=""),"",BD186-AU186)</f>
        <v/>
      </c>
      <c r="BV186" s="33">
        <f>IF(OR(BB186="",BG186=""),"",BG186-BB186)</f>
        <v/>
      </c>
      <c r="BW186" s="33">
        <f>IF(OR(BG186="",BH186=""),"",BH186-BG186)</f>
        <v/>
      </c>
      <c r="BX186" s="33">
        <f>IF(OR(BG186="",BI186=""),"",BI186-BG186)</f>
        <v/>
      </c>
      <c r="BY186" s="39">
        <f>IF(OR(AX186="",BK186=""),"",ROUND((BK186-AX186)/30.44,1))</f>
        <v/>
      </c>
      <c r="BZ186" s="37">
        <f>IF(BR186="","",IF(BR186&lt;=30,1,0))</f>
        <v/>
      </c>
      <c r="CA186" s="37">
        <f>IF(BR186="","",IF(BR186&gt;40.5,1,0))</f>
        <v/>
      </c>
      <c r="CB186" s="37">
        <f>IF(BR186="","",IF(BR186&gt;60,1,0))</f>
        <v/>
      </c>
      <c r="CC186" s="37">
        <f>IF(BR186="","",IF(BR186&gt;67,1,0))</f>
        <v/>
      </c>
      <c r="CD186" s="37">
        <f>IF(BT186="","",IF(BT186&lt;=30,1,0))</f>
        <v/>
      </c>
      <c r="CE186" s="37">
        <f>IF(BQ186="","",IF(BQ186&lt;=28,1,0))</f>
        <v/>
      </c>
      <c r="CF186" s="37">
        <f>IF(OR(BV186="",BE186&lt;&gt;"ניתוח"),"",IF(BV186&lt;=30,1,0))</f>
        <v/>
      </c>
      <c r="CG186" s="37">
        <f>IF(BU186="","",IF(BU186&lt;=56,1,0))</f>
        <v/>
      </c>
      <c r="CH186" s="37">
        <f>IF(BW186="","",IF(BW186&lt;=42,1,0))</f>
        <v/>
      </c>
      <c r="CI186" s="37">
        <f>IF(BX186="","",IF(BX186&lt;=100,1,0))</f>
        <v/>
      </c>
      <c r="CJ186" s="33">
        <f>IF(A186="","",COUNTIF(Delays!$B$5:$B$404,A186))</f>
        <v/>
      </c>
      <c r="CK186" s="35" t="n"/>
    </row>
    <row r="187">
      <c r="A187" s="33">
        <f>IF(OR(B187="",C187="",D187="",AX187=""),"","RET-"&amp;RIGHT(YEAR(AX187),2)&amp;"-"&amp;TEXT(B187,"000")&amp;"-"&amp;C187&amp;"-"&amp;D187&amp;"-"&amp;TEXT(MONTH(AX187),"00"))</f>
        <v/>
      </c>
      <c r="B187" s="34" t="n">
        <v>182</v>
      </c>
      <c r="C187" s="35" t="n"/>
      <c r="D187" s="35" t="n"/>
      <c r="E187" s="33">
        <f>IF(AX187="","",YEAR(AX187))</f>
        <v/>
      </c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6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7">
        <f>IF(Y187="","",IF(OR(Y187="III",Y187="IV",Y187="IVA",Y187="IVB",Y187="IVC"),1,0))</f>
        <v/>
      </c>
      <c r="AA187" s="35" t="n"/>
      <c r="AB187" s="35" t="n"/>
      <c r="AC187" s="35" t="n"/>
      <c r="AD187" s="35" t="n"/>
      <c r="AE187" s="35" t="n"/>
      <c r="AF187" s="35" t="n"/>
      <c r="AG187" s="35" t="n"/>
      <c r="AH187" s="35" t="n"/>
      <c r="AI187" s="35" t="n"/>
      <c r="AJ187" s="35" t="n"/>
      <c r="AK187" s="35" t="n"/>
      <c r="AL187" s="35" t="n"/>
      <c r="AM187" s="35" t="n"/>
      <c r="AN187" s="35" t="n"/>
      <c r="AO187" s="35" t="n"/>
      <c r="AP187" s="35" t="n"/>
      <c r="AQ187" s="35" t="n"/>
      <c r="AR187" s="35" t="n"/>
      <c r="AS187" s="35" t="n"/>
      <c r="AT187" s="35" t="n"/>
      <c r="AU187" s="38" t="n"/>
      <c r="AV187" s="38" t="n"/>
      <c r="AW187" s="38" t="n"/>
      <c r="AX187" s="38" t="n"/>
      <c r="AY187" s="38" t="n"/>
      <c r="AZ187" s="38" t="n"/>
      <c r="BA187" s="38" t="n"/>
      <c r="BB187" s="38" t="n"/>
      <c r="BC187" s="38" t="n"/>
      <c r="BD187" s="38" t="n"/>
      <c r="BE187" s="35" t="n"/>
      <c r="BF187" s="35" t="n"/>
      <c r="BG187" s="38" t="n"/>
      <c r="BH187" s="38" t="n"/>
      <c r="BI187" s="38" t="n"/>
      <c r="BJ187" s="35" t="n"/>
      <c r="BK187" s="38" t="n"/>
      <c r="BL187" s="33">
        <f>IF(OR(AU187="",AV187=""),"",AV187-AU187)</f>
        <v/>
      </c>
      <c r="BM187" s="33">
        <f>IF(OR(AV187="",AW187=""),"",AW187-AV187)</f>
        <v/>
      </c>
      <c r="BN187" s="33">
        <f>IF(OR(AW187="",AX187=""),"",AX187-AW187)</f>
        <v/>
      </c>
      <c r="BO187" s="33">
        <f>IF(OR(AX187="",BA187=""),"",BA187-AX187)</f>
        <v/>
      </c>
      <c r="BP187" s="33">
        <f>IF(OR(AV187="",BA187=""),"",BA187-AV187)</f>
        <v/>
      </c>
      <c r="BQ187" s="33">
        <f>IF(OR(BB187="",BD187=""),"",BD187-BB187)</f>
        <v/>
      </c>
      <c r="BR187" s="33">
        <f>IF(OR(AX187="",BD187=""),"",BD187-AX187)</f>
        <v/>
      </c>
      <c r="BS187" s="33">
        <f>IF(OR(AW187="",BD187=""),"",BD187-AW187)</f>
        <v/>
      </c>
      <c r="BT187" s="33">
        <f>IF(OR(AV187="",BD187=""),"",BD187-AV187)</f>
        <v/>
      </c>
      <c r="BU187" s="33">
        <f>IF(OR(AU187="",BD187=""),"",BD187-AU187)</f>
        <v/>
      </c>
      <c r="BV187" s="33">
        <f>IF(OR(BB187="",BG187=""),"",BG187-BB187)</f>
        <v/>
      </c>
      <c r="BW187" s="33">
        <f>IF(OR(BG187="",BH187=""),"",BH187-BG187)</f>
        <v/>
      </c>
      <c r="BX187" s="33">
        <f>IF(OR(BG187="",BI187=""),"",BI187-BG187)</f>
        <v/>
      </c>
      <c r="BY187" s="39">
        <f>IF(OR(AX187="",BK187=""),"",ROUND((BK187-AX187)/30.44,1))</f>
        <v/>
      </c>
      <c r="BZ187" s="37">
        <f>IF(BR187="","",IF(BR187&lt;=30,1,0))</f>
        <v/>
      </c>
      <c r="CA187" s="37">
        <f>IF(BR187="","",IF(BR187&gt;40.5,1,0))</f>
        <v/>
      </c>
      <c r="CB187" s="37">
        <f>IF(BR187="","",IF(BR187&gt;60,1,0))</f>
        <v/>
      </c>
      <c r="CC187" s="37">
        <f>IF(BR187="","",IF(BR187&gt;67,1,0))</f>
        <v/>
      </c>
      <c r="CD187" s="37">
        <f>IF(BT187="","",IF(BT187&lt;=30,1,0))</f>
        <v/>
      </c>
      <c r="CE187" s="37">
        <f>IF(BQ187="","",IF(BQ187&lt;=28,1,0))</f>
        <v/>
      </c>
      <c r="CF187" s="37">
        <f>IF(OR(BV187="",BE187&lt;&gt;"ניתוח"),"",IF(BV187&lt;=30,1,0))</f>
        <v/>
      </c>
      <c r="CG187" s="37">
        <f>IF(BU187="","",IF(BU187&lt;=56,1,0))</f>
        <v/>
      </c>
      <c r="CH187" s="37">
        <f>IF(BW187="","",IF(BW187&lt;=42,1,0))</f>
        <v/>
      </c>
      <c r="CI187" s="37">
        <f>IF(BX187="","",IF(BX187&lt;=100,1,0))</f>
        <v/>
      </c>
      <c r="CJ187" s="33">
        <f>IF(A187="","",COUNTIF(Delays!$B$5:$B$404,A187))</f>
        <v/>
      </c>
      <c r="CK187" s="35" t="n"/>
    </row>
    <row r="188">
      <c r="A188" s="33">
        <f>IF(OR(B188="",C188="",D188="",AX188=""),"","RET-"&amp;RIGHT(YEAR(AX188),2)&amp;"-"&amp;TEXT(B188,"000")&amp;"-"&amp;C188&amp;"-"&amp;D188&amp;"-"&amp;TEXT(MONTH(AX188),"00"))</f>
        <v/>
      </c>
      <c r="B188" s="34" t="n">
        <v>183</v>
      </c>
      <c r="C188" s="35" t="n"/>
      <c r="D188" s="35" t="n"/>
      <c r="E188" s="33">
        <f>IF(AX188="","",YEAR(AX188))</f>
        <v/>
      </c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6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7">
        <f>IF(Y188="","",IF(OR(Y188="III",Y188="IV",Y188="IVA",Y188="IVB",Y188="IVC"),1,0))</f>
        <v/>
      </c>
      <c r="AA188" s="35" t="n"/>
      <c r="AB188" s="35" t="n"/>
      <c r="AC188" s="35" t="n"/>
      <c r="AD188" s="35" t="n"/>
      <c r="AE188" s="35" t="n"/>
      <c r="AF188" s="35" t="n"/>
      <c r="AG188" s="35" t="n"/>
      <c r="AH188" s="35" t="n"/>
      <c r="AI188" s="35" t="n"/>
      <c r="AJ188" s="35" t="n"/>
      <c r="AK188" s="35" t="n"/>
      <c r="AL188" s="35" t="n"/>
      <c r="AM188" s="35" t="n"/>
      <c r="AN188" s="35" t="n"/>
      <c r="AO188" s="35" t="n"/>
      <c r="AP188" s="35" t="n"/>
      <c r="AQ188" s="35" t="n"/>
      <c r="AR188" s="35" t="n"/>
      <c r="AS188" s="35" t="n"/>
      <c r="AT188" s="35" t="n"/>
      <c r="AU188" s="38" t="n"/>
      <c r="AV188" s="38" t="n"/>
      <c r="AW188" s="38" t="n"/>
      <c r="AX188" s="38" t="n"/>
      <c r="AY188" s="38" t="n"/>
      <c r="AZ188" s="38" t="n"/>
      <c r="BA188" s="38" t="n"/>
      <c r="BB188" s="38" t="n"/>
      <c r="BC188" s="38" t="n"/>
      <c r="BD188" s="38" t="n"/>
      <c r="BE188" s="35" t="n"/>
      <c r="BF188" s="35" t="n"/>
      <c r="BG188" s="38" t="n"/>
      <c r="BH188" s="38" t="n"/>
      <c r="BI188" s="38" t="n"/>
      <c r="BJ188" s="35" t="n"/>
      <c r="BK188" s="38" t="n"/>
      <c r="BL188" s="33">
        <f>IF(OR(AU188="",AV188=""),"",AV188-AU188)</f>
        <v/>
      </c>
      <c r="BM188" s="33">
        <f>IF(OR(AV188="",AW188=""),"",AW188-AV188)</f>
        <v/>
      </c>
      <c r="BN188" s="33">
        <f>IF(OR(AW188="",AX188=""),"",AX188-AW188)</f>
        <v/>
      </c>
      <c r="BO188" s="33">
        <f>IF(OR(AX188="",BA188=""),"",BA188-AX188)</f>
        <v/>
      </c>
      <c r="BP188" s="33">
        <f>IF(OR(AV188="",BA188=""),"",BA188-AV188)</f>
        <v/>
      </c>
      <c r="BQ188" s="33">
        <f>IF(OR(BB188="",BD188=""),"",BD188-BB188)</f>
        <v/>
      </c>
      <c r="BR188" s="33">
        <f>IF(OR(AX188="",BD188=""),"",BD188-AX188)</f>
        <v/>
      </c>
      <c r="BS188" s="33">
        <f>IF(OR(AW188="",BD188=""),"",BD188-AW188)</f>
        <v/>
      </c>
      <c r="BT188" s="33">
        <f>IF(OR(AV188="",BD188=""),"",BD188-AV188)</f>
        <v/>
      </c>
      <c r="BU188" s="33">
        <f>IF(OR(AU188="",BD188=""),"",BD188-AU188)</f>
        <v/>
      </c>
      <c r="BV188" s="33">
        <f>IF(OR(BB188="",BG188=""),"",BG188-BB188)</f>
        <v/>
      </c>
      <c r="BW188" s="33">
        <f>IF(OR(BG188="",BH188=""),"",BH188-BG188)</f>
        <v/>
      </c>
      <c r="BX188" s="33">
        <f>IF(OR(BG188="",BI188=""),"",BI188-BG188)</f>
        <v/>
      </c>
      <c r="BY188" s="39">
        <f>IF(OR(AX188="",BK188=""),"",ROUND((BK188-AX188)/30.44,1))</f>
        <v/>
      </c>
      <c r="BZ188" s="37">
        <f>IF(BR188="","",IF(BR188&lt;=30,1,0))</f>
        <v/>
      </c>
      <c r="CA188" s="37">
        <f>IF(BR188="","",IF(BR188&gt;40.5,1,0))</f>
        <v/>
      </c>
      <c r="CB188" s="37">
        <f>IF(BR188="","",IF(BR188&gt;60,1,0))</f>
        <v/>
      </c>
      <c r="CC188" s="37">
        <f>IF(BR188="","",IF(BR188&gt;67,1,0))</f>
        <v/>
      </c>
      <c r="CD188" s="37">
        <f>IF(BT188="","",IF(BT188&lt;=30,1,0))</f>
        <v/>
      </c>
      <c r="CE188" s="37">
        <f>IF(BQ188="","",IF(BQ188&lt;=28,1,0))</f>
        <v/>
      </c>
      <c r="CF188" s="37">
        <f>IF(OR(BV188="",BE188&lt;&gt;"ניתוח"),"",IF(BV188&lt;=30,1,0))</f>
        <v/>
      </c>
      <c r="CG188" s="37">
        <f>IF(BU188="","",IF(BU188&lt;=56,1,0))</f>
        <v/>
      </c>
      <c r="CH188" s="37">
        <f>IF(BW188="","",IF(BW188&lt;=42,1,0))</f>
        <v/>
      </c>
      <c r="CI188" s="37">
        <f>IF(BX188="","",IF(BX188&lt;=100,1,0))</f>
        <v/>
      </c>
      <c r="CJ188" s="33">
        <f>IF(A188="","",COUNTIF(Delays!$B$5:$B$404,A188))</f>
        <v/>
      </c>
      <c r="CK188" s="35" t="n"/>
    </row>
    <row r="189">
      <c r="A189" s="33">
        <f>IF(OR(B189="",C189="",D189="",AX189=""),"","RET-"&amp;RIGHT(YEAR(AX189),2)&amp;"-"&amp;TEXT(B189,"000")&amp;"-"&amp;C189&amp;"-"&amp;D189&amp;"-"&amp;TEXT(MONTH(AX189),"00"))</f>
        <v/>
      </c>
      <c r="B189" s="34" t="n">
        <v>184</v>
      </c>
      <c r="C189" s="35" t="n"/>
      <c r="D189" s="35" t="n"/>
      <c r="E189" s="33">
        <f>IF(AX189="","",YEAR(AX189))</f>
        <v/>
      </c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6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7">
        <f>IF(Y189="","",IF(OR(Y189="III",Y189="IV",Y189="IVA",Y189="IVB",Y189="IVC"),1,0))</f>
        <v/>
      </c>
      <c r="AA189" s="35" t="n"/>
      <c r="AB189" s="35" t="n"/>
      <c r="AC189" s="35" t="n"/>
      <c r="AD189" s="35" t="n"/>
      <c r="AE189" s="35" t="n"/>
      <c r="AF189" s="35" t="n"/>
      <c r="AG189" s="35" t="n"/>
      <c r="AH189" s="35" t="n"/>
      <c r="AI189" s="35" t="n"/>
      <c r="AJ189" s="35" t="n"/>
      <c r="AK189" s="35" t="n"/>
      <c r="AL189" s="35" t="n"/>
      <c r="AM189" s="35" t="n"/>
      <c r="AN189" s="35" t="n"/>
      <c r="AO189" s="35" t="n"/>
      <c r="AP189" s="35" t="n"/>
      <c r="AQ189" s="35" t="n"/>
      <c r="AR189" s="35" t="n"/>
      <c r="AS189" s="35" t="n"/>
      <c r="AT189" s="35" t="n"/>
      <c r="AU189" s="38" t="n"/>
      <c r="AV189" s="38" t="n"/>
      <c r="AW189" s="38" t="n"/>
      <c r="AX189" s="38" t="n"/>
      <c r="AY189" s="38" t="n"/>
      <c r="AZ189" s="38" t="n"/>
      <c r="BA189" s="38" t="n"/>
      <c r="BB189" s="38" t="n"/>
      <c r="BC189" s="38" t="n"/>
      <c r="BD189" s="38" t="n"/>
      <c r="BE189" s="35" t="n"/>
      <c r="BF189" s="35" t="n"/>
      <c r="BG189" s="38" t="n"/>
      <c r="BH189" s="38" t="n"/>
      <c r="BI189" s="38" t="n"/>
      <c r="BJ189" s="35" t="n"/>
      <c r="BK189" s="38" t="n"/>
      <c r="BL189" s="33">
        <f>IF(OR(AU189="",AV189=""),"",AV189-AU189)</f>
        <v/>
      </c>
      <c r="BM189" s="33">
        <f>IF(OR(AV189="",AW189=""),"",AW189-AV189)</f>
        <v/>
      </c>
      <c r="BN189" s="33">
        <f>IF(OR(AW189="",AX189=""),"",AX189-AW189)</f>
        <v/>
      </c>
      <c r="BO189" s="33">
        <f>IF(OR(AX189="",BA189=""),"",BA189-AX189)</f>
        <v/>
      </c>
      <c r="BP189" s="33">
        <f>IF(OR(AV189="",BA189=""),"",BA189-AV189)</f>
        <v/>
      </c>
      <c r="BQ189" s="33">
        <f>IF(OR(BB189="",BD189=""),"",BD189-BB189)</f>
        <v/>
      </c>
      <c r="BR189" s="33">
        <f>IF(OR(AX189="",BD189=""),"",BD189-AX189)</f>
        <v/>
      </c>
      <c r="BS189" s="33">
        <f>IF(OR(AW189="",BD189=""),"",BD189-AW189)</f>
        <v/>
      </c>
      <c r="BT189" s="33">
        <f>IF(OR(AV189="",BD189=""),"",BD189-AV189)</f>
        <v/>
      </c>
      <c r="BU189" s="33">
        <f>IF(OR(AU189="",BD189=""),"",BD189-AU189)</f>
        <v/>
      </c>
      <c r="BV189" s="33">
        <f>IF(OR(BB189="",BG189=""),"",BG189-BB189)</f>
        <v/>
      </c>
      <c r="BW189" s="33">
        <f>IF(OR(BG189="",BH189=""),"",BH189-BG189)</f>
        <v/>
      </c>
      <c r="BX189" s="33">
        <f>IF(OR(BG189="",BI189=""),"",BI189-BG189)</f>
        <v/>
      </c>
      <c r="BY189" s="39">
        <f>IF(OR(AX189="",BK189=""),"",ROUND((BK189-AX189)/30.44,1))</f>
        <v/>
      </c>
      <c r="BZ189" s="37">
        <f>IF(BR189="","",IF(BR189&lt;=30,1,0))</f>
        <v/>
      </c>
      <c r="CA189" s="37">
        <f>IF(BR189="","",IF(BR189&gt;40.5,1,0))</f>
        <v/>
      </c>
      <c r="CB189" s="37">
        <f>IF(BR189="","",IF(BR189&gt;60,1,0))</f>
        <v/>
      </c>
      <c r="CC189" s="37">
        <f>IF(BR189="","",IF(BR189&gt;67,1,0))</f>
        <v/>
      </c>
      <c r="CD189" s="37">
        <f>IF(BT189="","",IF(BT189&lt;=30,1,0))</f>
        <v/>
      </c>
      <c r="CE189" s="37">
        <f>IF(BQ189="","",IF(BQ189&lt;=28,1,0))</f>
        <v/>
      </c>
      <c r="CF189" s="37">
        <f>IF(OR(BV189="",BE189&lt;&gt;"ניתוח"),"",IF(BV189&lt;=30,1,0))</f>
        <v/>
      </c>
      <c r="CG189" s="37">
        <f>IF(BU189="","",IF(BU189&lt;=56,1,0))</f>
        <v/>
      </c>
      <c r="CH189" s="37">
        <f>IF(BW189="","",IF(BW189&lt;=42,1,0))</f>
        <v/>
      </c>
      <c r="CI189" s="37">
        <f>IF(BX189="","",IF(BX189&lt;=100,1,0))</f>
        <v/>
      </c>
      <c r="CJ189" s="33">
        <f>IF(A189="","",COUNTIF(Delays!$B$5:$B$404,A189))</f>
        <v/>
      </c>
      <c r="CK189" s="35" t="n"/>
    </row>
    <row r="190">
      <c r="A190" s="33">
        <f>IF(OR(B190="",C190="",D190="",AX190=""),"","RET-"&amp;RIGHT(YEAR(AX190),2)&amp;"-"&amp;TEXT(B190,"000")&amp;"-"&amp;C190&amp;"-"&amp;D190&amp;"-"&amp;TEXT(MONTH(AX190),"00"))</f>
        <v/>
      </c>
      <c r="B190" s="34" t="n">
        <v>185</v>
      </c>
      <c r="C190" s="35" t="n"/>
      <c r="D190" s="35" t="n"/>
      <c r="E190" s="33">
        <f>IF(AX190="","",YEAR(AX190))</f>
        <v/>
      </c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6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7">
        <f>IF(Y190="","",IF(OR(Y190="III",Y190="IV",Y190="IVA",Y190="IVB",Y190="IVC"),1,0))</f>
        <v/>
      </c>
      <c r="AA190" s="35" t="n"/>
      <c r="AB190" s="35" t="n"/>
      <c r="AC190" s="35" t="n"/>
      <c r="AD190" s="35" t="n"/>
      <c r="AE190" s="35" t="n"/>
      <c r="AF190" s="35" t="n"/>
      <c r="AG190" s="35" t="n"/>
      <c r="AH190" s="35" t="n"/>
      <c r="AI190" s="35" t="n"/>
      <c r="AJ190" s="35" t="n"/>
      <c r="AK190" s="35" t="n"/>
      <c r="AL190" s="35" t="n"/>
      <c r="AM190" s="35" t="n"/>
      <c r="AN190" s="35" t="n"/>
      <c r="AO190" s="35" t="n"/>
      <c r="AP190" s="35" t="n"/>
      <c r="AQ190" s="35" t="n"/>
      <c r="AR190" s="35" t="n"/>
      <c r="AS190" s="35" t="n"/>
      <c r="AT190" s="35" t="n"/>
      <c r="AU190" s="38" t="n"/>
      <c r="AV190" s="38" t="n"/>
      <c r="AW190" s="38" t="n"/>
      <c r="AX190" s="38" t="n"/>
      <c r="AY190" s="38" t="n"/>
      <c r="AZ190" s="38" t="n"/>
      <c r="BA190" s="38" t="n"/>
      <c r="BB190" s="38" t="n"/>
      <c r="BC190" s="38" t="n"/>
      <c r="BD190" s="38" t="n"/>
      <c r="BE190" s="35" t="n"/>
      <c r="BF190" s="35" t="n"/>
      <c r="BG190" s="38" t="n"/>
      <c r="BH190" s="38" t="n"/>
      <c r="BI190" s="38" t="n"/>
      <c r="BJ190" s="35" t="n"/>
      <c r="BK190" s="38" t="n"/>
      <c r="BL190" s="33">
        <f>IF(OR(AU190="",AV190=""),"",AV190-AU190)</f>
        <v/>
      </c>
      <c r="BM190" s="33">
        <f>IF(OR(AV190="",AW190=""),"",AW190-AV190)</f>
        <v/>
      </c>
      <c r="BN190" s="33">
        <f>IF(OR(AW190="",AX190=""),"",AX190-AW190)</f>
        <v/>
      </c>
      <c r="BO190" s="33">
        <f>IF(OR(AX190="",BA190=""),"",BA190-AX190)</f>
        <v/>
      </c>
      <c r="BP190" s="33">
        <f>IF(OR(AV190="",BA190=""),"",BA190-AV190)</f>
        <v/>
      </c>
      <c r="BQ190" s="33">
        <f>IF(OR(BB190="",BD190=""),"",BD190-BB190)</f>
        <v/>
      </c>
      <c r="BR190" s="33">
        <f>IF(OR(AX190="",BD190=""),"",BD190-AX190)</f>
        <v/>
      </c>
      <c r="BS190" s="33">
        <f>IF(OR(AW190="",BD190=""),"",BD190-AW190)</f>
        <v/>
      </c>
      <c r="BT190" s="33">
        <f>IF(OR(AV190="",BD190=""),"",BD190-AV190)</f>
        <v/>
      </c>
      <c r="BU190" s="33">
        <f>IF(OR(AU190="",BD190=""),"",BD190-AU190)</f>
        <v/>
      </c>
      <c r="BV190" s="33">
        <f>IF(OR(BB190="",BG190=""),"",BG190-BB190)</f>
        <v/>
      </c>
      <c r="BW190" s="33">
        <f>IF(OR(BG190="",BH190=""),"",BH190-BG190)</f>
        <v/>
      </c>
      <c r="BX190" s="33">
        <f>IF(OR(BG190="",BI190=""),"",BI190-BG190)</f>
        <v/>
      </c>
      <c r="BY190" s="39">
        <f>IF(OR(AX190="",BK190=""),"",ROUND((BK190-AX190)/30.44,1))</f>
        <v/>
      </c>
      <c r="BZ190" s="37">
        <f>IF(BR190="","",IF(BR190&lt;=30,1,0))</f>
        <v/>
      </c>
      <c r="CA190" s="37">
        <f>IF(BR190="","",IF(BR190&gt;40.5,1,0))</f>
        <v/>
      </c>
      <c r="CB190" s="37">
        <f>IF(BR190="","",IF(BR190&gt;60,1,0))</f>
        <v/>
      </c>
      <c r="CC190" s="37">
        <f>IF(BR190="","",IF(BR190&gt;67,1,0))</f>
        <v/>
      </c>
      <c r="CD190" s="37">
        <f>IF(BT190="","",IF(BT190&lt;=30,1,0))</f>
        <v/>
      </c>
      <c r="CE190" s="37">
        <f>IF(BQ190="","",IF(BQ190&lt;=28,1,0))</f>
        <v/>
      </c>
      <c r="CF190" s="37">
        <f>IF(OR(BV190="",BE190&lt;&gt;"ניתוח"),"",IF(BV190&lt;=30,1,0))</f>
        <v/>
      </c>
      <c r="CG190" s="37">
        <f>IF(BU190="","",IF(BU190&lt;=56,1,0))</f>
        <v/>
      </c>
      <c r="CH190" s="37">
        <f>IF(BW190="","",IF(BW190&lt;=42,1,0))</f>
        <v/>
      </c>
      <c r="CI190" s="37">
        <f>IF(BX190="","",IF(BX190&lt;=100,1,0))</f>
        <v/>
      </c>
      <c r="CJ190" s="33">
        <f>IF(A190="","",COUNTIF(Delays!$B$5:$B$404,A190))</f>
        <v/>
      </c>
      <c r="CK190" s="35" t="n"/>
    </row>
    <row r="191">
      <c r="A191" s="33">
        <f>IF(OR(B191="",C191="",D191="",AX191=""),"","RET-"&amp;RIGHT(YEAR(AX191),2)&amp;"-"&amp;TEXT(B191,"000")&amp;"-"&amp;C191&amp;"-"&amp;D191&amp;"-"&amp;TEXT(MONTH(AX191),"00"))</f>
        <v/>
      </c>
      <c r="B191" s="34" t="n">
        <v>186</v>
      </c>
      <c r="C191" s="35" t="n"/>
      <c r="D191" s="35" t="n"/>
      <c r="E191" s="33">
        <f>IF(AX191="","",YEAR(AX191))</f>
        <v/>
      </c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6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7">
        <f>IF(Y191="","",IF(OR(Y191="III",Y191="IV",Y191="IVA",Y191="IVB",Y191="IVC"),1,0))</f>
        <v/>
      </c>
      <c r="AA191" s="35" t="n"/>
      <c r="AB191" s="35" t="n"/>
      <c r="AC191" s="35" t="n"/>
      <c r="AD191" s="35" t="n"/>
      <c r="AE191" s="35" t="n"/>
      <c r="AF191" s="35" t="n"/>
      <c r="AG191" s="35" t="n"/>
      <c r="AH191" s="35" t="n"/>
      <c r="AI191" s="35" t="n"/>
      <c r="AJ191" s="35" t="n"/>
      <c r="AK191" s="35" t="n"/>
      <c r="AL191" s="35" t="n"/>
      <c r="AM191" s="35" t="n"/>
      <c r="AN191" s="35" t="n"/>
      <c r="AO191" s="35" t="n"/>
      <c r="AP191" s="35" t="n"/>
      <c r="AQ191" s="35" t="n"/>
      <c r="AR191" s="35" t="n"/>
      <c r="AS191" s="35" t="n"/>
      <c r="AT191" s="35" t="n"/>
      <c r="AU191" s="38" t="n"/>
      <c r="AV191" s="38" t="n"/>
      <c r="AW191" s="38" t="n"/>
      <c r="AX191" s="38" t="n"/>
      <c r="AY191" s="38" t="n"/>
      <c r="AZ191" s="38" t="n"/>
      <c r="BA191" s="38" t="n"/>
      <c r="BB191" s="38" t="n"/>
      <c r="BC191" s="38" t="n"/>
      <c r="BD191" s="38" t="n"/>
      <c r="BE191" s="35" t="n"/>
      <c r="BF191" s="35" t="n"/>
      <c r="BG191" s="38" t="n"/>
      <c r="BH191" s="38" t="n"/>
      <c r="BI191" s="38" t="n"/>
      <c r="BJ191" s="35" t="n"/>
      <c r="BK191" s="38" t="n"/>
      <c r="BL191" s="33">
        <f>IF(OR(AU191="",AV191=""),"",AV191-AU191)</f>
        <v/>
      </c>
      <c r="BM191" s="33">
        <f>IF(OR(AV191="",AW191=""),"",AW191-AV191)</f>
        <v/>
      </c>
      <c r="BN191" s="33">
        <f>IF(OR(AW191="",AX191=""),"",AX191-AW191)</f>
        <v/>
      </c>
      <c r="BO191" s="33">
        <f>IF(OR(AX191="",BA191=""),"",BA191-AX191)</f>
        <v/>
      </c>
      <c r="BP191" s="33">
        <f>IF(OR(AV191="",BA191=""),"",BA191-AV191)</f>
        <v/>
      </c>
      <c r="BQ191" s="33">
        <f>IF(OR(BB191="",BD191=""),"",BD191-BB191)</f>
        <v/>
      </c>
      <c r="BR191" s="33">
        <f>IF(OR(AX191="",BD191=""),"",BD191-AX191)</f>
        <v/>
      </c>
      <c r="BS191" s="33">
        <f>IF(OR(AW191="",BD191=""),"",BD191-AW191)</f>
        <v/>
      </c>
      <c r="BT191" s="33">
        <f>IF(OR(AV191="",BD191=""),"",BD191-AV191)</f>
        <v/>
      </c>
      <c r="BU191" s="33">
        <f>IF(OR(AU191="",BD191=""),"",BD191-AU191)</f>
        <v/>
      </c>
      <c r="BV191" s="33">
        <f>IF(OR(BB191="",BG191=""),"",BG191-BB191)</f>
        <v/>
      </c>
      <c r="BW191" s="33">
        <f>IF(OR(BG191="",BH191=""),"",BH191-BG191)</f>
        <v/>
      </c>
      <c r="BX191" s="33">
        <f>IF(OR(BG191="",BI191=""),"",BI191-BG191)</f>
        <v/>
      </c>
      <c r="BY191" s="39">
        <f>IF(OR(AX191="",BK191=""),"",ROUND((BK191-AX191)/30.44,1))</f>
        <v/>
      </c>
      <c r="BZ191" s="37">
        <f>IF(BR191="","",IF(BR191&lt;=30,1,0))</f>
        <v/>
      </c>
      <c r="CA191" s="37">
        <f>IF(BR191="","",IF(BR191&gt;40.5,1,0))</f>
        <v/>
      </c>
      <c r="CB191" s="37">
        <f>IF(BR191="","",IF(BR191&gt;60,1,0))</f>
        <v/>
      </c>
      <c r="CC191" s="37">
        <f>IF(BR191="","",IF(BR191&gt;67,1,0))</f>
        <v/>
      </c>
      <c r="CD191" s="37">
        <f>IF(BT191="","",IF(BT191&lt;=30,1,0))</f>
        <v/>
      </c>
      <c r="CE191" s="37">
        <f>IF(BQ191="","",IF(BQ191&lt;=28,1,0))</f>
        <v/>
      </c>
      <c r="CF191" s="37">
        <f>IF(OR(BV191="",BE191&lt;&gt;"ניתוח"),"",IF(BV191&lt;=30,1,0))</f>
        <v/>
      </c>
      <c r="CG191" s="37">
        <f>IF(BU191="","",IF(BU191&lt;=56,1,0))</f>
        <v/>
      </c>
      <c r="CH191" s="37">
        <f>IF(BW191="","",IF(BW191&lt;=42,1,0))</f>
        <v/>
      </c>
      <c r="CI191" s="37">
        <f>IF(BX191="","",IF(BX191&lt;=100,1,0))</f>
        <v/>
      </c>
      <c r="CJ191" s="33">
        <f>IF(A191="","",COUNTIF(Delays!$B$5:$B$404,A191))</f>
        <v/>
      </c>
      <c r="CK191" s="35" t="n"/>
    </row>
    <row r="192">
      <c r="A192" s="33">
        <f>IF(OR(B192="",C192="",D192="",AX192=""),"","RET-"&amp;RIGHT(YEAR(AX192),2)&amp;"-"&amp;TEXT(B192,"000")&amp;"-"&amp;C192&amp;"-"&amp;D192&amp;"-"&amp;TEXT(MONTH(AX192),"00"))</f>
        <v/>
      </c>
      <c r="B192" s="34" t="n">
        <v>187</v>
      </c>
      <c r="C192" s="35" t="n"/>
      <c r="D192" s="35" t="n"/>
      <c r="E192" s="33">
        <f>IF(AX192="","",YEAR(AX192))</f>
        <v/>
      </c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6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7">
        <f>IF(Y192="","",IF(OR(Y192="III",Y192="IV",Y192="IVA",Y192="IVB",Y192="IVC"),1,0))</f>
        <v/>
      </c>
      <c r="AA192" s="35" t="n"/>
      <c r="AB192" s="35" t="n"/>
      <c r="AC192" s="35" t="n"/>
      <c r="AD192" s="35" t="n"/>
      <c r="AE192" s="35" t="n"/>
      <c r="AF192" s="35" t="n"/>
      <c r="AG192" s="35" t="n"/>
      <c r="AH192" s="35" t="n"/>
      <c r="AI192" s="35" t="n"/>
      <c r="AJ192" s="35" t="n"/>
      <c r="AK192" s="35" t="n"/>
      <c r="AL192" s="35" t="n"/>
      <c r="AM192" s="35" t="n"/>
      <c r="AN192" s="35" t="n"/>
      <c r="AO192" s="35" t="n"/>
      <c r="AP192" s="35" t="n"/>
      <c r="AQ192" s="35" t="n"/>
      <c r="AR192" s="35" t="n"/>
      <c r="AS192" s="35" t="n"/>
      <c r="AT192" s="35" t="n"/>
      <c r="AU192" s="38" t="n"/>
      <c r="AV192" s="38" t="n"/>
      <c r="AW192" s="38" t="n"/>
      <c r="AX192" s="38" t="n"/>
      <c r="AY192" s="38" t="n"/>
      <c r="AZ192" s="38" t="n"/>
      <c r="BA192" s="38" t="n"/>
      <c r="BB192" s="38" t="n"/>
      <c r="BC192" s="38" t="n"/>
      <c r="BD192" s="38" t="n"/>
      <c r="BE192" s="35" t="n"/>
      <c r="BF192" s="35" t="n"/>
      <c r="BG192" s="38" t="n"/>
      <c r="BH192" s="38" t="n"/>
      <c r="BI192" s="38" t="n"/>
      <c r="BJ192" s="35" t="n"/>
      <c r="BK192" s="38" t="n"/>
      <c r="BL192" s="33">
        <f>IF(OR(AU192="",AV192=""),"",AV192-AU192)</f>
        <v/>
      </c>
      <c r="BM192" s="33">
        <f>IF(OR(AV192="",AW192=""),"",AW192-AV192)</f>
        <v/>
      </c>
      <c r="BN192" s="33">
        <f>IF(OR(AW192="",AX192=""),"",AX192-AW192)</f>
        <v/>
      </c>
      <c r="BO192" s="33">
        <f>IF(OR(AX192="",BA192=""),"",BA192-AX192)</f>
        <v/>
      </c>
      <c r="BP192" s="33">
        <f>IF(OR(AV192="",BA192=""),"",BA192-AV192)</f>
        <v/>
      </c>
      <c r="BQ192" s="33">
        <f>IF(OR(BB192="",BD192=""),"",BD192-BB192)</f>
        <v/>
      </c>
      <c r="BR192" s="33">
        <f>IF(OR(AX192="",BD192=""),"",BD192-AX192)</f>
        <v/>
      </c>
      <c r="BS192" s="33">
        <f>IF(OR(AW192="",BD192=""),"",BD192-AW192)</f>
        <v/>
      </c>
      <c r="BT192" s="33">
        <f>IF(OR(AV192="",BD192=""),"",BD192-AV192)</f>
        <v/>
      </c>
      <c r="BU192" s="33">
        <f>IF(OR(AU192="",BD192=""),"",BD192-AU192)</f>
        <v/>
      </c>
      <c r="BV192" s="33">
        <f>IF(OR(BB192="",BG192=""),"",BG192-BB192)</f>
        <v/>
      </c>
      <c r="BW192" s="33">
        <f>IF(OR(BG192="",BH192=""),"",BH192-BG192)</f>
        <v/>
      </c>
      <c r="BX192" s="33">
        <f>IF(OR(BG192="",BI192=""),"",BI192-BG192)</f>
        <v/>
      </c>
      <c r="BY192" s="39">
        <f>IF(OR(AX192="",BK192=""),"",ROUND((BK192-AX192)/30.44,1))</f>
        <v/>
      </c>
      <c r="BZ192" s="37">
        <f>IF(BR192="","",IF(BR192&lt;=30,1,0))</f>
        <v/>
      </c>
      <c r="CA192" s="37">
        <f>IF(BR192="","",IF(BR192&gt;40.5,1,0))</f>
        <v/>
      </c>
      <c r="CB192" s="37">
        <f>IF(BR192="","",IF(BR192&gt;60,1,0))</f>
        <v/>
      </c>
      <c r="CC192" s="37">
        <f>IF(BR192="","",IF(BR192&gt;67,1,0))</f>
        <v/>
      </c>
      <c r="CD192" s="37">
        <f>IF(BT192="","",IF(BT192&lt;=30,1,0))</f>
        <v/>
      </c>
      <c r="CE192" s="37">
        <f>IF(BQ192="","",IF(BQ192&lt;=28,1,0))</f>
        <v/>
      </c>
      <c r="CF192" s="37">
        <f>IF(OR(BV192="",BE192&lt;&gt;"ניתוח"),"",IF(BV192&lt;=30,1,0))</f>
        <v/>
      </c>
      <c r="CG192" s="37">
        <f>IF(BU192="","",IF(BU192&lt;=56,1,0))</f>
        <v/>
      </c>
      <c r="CH192" s="37">
        <f>IF(BW192="","",IF(BW192&lt;=42,1,0))</f>
        <v/>
      </c>
      <c r="CI192" s="37">
        <f>IF(BX192="","",IF(BX192&lt;=100,1,0))</f>
        <v/>
      </c>
      <c r="CJ192" s="33">
        <f>IF(A192="","",COUNTIF(Delays!$B$5:$B$404,A192))</f>
        <v/>
      </c>
      <c r="CK192" s="35" t="n"/>
    </row>
    <row r="193">
      <c r="A193" s="33">
        <f>IF(OR(B193="",C193="",D193="",AX193=""),"","RET-"&amp;RIGHT(YEAR(AX193),2)&amp;"-"&amp;TEXT(B193,"000")&amp;"-"&amp;C193&amp;"-"&amp;D193&amp;"-"&amp;TEXT(MONTH(AX193),"00"))</f>
        <v/>
      </c>
      <c r="B193" s="34" t="n">
        <v>188</v>
      </c>
      <c r="C193" s="35" t="n"/>
      <c r="D193" s="35" t="n"/>
      <c r="E193" s="33">
        <f>IF(AX193="","",YEAR(AX193))</f>
        <v/>
      </c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6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7">
        <f>IF(Y193="","",IF(OR(Y193="III",Y193="IV",Y193="IVA",Y193="IVB",Y193="IVC"),1,0))</f>
        <v/>
      </c>
      <c r="AA193" s="35" t="n"/>
      <c r="AB193" s="35" t="n"/>
      <c r="AC193" s="35" t="n"/>
      <c r="AD193" s="35" t="n"/>
      <c r="AE193" s="35" t="n"/>
      <c r="AF193" s="35" t="n"/>
      <c r="AG193" s="35" t="n"/>
      <c r="AH193" s="35" t="n"/>
      <c r="AI193" s="35" t="n"/>
      <c r="AJ193" s="35" t="n"/>
      <c r="AK193" s="35" t="n"/>
      <c r="AL193" s="35" t="n"/>
      <c r="AM193" s="35" t="n"/>
      <c r="AN193" s="35" t="n"/>
      <c r="AO193" s="35" t="n"/>
      <c r="AP193" s="35" t="n"/>
      <c r="AQ193" s="35" t="n"/>
      <c r="AR193" s="35" t="n"/>
      <c r="AS193" s="35" t="n"/>
      <c r="AT193" s="35" t="n"/>
      <c r="AU193" s="38" t="n"/>
      <c r="AV193" s="38" t="n"/>
      <c r="AW193" s="38" t="n"/>
      <c r="AX193" s="38" t="n"/>
      <c r="AY193" s="38" t="n"/>
      <c r="AZ193" s="38" t="n"/>
      <c r="BA193" s="38" t="n"/>
      <c r="BB193" s="38" t="n"/>
      <c r="BC193" s="38" t="n"/>
      <c r="BD193" s="38" t="n"/>
      <c r="BE193" s="35" t="n"/>
      <c r="BF193" s="35" t="n"/>
      <c r="BG193" s="38" t="n"/>
      <c r="BH193" s="38" t="n"/>
      <c r="BI193" s="38" t="n"/>
      <c r="BJ193" s="35" t="n"/>
      <c r="BK193" s="38" t="n"/>
      <c r="BL193" s="33">
        <f>IF(OR(AU193="",AV193=""),"",AV193-AU193)</f>
        <v/>
      </c>
      <c r="BM193" s="33">
        <f>IF(OR(AV193="",AW193=""),"",AW193-AV193)</f>
        <v/>
      </c>
      <c r="BN193" s="33">
        <f>IF(OR(AW193="",AX193=""),"",AX193-AW193)</f>
        <v/>
      </c>
      <c r="BO193" s="33">
        <f>IF(OR(AX193="",BA193=""),"",BA193-AX193)</f>
        <v/>
      </c>
      <c r="BP193" s="33">
        <f>IF(OR(AV193="",BA193=""),"",BA193-AV193)</f>
        <v/>
      </c>
      <c r="BQ193" s="33">
        <f>IF(OR(BB193="",BD193=""),"",BD193-BB193)</f>
        <v/>
      </c>
      <c r="BR193" s="33">
        <f>IF(OR(AX193="",BD193=""),"",BD193-AX193)</f>
        <v/>
      </c>
      <c r="BS193" s="33">
        <f>IF(OR(AW193="",BD193=""),"",BD193-AW193)</f>
        <v/>
      </c>
      <c r="BT193" s="33">
        <f>IF(OR(AV193="",BD193=""),"",BD193-AV193)</f>
        <v/>
      </c>
      <c r="BU193" s="33">
        <f>IF(OR(AU193="",BD193=""),"",BD193-AU193)</f>
        <v/>
      </c>
      <c r="BV193" s="33">
        <f>IF(OR(BB193="",BG193=""),"",BG193-BB193)</f>
        <v/>
      </c>
      <c r="BW193" s="33">
        <f>IF(OR(BG193="",BH193=""),"",BH193-BG193)</f>
        <v/>
      </c>
      <c r="BX193" s="33">
        <f>IF(OR(BG193="",BI193=""),"",BI193-BG193)</f>
        <v/>
      </c>
      <c r="BY193" s="39">
        <f>IF(OR(AX193="",BK193=""),"",ROUND((BK193-AX193)/30.44,1))</f>
        <v/>
      </c>
      <c r="BZ193" s="37">
        <f>IF(BR193="","",IF(BR193&lt;=30,1,0))</f>
        <v/>
      </c>
      <c r="CA193" s="37">
        <f>IF(BR193="","",IF(BR193&gt;40.5,1,0))</f>
        <v/>
      </c>
      <c r="CB193" s="37">
        <f>IF(BR193="","",IF(BR193&gt;60,1,0))</f>
        <v/>
      </c>
      <c r="CC193" s="37">
        <f>IF(BR193="","",IF(BR193&gt;67,1,0))</f>
        <v/>
      </c>
      <c r="CD193" s="37">
        <f>IF(BT193="","",IF(BT193&lt;=30,1,0))</f>
        <v/>
      </c>
      <c r="CE193" s="37">
        <f>IF(BQ193="","",IF(BQ193&lt;=28,1,0))</f>
        <v/>
      </c>
      <c r="CF193" s="37">
        <f>IF(OR(BV193="",BE193&lt;&gt;"ניתוח"),"",IF(BV193&lt;=30,1,0))</f>
        <v/>
      </c>
      <c r="CG193" s="37">
        <f>IF(BU193="","",IF(BU193&lt;=56,1,0))</f>
        <v/>
      </c>
      <c r="CH193" s="37">
        <f>IF(BW193="","",IF(BW193&lt;=42,1,0))</f>
        <v/>
      </c>
      <c r="CI193" s="37">
        <f>IF(BX193="","",IF(BX193&lt;=100,1,0))</f>
        <v/>
      </c>
      <c r="CJ193" s="33">
        <f>IF(A193="","",COUNTIF(Delays!$B$5:$B$404,A193))</f>
        <v/>
      </c>
      <c r="CK193" s="35" t="n"/>
    </row>
    <row r="194">
      <c r="A194" s="33">
        <f>IF(OR(B194="",C194="",D194="",AX194=""),"","RET-"&amp;RIGHT(YEAR(AX194),2)&amp;"-"&amp;TEXT(B194,"000")&amp;"-"&amp;C194&amp;"-"&amp;D194&amp;"-"&amp;TEXT(MONTH(AX194),"00"))</f>
        <v/>
      </c>
      <c r="B194" s="34" t="n">
        <v>189</v>
      </c>
      <c r="C194" s="35" t="n"/>
      <c r="D194" s="35" t="n"/>
      <c r="E194" s="33">
        <f>IF(AX194="","",YEAR(AX194))</f>
        <v/>
      </c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6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7">
        <f>IF(Y194="","",IF(OR(Y194="III",Y194="IV",Y194="IVA",Y194="IVB",Y194="IVC"),1,0))</f>
        <v/>
      </c>
      <c r="AA194" s="35" t="n"/>
      <c r="AB194" s="35" t="n"/>
      <c r="AC194" s="35" t="n"/>
      <c r="AD194" s="35" t="n"/>
      <c r="AE194" s="35" t="n"/>
      <c r="AF194" s="35" t="n"/>
      <c r="AG194" s="35" t="n"/>
      <c r="AH194" s="35" t="n"/>
      <c r="AI194" s="35" t="n"/>
      <c r="AJ194" s="35" t="n"/>
      <c r="AK194" s="35" t="n"/>
      <c r="AL194" s="35" t="n"/>
      <c r="AM194" s="35" t="n"/>
      <c r="AN194" s="35" t="n"/>
      <c r="AO194" s="35" t="n"/>
      <c r="AP194" s="35" t="n"/>
      <c r="AQ194" s="35" t="n"/>
      <c r="AR194" s="35" t="n"/>
      <c r="AS194" s="35" t="n"/>
      <c r="AT194" s="35" t="n"/>
      <c r="AU194" s="38" t="n"/>
      <c r="AV194" s="38" t="n"/>
      <c r="AW194" s="38" t="n"/>
      <c r="AX194" s="38" t="n"/>
      <c r="AY194" s="38" t="n"/>
      <c r="AZ194" s="38" t="n"/>
      <c r="BA194" s="38" t="n"/>
      <c r="BB194" s="38" t="n"/>
      <c r="BC194" s="38" t="n"/>
      <c r="BD194" s="38" t="n"/>
      <c r="BE194" s="35" t="n"/>
      <c r="BF194" s="35" t="n"/>
      <c r="BG194" s="38" t="n"/>
      <c r="BH194" s="38" t="n"/>
      <c r="BI194" s="38" t="n"/>
      <c r="BJ194" s="35" t="n"/>
      <c r="BK194" s="38" t="n"/>
      <c r="BL194" s="33">
        <f>IF(OR(AU194="",AV194=""),"",AV194-AU194)</f>
        <v/>
      </c>
      <c r="BM194" s="33">
        <f>IF(OR(AV194="",AW194=""),"",AW194-AV194)</f>
        <v/>
      </c>
      <c r="BN194" s="33">
        <f>IF(OR(AW194="",AX194=""),"",AX194-AW194)</f>
        <v/>
      </c>
      <c r="BO194" s="33">
        <f>IF(OR(AX194="",BA194=""),"",BA194-AX194)</f>
        <v/>
      </c>
      <c r="BP194" s="33">
        <f>IF(OR(AV194="",BA194=""),"",BA194-AV194)</f>
        <v/>
      </c>
      <c r="BQ194" s="33">
        <f>IF(OR(BB194="",BD194=""),"",BD194-BB194)</f>
        <v/>
      </c>
      <c r="BR194" s="33">
        <f>IF(OR(AX194="",BD194=""),"",BD194-AX194)</f>
        <v/>
      </c>
      <c r="BS194" s="33">
        <f>IF(OR(AW194="",BD194=""),"",BD194-AW194)</f>
        <v/>
      </c>
      <c r="BT194" s="33">
        <f>IF(OR(AV194="",BD194=""),"",BD194-AV194)</f>
        <v/>
      </c>
      <c r="BU194" s="33">
        <f>IF(OR(AU194="",BD194=""),"",BD194-AU194)</f>
        <v/>
      </c>
      <c r="BV194" s="33">
        <f>IF(OR(BB194="",BG194=""),"",BG194-BB194)</f>
        <v/>
      </c>
      <c r="BW194" s="33">
        <f>IF(OR(BG194="",BH194=""),"",BH194-BG194)</f>
        <v/>
      </c>
      <c r="BX194" s="33">
        <f>IF(OR(BG194="",BI194=""),"",BI194-BG194)</f>
        <v/>
      </c>
      <c r="BY194" s="39">
        <f>IF(OR(AX194="",BK194=""),"",ROUND((BK194-AX194)/30.44,1))</f>
        <v/>
      </c>
      <c r="BZ194" s="37">
        <f>IF(BR194="","",IF(BR194&lt;=30,1,0))</f>
        <v/>
      </c>
      <c r="CA194" s="37">
        <f>IF(BR194="","",IF(BR194&gt;40.5,1,0))</f>
        <v/>
      </c>
      <c r="CB194" s="37">
        <f>IF(BR194="","",IF(BR194&gt;60,1,0))</f>
        <v/>
      </c>
      <c r="CC194" s="37">
        <f>IF(BR194="","",IF(BR194&gt;67,1,0))</f>
        <v/>
      </c>
      <c r="CD194" s="37">
        <f>IF(BT194="","",IF(BT194&lt;=30,1,0))</f>
        <v/>
      </c>
      <c r="CE194" s="37">
        <f>IF(BQ194="","",IF(BQ194&lt;=28,1,0))</f>
        <v/>
      </c>
      <c r="CF194" s="37">
        <f>IF(OR(BV194="",BE194&lt;&gt;"ניתוח"),"",IF(BV194&lt;=30,1,0))</f>
        <v/>
      </c>
      <c r="CG194" s="37">
        <f>IF(BU194="","",IF(BU194&lt;=56,1,0))</f>
        <v/>
      </c>
      <c r="CH194" s="37">
        <f>IF(BW194="","",IF(BW194&lt;=42,1,0))</f>
        <v/>
      </c>
      <c r="CI194" s="37">
        <f>IF(BX194="","",IF(BX194&lt;=100,1,0))</f>
        <v/>
      </c>
      <c r="CJ194" s="33">
        <f>IF(A194="","",COUNTIF(Delays!$B$5:$B$404,A194))</f>
        <v/>
      </c>
      <c r="CK194" s="35" t="n"/>
    </row>
    <row r="195">
      <c r="A195" s="33">
        <f>IF(OR(B195="",C195="",D195="",AX195=""),"","RET-"&amp;RIGHT(YEAR(AX195),2)&amp;"-"&amp;TEXT(B195,"000")&amp;"-"&amp;C195&amp;"-"&amp;D195&amp;"-"&amp;TEXT(MONTH(AX195),"00"))</f>
        <v/>
      </c>
      <c r="B195" s="34" t="n">
        <v>190</v>
      </c>
      <c r="C195" s="35" t="n"/>
      <c r="D195" s="35" t="n"/>
      <c r="E195" s="33">
        <f>IF(AX195="","",YEAR(AX195))</f>
        <v/>
      </c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6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7">
        <f>IF(Y195="","",IF(OR(Y195="III",Y195="IV",Y195="IVA",Y195="IVB",Y195="IVC"),1,0))</f>
        <v/>
      </c>
      <c r="AA195" s="35" t="n"/>
      <c r="AB195" s="35" t="n"/>
      <c r="AC195" s="35" t="n"/>
      <c r="AD195" s="35" t="n"/>
      <c r="AE195" s="35" t="n"/>
      <c r="AF195" s="35" t="n"/>
      <c r="AG195" s="35" t="n"/>
      <c r="AH195" s="35" t="n"/>
      <c r="AI195" s="35" t="n"/>
      <c r="AJ195" s="35" t="n"/>
      <c r="AK195" s="35" t="n"/>
      <c r="AL195" s="35" t="n"/>
      <c r="AM195" s="35" t="n"/>
      <c r="AN195" s="35" t="n"/>
      <c r="AO195" s="35" t="n"/>
      <c r="AP195" s="35" t="n"/>
      <c r="AQ195" s="35" t="n"/>
      <c r="AR195" s="35" t="n"/>
      <c r="AS195" s="35" t="n"/>
      <c r="AT195" s="35" t="n"/>
      <c r="AU195" s="38" t="n"/>
      <c r="AV195" s="38" t="n"/>
      <c r="AW195" s="38" t="n"/>
      <c r="AX195" s="38" t="n"/>
      <c r="AY195" s="38" t="n"/>
      <c r="AZ195" s="38" t="n"/>
      <c r="BA195" s="38" t="n"/>
      <c r="BB195" s="38" t="n"/>
      <c r="BC195" s="38" t="n"/>
      <c r="BD195" s="38" t="n"/>
      <c r="BE195" s="35" t="n"/>
      <c r="BF195" s="35" t="n"/>
      <c r="BG195" s="38" t="n"/>
      <c r="BH195" s="38" t="n"/>
      <c r="BI195" s="38" t="n"/>
      <c r="BJ195" s="35" t="n"/>
      <c r="BK195" s="38" t="n"/>
      <c r="BL195" s="33">
        <f>IF(OR(AU195="",AV195=""),"",AV195-AU195)</f>
        <v/>
      </c>
      <c r="BM195" s="33">
        <f>IF(OR(AV195="",AW195=""),"",AW195-AV195)</f>
        <v/>
      </c>
      <c r="BN195" s="33">
        <f>IF(OR(AW195="",AX195=""),"",AX195-AW195)</f>
        <v/>
      </c>
      <c r="BO195" s="33">
        <f>IF(OR(AX195="",BA195=""),"",BA195-AX195)</f>
        <v/>
      </c>
      <c r="BP195" s="33">
        <f>IF(OR(AV195="",BA195=""),"",BA195-AV195)</f>
        <v/>
      </c>
      <c r="BQ195" s="33">
        <f>IF(OR(BB195="",BD195=""),"",BD195-BB195)</f>
        <v/>
      </c>
      <c r="BR195" s="33">
        <f>IF(OR(AX195="",BD195=""),"",BD195-AX195)</f>
        <v/>
      </c>
      <c r="BS195" s="33">
        <f>IF(OR(AW195="",BD195=""),"",BD195-AW195)</f>
        <v/>
      </c>
      <c r="BT195" s="33">
        <f>IF(OR(AV195="",BD195=""),"",BD195-AV195)</f>
        <v/>
      </c>
      <c r="BU195" s="33">
        <f>IF(OR(AU195="",BD195=""),"",BD195-AU195)</f>
        <v/>
      </c>
      <c r="BV195" s="33">
        <f>IF(OR(BB195="",BG195=""),"",BG195-BB195)</f>
        <v/>
      </c>
      <c r="BW195" s="33">
        <f>IF(OR(BG195="",BH195=""),"",BH195-BG195)</f>
        <v/>
      </c>
      <c r="BX195" s="33">
        <f>IF(OR(BG195="",BI195=""),"",BI195-BG195)</f>
        <v/>
      </c>
      <c r="BY195" s="39">
        <f>IF(OR(AX195="",BK195=""),"",ROUND((BK195-AX195)/30.44,1))</f>
        <v/>
      </c>
      <c r="BZ195" s="37">
        <f>IF(BR195="","",IF(BR195&lt;=30,1,0))</f>
        <v/>
      </c>
      <c r="CA195" s="37">
        <f>IF(BR195="","",IF(BR195&gt;40.5,1,0))</f>
        <v/>
      </c>
      <c r="CB195" s="37">
        <f>IF(BR195="","",IF(BR195&gt;60,1,0))</f>
        <v/>
      </c>
      <c r="CC195" s="37">
        <f>IF(BR195="","",IF(BR195&gt;67,1,0))</f>
        <v/>
      </c>
      <c r="CD195" s="37">
        <f>IF(BT195="","",IF(BT195&lt;=30,1,0))</f>
        <v/>
      </c>
      <c r="CE195" s="37">
        <f>IF(BQ195="","",IF(BQ195&lt;=28,1,0))</f>
        <v/>
      </c>
      <c r="CF195" s="37">
        <f>IF(OR(BV195="",BE195&lt;&gt;"ניתוח"),"",IF(BV195&lt;=30,1,0))</f>
        <v/>
      </c>
      <c r="CG195" s="37">
        <f>IF(BU195="","",IF(BU195&lt;=56,1,0))</f>
        <v/>
      </c>
      <c r="CH195" s="37">
        <f>IF(BW195="","",IF(BW195&lt;=42,1,0))</f>
        <v/>
      </c>
      <c r="CI195" s="37">
        <f>IF(BX195="","",IF(BX195&lt;=100,1,0))</f>
        <v/>
      </c>
      <c r="CJ195" s="33">
        <f>IF(A195="","",COUNTIF(Delays!$B$5:$B$404,A195))</f>
        <v/>
      </c>
      <c r="CK195" s="35" t="n"/>
    </row>
    <row r="196">
      <c r="A196" s="33">
        <f>IF(OR(B196="",C196="",D196="",AX196=""),"","RET-"&amp;RIGHT(YEAR(AX196),2)&amp;"-"&amp;TEXT(B196,"000")&amp;"-"&amp;C196&amp;"-"&amp;D196&amp;"-"&amp;TEXT(MONTH(AX196),"00"))</f>
        <v/>
      </c>
      <c r="B196" s="34" t="n">
        <v>191</v>
      </c>
      <c r="C196" s="35" t="n"/>
      <c r="D196" s="35" t="n"/>
      <c r="E196" s="33">
        <f>IF(AX196="","",YEAR(AX196))</f>
        <v/>
      </c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6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7">
        <f>IF(Y196="","",IF(OR(Y196="III",Y196="IV",Y196="IVA",Y196="IVB",Y196="IVC"),1,0))</f>
        <v/>
      </c>
      <c r="AA196" s="35" t="n"/>
      <c r="AB196" s="35" t="n"/>
      <c r="AC196" s="35" t="n"/>
      <c r="AD196" s="35" t="n"/>
      <c r="AE196" s="35" t="n"/>
      <c r="AF196" s="35" t="n"/>
      <c r="AG196" s="35" t="n"/>
      <c r="AH196" s="35" t="n"/>
      <c r="AI196" s="35" t="n"/>
      <c r="AJ196" s="35" t="n"/>
      <c r="AK196" s="35" t="n"/>
      <c r="AL196" s="35" t="n"/>
      <c r="AM196" s="35" t="n"/>
      <c r="AN196" s="35" t="n"/>
      <c r="AO196" s="35" t="n"/>
      <c r="AP196" s="35" t="n"/>
      <c r="AQ196" s="35" t="n"/>
      <c r="AR196" s="35" t="n"/>
      <c r="AS196" s="35" t="n"/>
      <c r="AT196" s="35" t="n"/>
      <c r="AU196" s="38" t="n"/>
      <c r="AV196" s="38" t="n"/>
      <c r="AW196" s="38" t="n"/>
      <c r="AX196" s="38" t="n"/>
      <c r="AY196" s="38" t="n"/>
      <c r="AZ196" s="38" t="n"/>
      <c r="BA196" s="38" t="n"/>
      <c r="BB196" s="38" t="n"/>
      <c r="BC196" s="38" t="n"/>
      <c r="BD196" s="38" t="n"/>
      <c r="BE196" s="35" t="n"/>
      <c r="BF196" s="35" t="n"/>
      <c r="BG196" s="38" t="n"/>
      <c r="BH196" s="38" t="n"/>
      <c r="BI196" s="38" t="n"/>
      <c r="BJ196" s="35" t="n"/>
      <c r="BK196" s="38" t="n"/>
      <c r="BL196" s="33">
        <f>IF(OR(AU196="",AV196=""),"",AV196-AU196)</f>
        <v/>
      </c>
      <c r="BM196" s="33">
        <f>IF(OR(AV196="",AW196=""),"",AW196-AV196)</f>
        <v/>
      </c>
      <c r="BN196" s="33">
        <f>IF(OR(AW196="",AX196=""),"",AX196-AW196)</f>
        <v/>
      </c>
      <c r="BO196" s="33">
        <f>IF(OR(AX196="",BA196=""),"",BA196-AX196)</f>
        <v/>
      </c>
      <c r="BP196" s="33">
        <f>IF(OR(AV196="",BA196=""),"",BA196-AV196)</f>
        <v/>
      </c>
      <c r="BQ196" s="33">
        <f>IF(OR(BB196="",BD196=""),"",BD196-BB196)</f>
        <v/>
      </c>
      <c r="BR196" s="33">
        <f>IF(OR(AX196="",BD196=""),"",BD196-AX196)</f>
        <v/>
      </c>
      <c r="BS196" s="33">
        <f>IF(OR(AW196="",BD196=""),"",BD196-AW196)</f>
        <v/>
      </c>
      <c r="BT196" s="33">
        <f>IF(OR(AV196="",BD196=""),"",BD196-AV196)</f>
        <v/>
      </c>
      <c r="BU196" s="33">
        <f>IF(OR(AU196="",BD196=""),"",BD196-AU196)</f>
        <v/>
      </c>
      <c r="BV196" s="33">
        <f>IF(OR(BB196="",BG196=""),"",BG196-BB196)</f>
        <v/>
      </c>
      <c r="BW196" s="33">
        <f>IF(OR(BG196="",BH196=""),"",BH196-BG196)</f>
        <v/>
      </c>
      <c r="BX196" s="33">
        <f>IF(OR(BG196="",BI196=""),"",BI196-BG196)</f>
        <v/>
      </c>
      <c r="BY196" s="39">
        <f>IF(OR(AX196="",BK196=""),"",ROUND((BK196-AX196)/30.44,1))</f>
        <v/>
      </c>
      <c r="BZ196" s="37">
        <f>IF(BR196="","",IF(BR196&lt;=30,1,0))</f>
        <v/>
      </c>
      <c r="CA196" s="37">
        <f>IF(BR196="","",IF(BR196&gt;40.5,1,0))</f>
        <v/>
      </c>
      <c r="CB196" s="37">
        <f>IF(BR196="","",IF(BR196&gt;60,1,0))</f>
        <v/>
      </c>
      <c r="CC196" s="37">
        <f>IF(BR196="","",IF(BR196&gt;67,1,0))</f>
        <v/>
      </c>
      <c r="CD196" s="37">
        <f>IF(BT196="","",IF(BT196&lt;=30,1,0))</f>
        <v/>
      </c>
      <c r="CE196" s="37">
        <f>IF(BQ196="","",IF(BQ196&lt;=28,1,0))</f>
        <v/>
      </c>
      <c r="CF196" s="37">
        <f>IF(OR(BV196="",BE196&lt;&gt;"ניתוח"),"",IF(BV196&lt;=30,1,0))</f>
        <v/>
      </c>
      <c r="CG196" s="37">
        <f>IF(BU196="","",IF(BU196&lt;=56,1,0))</f>
        <v/>
      </c>
      <c r="CH196" s="37">
        <f>IF(BW196="","",IF(BW196&lt;=42,1,0))</f>
        <v/>
      </c>
      <c r="CI196" s="37">
        <f>IF(BX196="","",IF(BX196&lt;=100,1,0))</f>
        <v/>
      </c>
      <c r="CJ196" s="33">
        <f>IF(A196="","",COUNTIF(Delays!$B$5:$B$404,A196))</f>
        <v/>
      </c>
      <c r="CK196" s="35" t="n"/>
    </row>
    <row r="197">
      <c r="A197" s="33">
        <f>IF(OR(B197="",C197="",D197="",AX197=""),"","RET-"&amp;RIGHT(YEAR(AX197),2)&amp;"-"&amp;TEXT(B197,"000")&amp;"-"&amp;C197&amp;"-"&amp;D197&amp;"-"&amp;TEXT(MONTH(AX197),"00"))</f>
        <v/>
      </c>
      <c r="B197" s="34" t="n">
        <v>192</v>
      </c>
      <c r="C197" s="35" t="n"/>
      <c r="D197" s="35" t="n"/>
      <c r="E197" s="33">
        <f>IF(AX197="","",YEAR(AX197))</f>
        <v/>
      </c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6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7">
        <f>IF(Y197="","",IF(OR(Y197="III",Y197="IV",Y197="IVA",Y197="IVB",Y197="IVC"),1,0))</f>
        <v/>
      </c>
      <c r="AA197" s="35" t="n"/>
      <c r="AB197" s="35" t="n"/>
      <c r="AC197" s="35" t="n"/>
      <c r="AD197" s="35" t="n"/>
      <c r="AE197" s="35" t="n"/>
      <c r="AF197" s="35" t="n"/>
      <c r="AG197" s="35" t="n"/>
      <c r="AH197" s="35" t="n"/>
      <c r="AI197" s="35" t="n"/>
      <c r="AJ197" s="35" t="n"/>
      <c r="AK197" s="35" t="n"/>
      <c r="AL197" s="35" t="n"/>
      <c r="AM197" s="35" t="n"/>
      <c r="AN197" s="35" t="n"/>
      <c r="AO197" s="35" t="n"/>
      <c r="AP197" s="35" t="n"/>
      <c r="AQ197" s="35" t="n"/>
      <c r="AR197" s="35" t="n"/>
      <c r="AS197" s="35" t="n"/>
      <c r="AT197" s="35" t="n"/>
      <c r="AU197" s="38" t="n"/>
      <c r="AV197" s="38" t="n"/>
      <c r="AW197" s="38" t="n"/>
      <c r="AX197" s="38" t="n"/>
      <c r="AY197" s="38" t="n"/>
      <c r="AZ197" s="38" t="n"/>
      <c r="BA197" s="38" t="n"/>
      <c r="BB197" s="38" t="n"/>
      <c r="BC197" s="38" t="n"/>
      <c r="BD197" s="38" t="n"/>
      <c r="BE197" s="35" t="n"/>
      <c r="BF197" s="35" t="n"/>
      <c r="BG197" s="38" t="n"/>
      <c r="BH197" s="38" t="n"/>
      <c r="BI197" s="38" t="n"/>
      <c r="BJ197" s="35" t="n"/>
      <c r="BK197" s="38" t="n"/>
      <c r="BL197" s="33">
        <f>IF(OR(AU197="",AV197=""),"",AV197-AU197)</f>
        <v/>
      </c>
      <c r="BM197" s="33">
        <f>IF(OR(AV197="",AW197=""),"",AW197-AV197)</f>
        <v/>
      </c>
      <c r="BN197" s="33">
        <f>IF(OR(AW197="",AX197=""),"",AX197-AW197)</f>
        <v/>
      </c>
      <c r="BO197" s="33">
        <f>IF(OR(AX197="",BA197=""),"",BA197-AX197)</f>
        <v/>
      </c>
      <c r="BP197" s="33">
        <f>IF(OR(AV197="",BA197=""),"",BA197-AV197)</f>
        <v/>
      </c>
      <c r="BQ197" s="33">
        <f>IF(OR(BB197="",BD197=""),"",BD197-BB197)</f>
        <v/>
      </c>
      <c r="BR197" s="33">
        <f>IF(OR(AX197="",BD197=""),"",BD197-AX197)</f>
        <v/>
      </c>
      <c r="BS197" s="33">
        <f>IF(OR(AW197="",BD197=""),"",BD197-AW197)</f>
        <v/>
      </c>
      <c r="BT197" s="33">
        <f>IF(OR(AV197="",BD197=""),"",BD197-AV197)</f>
        <v/>
      </c>
      <c r="BU197" s="33">
        <f>IF(OR(AU197="",BD197=""),"",BD197-AU197)</f>
        <v/>
      </c>
      <c r="BV197" s="33">
        <f>IF(OR(BB197="",BG197=""),"",BG197-BB197)</f>
        <v/>
      </c>
      <c r="BW197" s="33">
        <f>IF(OR(BG197="",BH197=""),"",BH197-BG197)</f>
        <v/>
      </c>
      <c r="BX197" s="33">
        <f>IF(OR(BG197="",BI197=""),"",BI197-BG197)</f>
        <v/>
      </c>
      <c r="BY197" s="39">
        <f>IF(OR(AX197="",BK197=""),"",ROUND((BK197-AX197)/30.44,1))</f>
        <v/>
      </c>
      <c r="BZ197" s="37">
        <f>IF(BR197="","",IF(BR197&lt;=30,1,0))</f>
        <v/>
      </c>
      <c r="CA197" s="37">
        <f>IF(BR197="","",IF(BR197&gt;40.5,1,0))</f>
        <v/>
      </c>
      <c r="CB197" s="37">
        <f>IF(BR197="","",IF(BR197&gt;60,1,0))</f>
        <v/>
      </c>
      <c r="CC197" s="37">
        <f>IF(BR197="","",IF(BR197&gt;67,1,0))</f>
        <v/>
      </c>
      <c r="CD197" s="37">
        <f>IF(BT197="","",IF(BT197&lt;=30,1,0))</f>
        <v/>
      </c>
      <c r="CE197" s="37">
        <f>IF(BQ197="","",IF(BQ197&lt;=28,1,0))</f>
        <v/>
      </c>
      <c r="CF197" s="37">
        <f>IF(OR(BV197="",BE197&lt;&gt;"ניתוח"),"",IF(BV197&lt;=30,1,0))</f>
        <v/>
      </c>
      <c r="CG197" s="37">
        <f>IF(BU197="","",IF(BU197&lt;=56,1,0))</f>
        <v/>
      </c>
      <c r="CH197" s="37">
        <f>IF(BW197="","",IF(BW197&lt;=42,1,0))</f>
        <v/>
      </c>
      <c r="CI197" s="37">
        <f>IF(BX197="","",IF(BX197&lt;=100,1,0))</f>
        <v/>
      </c>
      <c r="CJ197" s="33">
        <f>IF(A197="","",COUNTIF(Delays!$B$5:$B$404,A197))</f>
        <v/>
      </c>
      <c r="CK197" s="35" t="n"/>
    </row>
    <row r="198">
      <c r="A198" s="33">
        <f>IF(OR(B198="",C198="",D198="",AX198=""),"","RET-"&amp;RIGHT(YEAR(AX198),2)&amp;"-"&amp;TEXT(B198,"000")&amp;"-"&amp;C198&amp;"-"&amp;D198&amp;"-"&amp;TEXT(MONTH(AX198),"00"))</f>
        <v/>
      </c>
      <c r="B198" s="34" t="n">
        <v>193</v>
      </c>
      <c r="C198" s="35" t="n"/>
      <c r="D198" s="35" t="n"/>
      <c r="E198" s="33">
        <f>IF(AX198="","",YEAR(AX198))</f>
        <v/>
      </c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6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7">
        <f>IF(Y198="","",IF(OR(Y198="III",Y198="IV",Y198="IVA",Y198="IVB",Y198="IVC"),1,0))</f>
        <v/>
      </c>
      <c r="AA198" s="35" t="n"/>
      <c r="AB198" s="35" t="n"/>
      <c r="AC198" s="35" t="n"/>
      <c r="AD198" s="35" t="n"/>
      <c r="AE198" s="35" t="n"/>
      <c r="AF198" s="35" t="n"/>
      <c r="AG198" s="35" t="n"/>
      <c r="AH198" s="35" t="n"/>
      <c r="AI198" s="35" t="n"/>
      <c r="AJ198" s="35" t="n"/>
      <c r="AK198" s="35" t="n"/>
      <c r="AL198" s="35" t="n"/>
      <c r="AM198" s="35" t="n"/>
      <c r="AN198" s="35" t="n"/>
      <c r="AO198" s="35" t="n"/>
      <c r="AP198" s="35" t="n"/>
      <c r="AQ198" s="35" t="n"/>
      <c r="AR198" s="35" t="n"/>
      <c r="AS198" s="35" t="n"/>
      <c r="AT198" s="35" t="n"/>
      <c r="AU198" s="38" t="n"/>
      <c r="AV198" s="38" t="n"/>
      <c r="AW198" s="38" t="n"/>
      <c r="AX198" s="38" t="n"/>
      <c r="AY198" s="38" t="n"/>
      <c r="AZ198" s="38" t="n"/>
      <c r="BA198" s="38" t="n"/>
      <c r="BB198" s="38" t="n"/>
      <c r="BC198" s="38" t="n"/>
      <c r="BD198" s="38" t="n"/>
      <c r="BE198" s="35" t="n"/>
      <c r="BF198" s="35" t="n"/>
      <c r="BG198" s="38" t="n"/>
      <c r="BH198" s="38" t="n"/>
      <c r="BI198" s="38" t="n"/>
      <c r="BJ198" s="35" t="n"/>
      <c r="BK198" s="38" t="n"/>
      <c r="BL198" s="33">
        <f>IF(OR(AU198="",AV198=""),"",AV198-AU198)</f>
        <v/>
      </c>
      <c r="BM198" s="33">
        <f>IF(OR(AV198="",AW198=""),"",AW198-AV198)</f>
        <v/>
      </c>
      <c r="BN198" s="33">
        <f>IF(OR(AW198="",AX198=""),"",AX198-AW198)</f>
        <v/>
      </c>
      <c r="BO198" s="33">
        <f>IF(OR(AX198="",BA198=""),"",BA198-AX198)</f>
        <v/>
      </c>
      <c r="BP198" s="33">
        <f>IF(OR(AV198="",BA198=""),"",BA198-AV198)</f>
        <v/>
      </c>
      <c r="BQ198" s="33">
        <f>IF(OR(BB198="",BD198=""),"",BD198-BB198)</f>
        <v/>
      </c>
      <c r="BR198" s="33">
        <f>IF(OR(AX198="",BD198=""),"",BD198-AX198)</f>
        <v/>
      </c>
      <c r="BS198" s="33">
        <f>IF(OR(AW198="",BD198=""),"",BD198-AW198)</f>
        <v/>
      </c>
      <c r="BT198" s="33">
        <f>IF(OR(AV198="",BD198=""),"",BD198-AV198)</f>
        <v/>
      </c>
      <c r="BU198" s="33">
        <f>IF(OR(AU198="",BD198=""),"",BD198-AU198)</f>
        <v/>
      </c>
      <c r="BV198" s="33">
        <f>IF(OR(BB198="",BG198=""),"",BG198-BB198)</f>
        <v/>
      </c>
      <c r="BW198" s="33">
        <f>IF(OR(BG198="",BH198=""),"",BH198-BG198)</f>
        <v/>
      </c>
      <c r="BX198" s="33">
        <f>IF(OR(BG198="",BI198=""),"",BI198-BG198)</f>
        <v/>
      </c>
      <c r="BY198" s="39">
        <f>IF(OR(AX198="",BK198=""),"",ROUND((BK198-AX198)/30.44,1))</f>
        <v/>
      </c>
      <c r="BZ198" s="37">
        <f>IF(BR198="","",IF(BR198&lt;=30,1,0))</f>
        <v/>
      </c>
      <c r="CA198" s="37">
        <f>IF(BR198="","",IF(BR198&gt;40.5,1,0))</f>
        <v/>
      </c>
      <c r="CB198" s="37">
        <f>IF(BR198="","",IF(BR198&gt;60,1,0))</f>
        <v/>
      </c>
      <c r="CC198" s="37">
        <f>IF(BR198="","",IF(BR198&gt;67,1,0))</f>
        <v/>
      </c>
      <c r="CD198" s="37">
        <f>IF(BT198="","",IF(BT198&lt;=30,1,0))</f>
        <v/>
      </c>
      <c r="CE198" s="37">
        <f>IF(BQ198="","",IF(BQ198&lt;=28,1,0))</f>
        <v/>
      </c>
      <c r="CF198" s="37">
        <f>IF(OR(BV198="",BE198&lt;&gt;"ניתוח"),"",IF(BV198&lt;=30,1,0))</f>
        <v/>
      </c>
      <c r="CG198" s="37">
        <f>IF(BU198="","",IF(BU198&lt;=56,1,0))</f>
        <v/>
      </c>
      <c r="CH198" s="37">
        <f>IF(BW198="","",IF(BW198&lt;=42,1,0))</f>
        <v/>
      </c>
      <c r="CI198" s="37">
        <f>IF(BX198="","",IF(BX198&lt;=100,1,0))</f>
        <v/>
      </c>
      <c r="CJ198" s="33">
        <f>IF(A198="","",COUNTIF(Delays!$B$5:$B$404,A198))</f>
        <v/>
      </c>
      <c r="CK198" s="35" t="n"/>
    </row>
    <row r="199">
      <c r="A199" s="33">
        <f>IF(OR(B199="",C199="",D199="",AX199=""),"","RET-"&amp;RIGHT(YEAR(AX199),2)&amp;"-"&amp;TEXT(B199,"000")&amp;"-"&amp;C199&amp;"-"&amp;D199&amp;"-"&amp;TEXT(MONTH(AX199),"00"))</f>
        <v/>
      </c>
      <c r="B199" s="34" t="n">
        <v>194</v>
      </c>
      <c r="C199" s="35" t="n"/>
      <c r="D199" s="35" t="n"/>
      <c r="E199" s="33">
        <f>IF(AX199="","",YEAR(AX199))</f>
        <v/>
      </c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6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7">
        <f>IF(Y199="","",IF(OR(Y199="III",Y199="IV",Y199="IVA",Y199="IVB",Y199="IVC"),1,0))</f>
        <v/>
      </c>
      <c r="AA199" s="35" t="n"/>
      <c r="AB199" s="35" t="n"/>
      <c r="AC199" s="35" t="n"/>
      <c r="AD199" s="35" t="n"/>
      <c r="AE199" s="35" t="n"/>
      <c r="AF199" s="35" t="n"/>
      <c r="AG199" s="35" t="n"/>
      <c r="AH199" s="35" t="n"/>
      <c r="AI199" s="35" t="n"/>
      <c r="AJ199" s="35" t="n"/>
      <c r="AK199" s="35" t="n"/>
      <c r="AL199" s="35" t="n"/>
      <c r="AM199" s="35" t="n"/>
      <c r="AN199" s="35" t="n"/>
      <c r="AO199" s="35" t="n"/>
      <c r="AP199" s="35" t="n"/>
      <c r="AQ199" s="35" t="n"/>
      <c r="AR199" s="35" t="n"/>
      <c r="AS199" s="35" t="n"/>
      <c r="AT199" s="35" t="n"/>
      <c r="AU199" s="38" t="n"/>
      <c r="AV199" s="38" t="n"/>
      <c r="AW199" s="38" t="n"/>
      <c r="AX199" s="38" t="n"/>
      <c r="AY199" s="38" t="n"/>
      <c r="AZ199" s="38" t="n"/>
      <c r="BA199" s="38" t="n"/>
      <c r="BB199" s="38" t="n"/>
      <c r="BC199" s="38" t="n"/>
      <c r="BD199" s="38" t="n"/>
      <c r="BE199" s="35" t="n"/>
      <c r="BF199" s="35" t="n"/>
      <c r="BG199" s="38" t="n"/>
      <c r="BH199" s="38" t="n"/>
      <c r="BI199" s="38" t="n"/>
      <c r="BJ199" s="35" t="n"/>
      <c r="BK199" s="38" t="n"/>
      <c r="BL199" s="33">
        <f>IF(OR(AU199="",AV199=""),"",AV199-AU199)</f>
        <v/>
      </c>
      <c r="BM199" s="33">
        <f>IF(OR(AV199="",AW199=""),"",AW199-AV199)</f>
        <v/>
      </c>
      <c r="BN199" s="33">
        <f>IF(OR(AW199="",AX199=""),"",AX199-AW199)</f>
        <v/>
      </c>
      <c r="BO199" s="33">
        <f>IF(OR(AX199="",BA199=""),"",BA199-AX199)</f>
        <v/>
      </c>
      <c r="BP199" s="33">
        <f>IF(OR(AV199="",BA199=""),"",BA199-AV199)</f>
        <v/>
      </c>
      <c r="BQ199" s="33">
        <f>IF(OR(BB199="",BD199=""),"",BD199-BB199)</f>
        <v/>
      </c>
      <c r="BR199" s="33">
        <f>IF(OR(AX199="",BD199=""),"",BD199-AX199)</f>
        <v/>
      </c>
      <c r="BS199" s="33">
        <f>IF(OR(AW199="",BD199=""),"",BD199-AW199)</f>
        <v/>
      </c>
      <c r="BT199" s="33">
        <f>IF(OR(AV199="",BD199=""),"",BD199-AV199)</f>
        <v/>
      </c>
      <c r="BU199" s="33">
        <f>IF(OR(AU199="",BD199=""),"",BD199-AU199)</f>
        <v/>
      </c>
      <c r="BV199" s="33">
        <f>IF(OR(BB199="",BG199=""),"",BG199-BB199)</f>
        <v/>
      </c>
      <c r="BW199" s="33">
        <f>IF(OR(BG199="",BH199=""),"",BH199-BG199)</f>
        <v/>
      </c>
      <c r="BX199" s="33">
        <f>IF(OR(BG199="",BI199=""),"",BI199-BG199)</f>
        <v/>
      </c>
      <c r="BY199" s="39">
        <f>IF(OR(AX199="",BK199=""),"",ROUND((BK199-AX199)/30.44,1))</f>
        <v/>
      </c>
      <c r="BZ199" s="37">
        <f>IF(BR199="","",IF(BR199&lt;=30,1,0))</f>
        <v/>
      </c>
      <c r="CA199" s="37">
        <f>IF(BR199="","",IF(BR199&gt;40.5,1,0))</f>
        <v/>
      </c>
      <c r="CB199" s="37">
        <f>IF(BR199="","",IF(BR199&gt;60,1,0))</f>
        <v/>
      </c>
      <c r="CC199" s="37">
        <f>IF(BR199="","",IF(BR199&gt;67,1,0))</f>
        <v/>
      </c>
      <c r="CD199" s="37">
        <f>IF(BT199="","",IF(BT199&lt;=30,1,0))</f>
        <v/>
      </c>
      <c r="CE199" s="37">
        <f>IF(BQ199="","",IF(BQ199&lt;=28,1,0))</f>
        <v/>
      </c>
      <c r="CF199" s="37">
        <f>IF(OR(BV199="",BE199&lt;&gt;"ניתוח"),"",IF(BV199&lt;=30,1,0))</f>
        <v/>
      </c>
      <c r="CG199" s="37">
        <f>IF(BU199="","",IF(BU199&lt;=56,1,0))</f>
        <v/>
      </c>
      <c r="CH199" s="37">
        <f>IF(BW199="","",IF(BW199&lt;=42,1,0))</f>
        <v/>
      </c>
      <c r="CI199" s="37">
        <f>IF(BX199="","",IF(BX199&lt;=100,1,0))</f>
        <v/>
      </c>
      <c r="CJ199" s="33">
        <f>IF(A199="","",COUNTIF(Delays!$B$5:$B$404,A199))</f>
        <v/>
      </c>
      <c r="CK199" s="35" t="n"/>
    </row>
    <row r="200">
      <c r="A200" s="33">
        <f>IF(OR(B200="",C200="",D200="",AX200=""),"","RET-"&amp;RIGHT(YEAR(AX200),2)&amp;"-"&amp;TEXT(B200,"000")&amp;"-"&amp;C200&amp;"-"&amp;D200&amp;"-"&amp;TEXT(MONTH(AX200),"00"))</f>
        <v/>
      </c>
      <c r="B200" s="34" t="n">
        <v>195</v>
      </c>
      <c r="C200" s="35" t="n"/>
      <c r="D200" s="35" t="n"/>
      <c r="E200" s="33">
        <f>IF(AX200="","",YEAR(AX200))</f>
        <v/>
      </c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6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7">
        <f>IF(Y200="","",IF(OR(Y200="III",Y200="IV",Y200="IVA",Y200="IVB",Y200="IVC"),1,0))</f>
        <v/>
      </c>
      <c r="AA200" s="35" t="n"/>
      <c r="AB200" s="35" t="n"/>
      <c r="AC200" s="35" t="n"/>
      <c r="AD200" s="35" t="n"/>
      <c r="AE200" s="35" t="n"/>
      <c r="AF200" s="35" t="n"/>
      <c r="AG200" s="35" t="n"/>
      <c r="AH200" s="35" t="n"/>
      <c r="AI200" s="35" t="n"/>
      <c r="AJ200" s="35" t="n"/>
      <c r="AK200" s="35" t="n"/>
      <c r="AL200" s="35" t="n"/>
      <c r="AM200" s="35" t="n"/>
      <c r="AN200" s="35" t="n"/>
      <c r="AO200" s="35" t="n"/>
      <c r="AP200" s="35" t="n"/>
      <c r="AQ200" s="35" t="n"/>
      <c r="AR200" s="35" t="n"/>
      <c r="AS200" s="35" t="n"/>
      <c r="AT200" s="35" t="n"/>
      <c r="AU200" s="38" t="n"/>
      <c r="AV200" s="38" t="n"/>
      <c r="AW200" s="38" t="n"/>
      <c r="AX200" s="38" t="n"/>
      <c r="AY200" s="38" t="n"/>
      <c r="AZ200" s="38" t="n"/>
      <c r="BA200" s="38" t="n"/>
      <c r="BB200" s="38" t="n"/>
      <c r="BC200" s="38" t="n"/>
      <c r="BD200" s="38" t="n"/>
      <c r="BE200" s="35" t="n"/>
      <c r="BF200" s="35" t="n"/>
      <c r="BG200" s="38" t="n"/>
      <c r="BH200" s="38" t="n"/>
      <c r="BI200" s="38" t="n"/>
      <c r="BJ200" s="35" t="n"/>
      <c r="BK200" s="38" t="n"/>
      <c r="BL200" s="33">
        <f>IF(OR(AU200="",AV200=""),"",AV200-AU200)</f>
        <v/>
      </c>
      <c r="BM200" s="33">
        <f>IF(OR(AV200="",AW200=""),"",AW200-AV200)</f>
        <v/>
      </c>
      <c r="BN200" s="33">
        <f>IF(OR(AW200="",AX200=""),"",AX200-AW200)</f>
        <v/>
      </c>
      <c r="BO200" s="33">
        <f>IF(OR(AX200="",BA200=""),"",BA200-AX200)</f>
        <v/>
      </c>
      <c r="BP200" s="33">
        <f>IF(OR(AV200="",BA200=""),"",BA200-AV200)</f>
        <v/>
      </c>
      <c r="BQ200" s="33">
        <f>IF(OR(BB200="",BD200=""),"",BD200-BB200)</f>
        <v/>
      </c>
      <c r="BR200" s="33">
        <f>IF(OR(AX200="",BD200=""),"",BD200-AX200)</f>
        <v/>
      </c>
      <c r="BS200" s="33">
        <f>IF(OR(AW200="",BD200=""),"",BD200-AW200)</f>
        <v/>
      </c>
      <c r="BT200" s="33">
        <f>IF(OR(AV200="",BD200=""),"",BD200-AV200)</f>
        <v/>
      </c>
      <c r="BU200" s="33">
        <f>IF(OR(AU200="",BD200=""),"",BD200-AU200)</f>
        <v/>
      </c>
      <c r="BV200" s="33">
        <f>IF(OR(BB200="",BG200=""),"",BG200-BB200)</f>
        <v/>
      </c>
      <c r="BW200" s="33">
        <f>IF(OR(BG200="",BH200=""),"",BH200-BG200)</f>
        <v/>
      </c>
      <c r="BX200" s="33">
        <f>IF(OR(BG200="",BI200=""),"",BI200-BG200)</f>
        <v/>
      </c>
      <c r="BY200" s="39">
        <f>IF(OR(AX200="",BK200=""),"",ROUND((BK200-AX200)/30.44,1))</f>
        <v/>
      </c>
      <c r="BZ200" s="37">
        <f>IF(BR200="","",IF(BR200&lt;=30,1,0))</f>
        <v/>
      </c>
      <c r="CA200" s="37">
        <f>IF(BR200="","",IF(BR200&gt;40.5,1,0))</f>
        <v/>
      </c>
      <c r="CB200" s="37">
        <f>IF(BR200="","",IF(BR200&gt;60,1,0))</f>
        <v/>
      </c>
      <c r="CC200" s="37">
        <f>IF(BR200="","",IF(BR200&gt;67,1,0))</f>
        <v/>
      </c>
      <c r="CD200" s="37">
        <f>IF(BT200="","",IF(BT200&lt;=30,1,0))</f>
        <v/>
      </c>
      <c r="CE200" s="37">
        <f>IF(BQ200="","",IF(BQ200&lt;=28,1,0))</f>
        <v/>
      </c>
      <c r="CF200" s="37">
        <f>IF(OR(BV200="",BE200&lt;&gt;"ניתוח"),"",IF(BV200&lt;=30,1,0))</f>
        <v/>
      </c>
      <c r="CG200" s="37">
        <f>IF(BU200="","",IF(BU200&lt;=56,1,0))</f>
        <v/>
      </c>
      <c r="CH200" s="37">
        <f>IF(BW200="","",IF(BW200&lt;=42,1,0))</f>
        <v/>
      </c>
      <c r="CI200" s="37">
        <f>IF(BX200="","",IF(BX200&lt;=100,1,0))</f>
        <v/>
      </c>
      <c r="CJ200" s="33">
        <f>IF(A200="","",COUNTIF(Delays!$B$5:$B$404,A200))</f>
        <v/>
      </c>
      <c r="CK200" s="35" t="n"/>
    </row>
    <row r="201">
      <c r="A201" s="33">
        <f>IF(OR(B201="",C201="",D201="",AX201=""),"","RET-"&amp;RIGHT(YEAR(AX201),2)&amp;"-"&amp;TEXT(B201,"000")&amp;"-"&amp;C201&amp;"-"&amp;D201&amp;"-"&amp;TEXT(MONTH(AX201),"00"))</f>
        <v/>
      </c>
      <c r="B201" s="34" t="n">
        <v>196</v>
      </c>
      <c r="C201" s="35" t="n"/>
      <c r="D201" s="35" t="n"/>
      <c r="E201" s="33">
        <f>IF(AX201="","",YEAR(AX201))</f>
        <v/>
      </c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6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7">
        <f>IF(Y201="","",IF(OR(Y201="III",Y201="IV",Y201="IVA",Y201="IVB",Y201="IVC"),1,0))</f>
        <v/>
      </c>
      <c r="AA201" s="35" t="n"/>
      <c r="AB201" s="35" t="n"/>
      <c r="AC201" s="35" t="n"/>
      <c r="AD201" s="35" t="n"/>
      <c r="AE201" s="35" t="n"/>
      <c r="AF201" s="35" t="n"/>
      <c r="AG201" s="35" t="n"/>
      <c r="AH201" s="35" t="n"/>
      <c r="AI201" s="35" t="n"/>
      <c r="AJ201" s="35" t="n"/>
      <c r="AK201" s="35" t="n"/>
      <c r="AL201" s="35" t="n"/>
      <c r="AM201" s="35" t="n"/>
      <c r="AN201" s="35" t="n"/>
      <c r="AO201" s="35" t="n"/>
      <c r="AP201" s="35" t="n"/>
      <c r="AQ201" s="35" t="n"/>
      <c r="AR201" s="35" t="n"/>
      <c r="AS201" s="35" t="n"/>
      <c r="AT201" s="35" t="n"/>
      <c r="AU201" s="38" t="n"/>
      <c r="AV201" s="38" t="n"/>
      <c r="AW201" s="38" t="n"/>
      <c r="AX201" s="38" t="n"/>
      <c r="AY201" s="38" t="n"/>
      <c r="AZ201" s="38" t="n"/>
      <c r="BA201" s="38" t="n"/>
      <c r="BB201" s="38" t="n"/>
      <c r="BC201" s="38" t="n"/>
      <c r="BD201" s="38" t="n"/>
      <c r="BE201" s="35" t="n"/>
      <c r="BF201" s="35" t="n"/>
      <c r="BG201" s="38" t="n"/>
      <c r="BH201" s="38" t="n"/>
      <c r="BI201" s="38" t="n"/>
      <c r="BJ201" s="35" t="n"/>
      <c r="BK201" s="38" t="n"/>
      <c r="BL201" s="33">
        <f>IF(OR(AU201="",AV201=""),"",AV201-AU201)</f>
        <v/>
      </c>
      <c r="BM201" s="33">
        <f>IF(OR(AV201="",AW201=""),"",AW201-AV201)</f>
        <v/>
      </c>
      <c r="BN201" s="33">
        <f>IF(OR(AW201="",AX201=""),"",AX201-AW201)</f>
        <v/>
      </c>
      <c r="BO201" s="33">
        <f>IF(OR(AX201="",BA201=""),"",BA201-AX201)</f>
        <v/>
      </c>
      <c r="BP201" s="33">
        <f>IF(OR(AV201="",BA201=""),"",BA201-AV201)</f>
        <v/>
      </c>
      <c r="BQ201" s="33">
        <f>IF(OR(BB201="",BD201=""),"",BD201-BB201)</f>
        <v/>
      </c>
      <c r="BR201" s="33">
        <f>IF(OR(AX201="",BD201=""),"",BD201-AX201)</f>
        <v/>
      </c>
      <c r="BS201" s="33">
        <f>IF(OR(AW201="",BD201=""),"",BD201-AW201)</f>
        <v/>
      </c>
      <c r="BT201" s="33">
        <f>IF(OR(AV201="",BD201=""),"",BD201-AV201)</f>
        <v/>
      </c>
      <c r="BU201" s="33">
        <f>IF(OR(AU201="",BD201=""),"",BD201-AU201)</f>
        <v/>
      </c>
      <c r="BV201" s="33">
        <f>IF(OR(BB201="",BG201=""),"",BG201-BB201)</f>
        <v/>
      </c>
      <c r="BW201" s="33">
        <f>IF(OR(BG201="",BH201=""),"",BH201-BG201)</f>
        <v/>
      </c>
      <c r="BX201" s="33">
        <f>IF(OR(BG201="",BI201=""),"",BI201-BG201)</f>
        <v/>
      </c>
      <c r="BY201" s="39">
        <f>IF(OR(AX201="",BK201=""),"",ROUND((BK201-AX201)/30.44,1))</f>
        <v/>
      </c>
      <c r="BZ201" s="37">
        <f>IF(BR201="","",IF(BR201&lt;=30,1,0))</f>
        <v/>
      </c>
      <c r="CA201" s="37">
        <f>IF(BR201="","",IF(BR201&gt;40.5,1,0))</f>
        <v/>
      </c>
      <c r="CB201" s="37">
        <f>IF(BR201="","",IF(BR201&gt;60,1,0))</f>
        <v/>
      </c>
      <c r="CC201" s="37">
        <f>IF(BR201="","",IF(BR201&gt;67,1,0))</f>
        <v/>
      </c>
      <c r="CD201" s="37">
        <f>IF(BT201="","",IF(BT201&lt;=30,1,0))</f>
        <v/>
      </c>
      <c r="CE201" s="37">
        <f>IF(BQ201="","",IF(BQ201&lt;=28,1,0))</f>
        <v/>
      </c>
      <c r="CF201" s="37">
        <f>IF(OR(BV201="",BE201&lt;&gt;"ניתוח"),"",IF(BV201&lt;=30,1,0))</f>
        <v/>
      </c>
      <c r="CG201" s="37">
        <f>IF(BU201="","",IF(BU201&lt;=56,1,0))</f>
        <v/>
      </c>
      <c r="CH201" s="37">
        <f>IF(BW201="","",IF(BW201&lt;=42,1,0))</f>
        <v/>
      </c>
      <c r="CI201" s="37">
        <f>IF(BX201="","",IF(BX201&lt;=100,1,0))</f>
        <v/>
      </c>
      <c r="CJ201" s="33">
        <f>IF(A201="","",COUNTIF(Delays!$B$5:$B$404,A201))</f>
        <v/>
      </c>
      <c r="CK201" s="35" t="n"/>
    </row>
    <row r="202">
      <c r="A202" s="33">
        <f>IF(OR(B202="",C202="",D202="",AX202=""),"","RET-"&amp;RIGHT(YEAR(AX202),2)&amp;"-"&amp;TEXT(B202,"000")&amp;"-"&amp;C202&amp;"-"&amp;D202&amp;"-"&amp;TEXT(MONTH(AX202),"00"))</f>
        <v/>
      </c>
      <c r="B202" s="34" t="n">
        <v>197</v>
      </c>
      <c r="C202" s="35" t="n"/>
      <c r="D202" s="35" t="n"/>
      <c r="E202" s="33">
        <f>IF(AX202="","",YEAR(AX202))</f>
        <v/>
      </c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6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7">
        <f>IF(Y202="","",IF(OR(Y202="III",Y202="IV",Y202="IVA",Y202="IVB",Y202="IVC"),1,0))</f>
        <v/>
      </c>
      <c r="AA202" s="35" t="n"/>
      <c r="AB202" s="35" t="n"/>
      <c r="AC202" s="35" t="n"/>
      <c r="AD202" s="35" t="n"/>
      <c r="AE202" s="35" t="n"/>
      <c r="AF202" s="35" t="n"/>
      <c r="AG202" s="35" t="n"/>
      <c r="AH202" s="35" t="n"/>
      <c r="AI202" s="35" t="n"/>
      <c r="AJ202" s="35" t="n"/>
      <c r="AK202" s="35" t="n"/>
      <c r="AL202" s="35" t="n"/>
      <c r="AM202" s="35" t="n"/>
      <c r="AN202" s="35" t="n"/>
      <c r="AO202" s="35" t="n"/>
      <c r="AP202" s="35" t="n"/>
      <c r="AQ202" s="35" t="n"/>
      <c r="AR202" s="35" t="n"/>
      <c r="AS202" s="35" t="n"/>
      <c r="AT202" s="35" t="n"/>
      <c r="AU202" s="38" t="n"/>
      <c r="AV202" s="38" t="n"/>
      <c r="AW202" s="38" t="n"/>
      <c r="AX202" s="38" t="n"/>
      <c r="AY202" s="38" t="n"/>
      <c r="AZ202" s="38" t="n"/>
      <c r="BA202" s="38" t="n"/>
      <c r="BB202" s="38" t="n"/>
      <c r="BC202" s="38" t="n"/>
      <c r="BD202" s="38" t="n"/>
      <c r="BE202" s="35" t="n"/>
      <c r="BF202" s="35" t="n"/>
      <c r="BG202" s="38" t="n"/>
      <c r="BH202" s="38" t="n"/>
      <c r="BI202" s="38" t="n"/>
      <c r="BJ202" s="35" t="n"/>
      <c r="BK202" s="38" t="n"/>
      <c r="BL202" s="33">
        <f>IF(OR(AU202="",AV202=""),"",AV202-AU202)</f>
        <v/>
      </c>
      <c r="BM202" s="33">
        <f>IF(OR(AV202="",AW202=""),"",AW202-AV202)</f>
        <v/>
      </c>
      <c r="BN202" s="33">
        <f>IF(OR(AW202="",AX202=""),"",AX202-AW202)</f>
        <v/>
      </c>
      <c r="BO202" s="33">
        <f>IF(OR(AX202="",BA202=""),"",BA202-AX202)</f>
        <v/>
      </c>
      <c r="BP202" s="33">
        <f>IF(OR(AV202="",BA202=""),"",BA202-AV202)</f>
        <v/>
      </c>
      <c r="BQ202" s="33">
        <f>IF(OR(BB202="",BD202=""),"",BD202-BB202)</f>
        <v/>
      </c>
      <c r="BR202" s="33">
        <f>IF(OR(AX202="",BD202=""),"",BD202-AX202)</f>
        <v/>
      </c>
      <c r="BS202" s="33">
        <f>IF(OR(AW202="",BD202=""),"",BD202-AW202)</f>
        <v/>
      </c>
      <c r="BT202" s="33">
        <f>IF(OR(AV202="",BD202=""),"",BD202-AV202)</f>
        <v/>
      </c>
      <c r="BU202" s="33">
        <f>IF(OR(AU202="",BD202=""),"",BD202-AU202)</f>
        <v/>
      </c>
      <c r="BV202" s="33">
        <f>IF(OR(BB202="",BG202=""),"",BG202-BB202)</f>
        <v/>
      </c>
      <c r="BW202" s="33">
        <f>IF(OR(BG202="",BH202=""),"",BH202-BG202)</f>
        <v/>
      </c>
      <c r="BX202" s="33">
        <f>IF(OR(BG202="",BI202=""),"",BI202-BG202)</f>
        <v/>
      </c>
      <c r="BY202" s="39">
        <f>IF(OR(AX202="",BK202=""),"",ROUND((BK202-AX202)/30.44,1))</f>
        <v/>
      </c>
      <c r="BZ202" s="37">
        <f>IF(BR202="","",IF(BR202&lt;=30,1,0))</f>
        <v/>
      </c>
      <c r="CA202" s="37">
        <f>IF(BR202="","",IF(BR202&gt;40.5,1,0))</f>
        <v/>
      </c>
      <c r="CB202" s="37">
        <f>IF(BR202="","",IF(BR202&gt;60,1,0))</f>
        <v/>
      </c>
      <c r="CC202" s="37">
        <f>IF(BR202="","",IF(BR202&gt;67,1,0))</f>
        <v/>
      </c>
      <c r="CD202" s="37">
        <f>IF(BT202="","",IF(BT202&lt;=30,1,0))</f>
        <v/>
      </c>
      <c r="CE202" s="37">
        <f>IF(BQ202="","",IF(BQ202&lt;=28,1,0))</f>
        <v/>
      </c>
      <c r="CF202" s="37">
        <f>IF(OR(BV202="",BE202&lt;&gt;"ניתוח"),"",IF(BV202&lt;=30,1,0))</f>
        <v/>
      </c>
      <c r="CG202" s="37">
        <f>IF(BU202="","",IF(BU202&lt;=56,1,0))</f>
        <v/>
      </c>
      <c r="CH202" s="37">
        <f>IF(BW202="","",IF(BW202&lt;=42,1,0))</f>
        <v/>
      </c>
      <c r="CI202" s="37">
        <f>IF(BX202="","",IF(BX202&lt;=100,1,0))</f>
        <v/>
      </c>
      <c r="CJ202" s="33">
        <f>IF(A202="","",COUNTIF(Delays!$B$5:$B$404,A202))</f>
        <v/>
      </c>
      <c r="CK202" s="35" t="n"/>
    </row>
    <row r="203">
      <c r="A203" s="33">
        <f>IF(OR(B203="",C203="",D203="",AX203=""),"","RET-"&amp;RIGHT(YEAR(AX203),2)&amp;"-"&amp;TEXT(B203,"000")&amp;"-"&amp;C203&amp;"-"&amp;D203&amp;"-"&amp;TEXT(MONTH(AX203),"00"))</f>
        <v/>
      </c>
      <c r="B203" s="34" t="n">
        <v>198</v>
      </c>
      <c r="C203" s="35" t="n"/>
      <c r="D203" s="35" t="n"/>
      <c r="E203" s="33">
        <f>IF(AX203="","",YEAR(AX203))</f>
        <v/>
      </c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6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7">
        <f>IF(Y203="","",IF(OR(Y203="III",Y203="IV",Y203="IVA",Y203="IVB",Y203="IVC"),1,0))</f>
        <v/>
      </c>
      <c r="AA203" s="35" t="n"/>
      <c r="AB203" s="35" t="n"/>
      <c r="AC203" s="35" t="n"/>
      <c r="AD203" s="35" t="n"/>
      <c r="AE203" s="35" t="n"/>
      <c r="AF203" s="35" t="n"/>
      <c r="AG203" s="35" t="n"/>
      <c r="AH203" s="35" t="n"/>
      <c r="AI203" s="35" t="n"/>
      <c r="AJ203" s="35" t="n"/>
      <c r="AK203" s="35" t="n"/>
      <c r="AL203" s="35" t="n"/>
      <c r="AM203" s="35" t="n"/>
      <c r="AN203" s="35" t="n"/>
      <c r="AO203" s="35" t="n"/>
      <c r="AP203" s="35" t="n"/>
      <c r="AQ203" s="35" t="n"/>
      <c r="AR203" s="35" t="n"/>
      <c r="AS203" s="35" t="n"/>
      <c r="AT203" s="35" t="n"/>
      <c r="AU203" s="38" t="n"/>
      <c r="AV203" s="38" t="n"/>
      <c r="AW203" s="38" t="n"/>
      <c r="AX203" s="38" t="n"/>
      <c r="AY203" s="38" t="n"/>
      <c r="AZ203" s="38" t="n"/>
      <c r="BA203" s="38" t="n"/>
      <c r="BB203" s="38" t="n"/>
      <c r="BC203" s="38" t="n"/>
      <c r="BD203" s="38" t="n"/>
      <c r="BE203" s="35" t="n"/>
      <c r="BF203" s="35" t="n"/>
      <c r="BG203" s="38" t="n"/>
      <c r="BH203" s="38" t="n"/>
      <c r="BI203" s="38" t="n"/>
      <c r="BJ203" s="35" t="n"/>
      <c r="BK203" s="38" t="n"/>
      <c r="BL203" s="33">
        <f>IF(OR(AU203="",AV203=""),"",AV203-AU203)</f>
        <v/>
      </c>
      <c r="BM203" s="33">
        <f>IF(OR(AV203="",AW203=""),"",AW203-AV203)</f>
        <v/>
      </c>
      <c r="BN203" s="33">
        <f>IF(OR(AW203="",AX203=""),"",AX203-AW203)</f>
        <v/>
      </c>
      <c r="BO203" s="33">
        <f>IF(OR(AX203="",BA203=""),"",BA203-AX203)</f>
        <v/>
      </c>
      <c r="BP203" s="33">
        <f>IF(OR(AV203="",BA203=""),"",BA203-AV203)</f>
        <v/>
      </c>
      <c r="BQ203" s="33">
        <f>IF(OR(BB203="",BD203=""),"",BD203-BB203)</f>
        <v/>
      </c>
      <c r="BR203" s="33">
        <f>IF(OR(AX203="",BD203=""),"",BD203-AX203)</f>
        <v/>
      </c>
      <c r="BS203" s="33">
        <f>IF(OR(AW203="",BD203=""),"",BD203-AW203)</f>
        <v/>
      </c>
      <c r="BT203" s="33">
        <f>IF(OR(AV203="",BD203=""),"",BD203-AV203)</f>
        <v/>
      </c>
      <c r="BU203" s="33">
        <f>IF(OR(AU203="",BD203=""),"",BD203-AU203)</f>
        <v/>
      </c>
      <c r="BV203" s="33">
        <f>IF(OR(BB203="",BG203=""),"",BG203-BB203)</f>
        <v/>
      </c>
      <c r="BW203" s="33">
        <f>IF(OR(BG203="",BH203=""),"",BH203-BG203)</f>
        <v/>
      </c>
      <c r="BX203" s="33">
        <f>IF(OR(BG203="",BI203=""),"",BI203-BG203)</f>
        <v/>
      </c>
      <c r="BY203" s="39">
        <f>IF(OR(AX203="",BK203=""),"",ROUND((BK203-AX203)/30.44,1))</f>
        <v/>
      </c>
      <c r="BZ203" s="37">
        <f>IF(BR203="","",IF(BR203&lt;=30,1,0))</f>
        <v/>
      </c>
      <c r="CA203" s="37">
        <f>IF(BR203="","",IF(BR203&gt;40.5,1,0))</f>
        <v/>
      </c>
      <c r="CB203" s="37">
        <f>IF(BR203="","",IF(BR203&gt;60,1,0))</f>
        <v/>
      </c>
      <c r="CC203" s="37">
        <f>IF(BR203="","",IF(BR203&gt;67,1,0))</f>
        <v/>
      </c>
      <c r="CD203" s="37">
        <f>IF(BT203="","",IF(BT203&lt;=30,1,0))</f>
        <v/>
      </c>
      <c r="CE203" s="37">
        <f>IF(BQ203="","",IF(BQ203&lt;=28,1,0))</f>
        <v/>
      </c>
      <c r="CF203" s="37">
        <f>IF(OR(BV203="",BE203&lt;&gt;"ניתוח"),"",IF(BV203&lt;=30,1,0))</f>
        <v/>
      </c>
      <c r="CG203" s="37">
        <f>IF(BU203="","",IF(BU203&lt;=56,1,0))</f>
        <v/>
      </c>
      <c r="CH203" s="37">
        <f>IF(BW203="","",IF(BW203&lt;=42,1,0))</f>
        <v/>
      </c>
      <c r="CI203" s="37">
        <f>IF(BX203="","",IF(BX203&lt;=100,1,0))</f>
        <v/>
      </c>
      <c r="CJ203" s="33">
        <f>IF(A203="","",COUNTIF(Delays!$B$5:$B$404,A203))</f>
        <v/>
      </c>
      <c r="CK203" s="35" t="n"/>
    </row>
    <row r="204">
      <c r="A204" s="33">
        <f>IF(OR(B204="",C204="",D204="",AX204=""),"","RET-"&amp;RIGHT(YEAR(AX204),2)&amp;"-"&amp;TEXT(B204,"000")&amp;"-"&amp;C204&amp;"-"&amp;D204&amp;"-"&amp;TEXT(MONTH(AX204),"00"))</f>
        <v/>
      </c>
      <c r="B204" s="34" t="n">
        <v>199</v>
      </c>
      <c r="C204" s="35" t="n"/>
      <c r="D204" s="35" t="n"/>
      <c r="E204" s="33">
        <f>IF(AX204="","",YEAR(AX204))</f>
        <v/>
      </c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6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7">
        <f>IF(Y204="","",IF(OR(Y204="III",Y204="IV",Y204="IVA",Y204="IVB",Y204="IVC"),1,0))</f>
        <v/>
      </c>
      <c r="AA204" s="35" t="n"/>
      <c r="AB204" s="35" t="n"/>
      <c r="AC204" s="35" t="n"/>
      <c r="AD204" s="35" t="n"/>
      <c r="AE204" s="35" t="n"/>
      <c r="AF204" s="35" t="n"/>
      <c r="AG204" s="35" t="n"/>
      <c r="AH204" s="35" t="n"/>
      <c r="AI204" s="35" t="n"/>
      <c r="AJ204" s="35" t="n"/>
      <c r="AK204" s="35" t="n"/>
      <c r="AL204" s="35" t="n"/>
      <c r="AM204" s="35" t="n"/>
      <c r="AN204" s="35" t="n"/>
      <c r="AO204" s="35" t="n"/>
      <c r="AP204" s="35" t="n"/>
      <c r="AQ204" s="35" t="n"/>
      <c r="AR204" s="35" t="n"/>
      <c r="AS204" s="35" t="n"/>
      <c r="AT204" s="35" t="n"/>
      <c r="AU204" s="38" t="n"/>
      <c r="AV204" s="38" t="n"/>
      <c r="AW204" s="38" t="n"/>
      <c r="AX204" s="38" t="n"/>
      <c r="AY204" s="38" t="n"/>
      <c r="AZ204" s="38" t="n"/>
      <c r="BA204" s="38" t="n"/>
      <c r="BB204" s="38" t="n"/>
      <c r="BC204" s="38" t="n"/>
      <c r="BD204" s="38" t="n"/>
      <c r="BE204" s="35" t="n"/>
      <c r="BF204" s="35" t="n"/>
      <c r="BG204" s="38" t="n"/>
      <c r="BH204" s="38" t="n"/>
      <c r="BI204" s="38" t="n"/>
      <c r="BJ204" s="35" t="n"/>
      <c r="BK204" s="38" t="n"/>
      <c r="BL204" s="33">
        <f>IF(OR(AU204="",AV204=""),"",AV204-AU204)</f>
        <v/>
      </c>
      <c r="BM204" s="33">
        <f>IF(OR(AV204="",AW204=""),"",AW204-AV204)</f>
        <v/>
      </c>
      <c r="BN204" s="33">
        <f>IF(OR(AW204="",AX204=""),"",AX204-AW204)</f>
        <v/>
      </c>
      <c r="BO204" s="33">
        <f>IF(OR(AX204="",BA204=""),"",BA204-AX204)</f>
        <v/>
      </c>
      <c r="BP204" s="33">
        <f>IF(OR(AV204="",BA204=""),"",BA204-AV204)</f>
        <v/>
      </c>
      <c r="BQ204" s="33">
        <f>IF(OR(BB204="",BD204=""),"",BD204-BB204)</f>
        <v/>
      </c>
      <c r="BR204" s="33">
        <f>IF(OR(AX204="",BD204=""),"",BD204-AX204)</f>
        <v/>
      </c>
      <c r="BS204" s="33">
        <f>IF(OR(AW204="",BD204=""),"",BD204-AW204)</f>
        <v/>
      </c>
      <c r="BT204" s="33">
        <f>IF(OR(AV204="",BD204=""),"",BD204-AV204)</f>
        <v/>
      </c>
      <c r="BU204" s="33">
        <f>IF(OR(AU204="",BD204=""),"",BD204-AU204)</f>
        <v/>
      </c>
      <c r="BV204" s="33">
        <f>IF(OR(BB204="",BG204=""),"",BG204-BB204)</f>
        <v/>
      </c>
      <c r="BW204" s="33">
        <f>IF(OR(BG204="",BH204=""),"",BH204-BG204)</f>
        <v/>
      </c>
      <c r="BX204" s="33">
        <f>IF(OR(BG204="",BI204=""),"",BI204-BG204)</f>
        <v/>
      </c>
      <c r="BY204" s="39">
        <f>IF(OR(AX204="",BK204=""),"",ROUND((BK204-AX204)/30.44,1))</f>
        <v/>
      </c>
      <c r="BZ204" s="37">
        <f>IF(BR204="","",IF(BR204&lt;=30,1,0))</f>
        <v/>
      </c>
      <c r="CA204" s="37">
        <f>IF(BR204="","",IF(BR204&gt;40.5,1,0))</f>
        <v/>
      </c>
      <c r="CB204" s="37">
        <f>IF(BR204="","",IF(BR204&gt;60,1,0))</f>
        <v/>
      </c>
      <c r="CC204" s="37">
        <f>IF(BR204="","",IF(BR204&gt;67,1,0))</f>
        <v/>
      </c>
      <c r="CD204" s="37">
        <f>IF(BT204="","",IF(BT204&lt;=30,1,0))</f>
        <v/>
      </c>
      <c r="CE204" s="37">
        <f>IF(BQ204="","",IF(BQ204&lt;=28,1,0))</f>
        <v/>
      </c>
      <c r="CF204" s="37">
        <f>IF(OR(BV204="",BE204&lt;&gt;"ניתוח"),"",IF(BV204&lt;=30,1,0))</f>
        <v/>
      </c>
      <c r="CG204" s="37">
        <f>IF(BU204="","",IF(BU204&lt;=56,1,0))</f>
        <v/>
      </c>
      <c r="CH204" s="37">
        <f>IF(BW204="","",IF(BW204&lt;=42,1,0))</f>
        <v/>
      </c>
      <c r="CI204" s="37">
        <f>IF(BX204="","",IF(BX204&lt;=100,1,0))</f>
        <v/>
      </c>
      <c r="CJ204" s="33">
        <f>IF(A204="","",COUNTIF(Delays!$B$5:$B$404,A204))</f>
        <v/>
      </c>
      <c r="CK204" s="35" t="n"/>
    </row>
    <row r="205">
      <c r="A205" s="33">
        <f>IF(OR(B205="",C205="",D205="",AX205=""),"","RET-"&amp;RIGHT(YEAR(AX205),2)&amp;"-"&amp;TEXT(B205,"000")&amp;"-"&amp;C205&amp;"-"&amp;D205&amp;"-"&amp;TEXT(MONTH(AX205),"00"))</f>
        <v/>
      </c>
      <c r="B205" s="34" t="n">
        <v>200</v>
      </c>
      <c r="C205" s="35" t="n"/>
      <c r="D205" s="35" t="n"/>
      <c r="E205" s="33">
        <f>IF(AX205="","",YEAR(AX205))</f>
        <v/>
      </c>
      <c r="F205" s="35" t="n"/>
      <c r="G205" s="35" t="n"/>
      <c r="H205" s="35" t="n"/>
      <c r="I205" s="35" t="n"/>
      <c r="J205" s="35" t="n"/>
      <c r="K205" s="35" t="n"/>
      <c r="L205" s="35" t="n"/>
      <c r="M205" s="35" t="n"/>
      <c r="N205" s="35" t="n"/>
      <c r="O205" s="35" t="n"/>
      <c r="P205" s="36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7">
        <f>IF(Y205="","",IF(OR(Y205="III",Y205="IV",Y205="IVA",Y205="IVB",Y205="IVC"),1,0))</f>
        <v/>
      </c>
      <c r="AA205" s="35" t="n"/>
      <c r="AB205" s="35" t="n"/>
      <c r="AC205" s="35" t="n"/>
      <c r="AD205" s="35" t="n"/>
      <c r="AE205" s="35" t="n"/>
      <c r="AF205" s="35" t="n"/>
      <c r="AG205" s="35" t="n"/>
      <c r="AH205" s="35" t="n"/>
      <c r="AI205" s="35" t="n"/>
      <c r="AJ205" s="35" t="n"/>
      <c r="AK205" s="35" t="n"/>
      <c r="AL205" s="35" t="n"/>
      <c r="AM205" s="35" t="n"/>
      <c r="AN205" s="35" t="n"/>
      <c r="AO205" s="35" t="n"/>
      <c r="AP205" s="35" t="n"/>
      <c r="AQ205" s="35" t="n"/>
      <c r="AR205" s="35" t="n"/>
      <c r="AS205" s="35" t="n"/>
      <c r="AT205" s="35" t="n"/>
      <c r="AU205" s="38" t="n"/>
      <c r="AV205" s="38" t="n"/>
      <c r="AW205" s="38" t="n"/>
      <c r="AX205" s="38" t="n"/>
      <c r="AY205" s="38" t="n"/>
      <c r="AZ205" s="38" t="n"/>
      <c r="BA205" s="38" t="n"/>
      <c r="BB205" s="38" t="n"/>
      <c r="BC205" s="38" t="n"/>
      <c r="BD205" s="38" t="n"/>
      <c r="BE205" s="35" t="n"/>
      <c r="BF205" s="35" t="n"/>
      <c r="BG205" s="38" t="n"/>
      <c r="BH205" s="38" t="n"/>
      <c r="BI205" s="38" t="n"/>
      <c r="BJ205" s="35" t="n"/>
      <c r="BK205" s="38" t="n"/>
      <c r="BL205" s="33">
        <f>IF(OR(AU205="",AV205=""),"",AV205-AU205)</f>
        <v/>
      </c>
      <c r="BM205" s="33">
        <f>IF(OR(AV205="",AW205=""),"",AW205-AV205)</f>
        <v/>
      </c>
      <c r="BN205" s="33">
        <f>IF(OR(AW205="",AX205=""),"",AX205-AW205)</f>
        <v/>
      </c>
      <c r="BO205" s="33">
        <f>IF(OR(AX205="",BA205=""),"",BA205-AX205)</f>
        <v/>
      </c>
      <c r="BP205" s="33">
        <f>IF(OR(AV205="",BA205=""),"",BA205-AV205)</f>
        <v/>
      </c>
      <c r="BQ205" s="33">
        <f>IF(OR(BB205="",BD205=""),"",BD205-BB205)</f>
        <v/>
      </c>
      <c r="BR205" s="33">
        <f>IF(OR(AX205="",BD205=""),"",BD205-AX205)</f>
        <v/>
      </c>
      <c r="BS205" s="33">
        <f>IF(OR(AW205="",BD205=""),"",BD205-AW205)</f>
        <v/>
      </c>
      <c r="BT205" s="33">
        <f>IF(OR(AV205="",BD205=""),"",BD205-AV205)</f>
        <v/>
      </c>
      <c r="BU205" s="33">
        <f>IF(OR(AU205="",BD205=""),"",BD205-AU205)</f>
        <v/>
      </c>
      <c r="BV205" s="33">
        <f>IF(OR(BB205="",BG205=""),"",BG205-BB205)</f>
        <v/>
      </c>
      <c r="BW205" s="33">
        <f>IF(OR(BG205="",BH205=""),"",BH205-BG205)</f>
        <v/>
      </c>
      <c r="BX205" s="33">
        <f>IF(OR(BG205="",BI205=""),"",BI205-BG205)</f>
        <v/>
      </c>
      <c r="BY205" s="39">
        <f>IF(OR(AX205="",BK205=""),"",ROUND((BK205-AX205)/30.44,1))</f>
        <v/>
      </c>
      <c r="BZ205" s="37">
        <f>IF(BR205="","",IF(BR205&lt;=30,1,0))</f>
        <v/>
      </c>
      <c r="CA205" s="37">
        <f>IF(BR205="","",IF(BR205&gt;40.5,1,0))</f>
        <v/>
      </c>
      <c r="CB205" s="37">
        <f>IF(BR205="","",IF(BR205&gt;60,1,0))</f>
        <v/>
      </c>
      <c r="CC205" s="37">
        <f>IF(BR205="","",IF(BR205&gt;67,1,0))</f>
        <v/>
      </c>
      <c r="CD205" s="37">
        <f>IF(BT205="","",IF(BT205&lt;=30,1,0))</f>
        <v/>
      </c>
      <c r="CE205" s="37">
        <f>IF(BQ205="","",IF(BQ205&lt;=28,1,0))</f>
        <v/>
      </c>
      <c r="CF205" s="37">
        <f>IF(OR(BV205="",BE205&lt;&gt;"ניתוח"),"",IF(BV205&lt;=30,1,0))</f>
        <v/>
      </c>
      <c r="CG205" s="37">
        <f>IF(BU205="","",IF(BU205&lt;=56,1,0))</f>
        <v/>
      </c>
      <c r="CH205" s="37">
        <f>IF(BW205="","",IF(BW205&lt;=42,1,0))</f>
        <v/>
      </c>
      <c r="CI205" s="37">
        <f>IF(BX205="","",IF(BX205&lt;=100,1,0))</f>
        <v/>
      </c>
      <c r="CJ205" s="33">
        <f>IF(A205="","",COUNTIF(Delays!$B$5:$B$404,A205))</f>
        <v/>
      </c>
      <c r="CK205" s="35" t="n"/>
    </row>
  </sheetData>
  <conditionalFormatting sqref="BL5:BL205">
    <cfRule type="expression" priority="1" dxfId="0">
      <formula>AND(ISNUMBER(BL5),BL5&lt;0)</formula>
    </cfRule>
  </conditionalFormatting>
  <conditionalFormatting sqref="BM5:BM205">
    <cfRule type="expression" priority="2" dxfId="0">
      <formula>AND(ISNUMBER(BM5),BM5&lt;0)</formula>
    </cfRule>
  </conditionalFormatting>
  <conditionalFormatting sqref="BN5:BN205">
    <cfRule type="expression" priority="3" dxfId="0">
      <formula>AND(ISNUMBER(BN5),BN5&lt;0)</formula>
    </cfRule>
  </conditionalFormatting>
  <conditionalFormatting sqref="BO5:BO205">
    <cfRule type="expression" priority="4" dxfId="0">
      <formula>AND(ISNUMBER(BO5),BO5&lt;0)</formula>
    </cfRule>
  </conditionalFormatting>
  <conditionalFormatting sqref="BP5:BP205">
    <cfRule type="expression" priority="5" dxfId="0">
      <formula>AND(ISNUMBER(BP5),BP5&lt;0)</formula>
    </cfRule>
  </conditionalFormatting>
  <conditionalFormatting sqref="BQ5:BQ205">
    <cfRule type="expression" priority="6" dxfId="0">
      <formula>AND(ISNUMBER(BQ5),BQ5&lt;0)</formula>
    </cfRule>
  </conditionalFormatting>
  <conditionalFormatting sqref="BR5:BR205">
    <cfRule type="expression" priority="7" dxfId="0">
      <formula>AND(ISNUMBER(BR5),BR5&lt;0)</formula>
    </cfRule>
  </conditionalFormatting>
  <conditionalFormatting sqref="BS5:BS205">
    <cfRule type="expression" priority="8" dxfId="0">
      <formula>AND(ISNUMBER(BS5),BS5&lt;0)</formula>
    </cfRule>
  </conditionalFormatting>
  <conditionalFormatting sqref="BT5:BT205">
    <cfRule type="expression" priority="9" dxfId="0">
      <formula>AND(ISNUMBER(BT5),BT5&lt;0)</formula>
    </cfRule>
  </conditionalFormatting>
  <conditionalFormatting sqref="BU5:BU205">
    <cfRule type="expression" priority="10" dxfId="0">
      <formula>AND(ISNUMBER(BU5),BU5&lt;0)</formula>
    </cfRule>
  </conditionalFormatting>
  <conditionalFormatting sqref="BV5:BV205">
    <cfRule type="expression" priority="11" dxfId="0">
      <formula>AND(ISNUMBER(BV5),BV5&lt;0)</formula>
    </cfRule>
  </conditionalFormatting>
  <conditionalFormatting sqref="BW5:BW205">
    <cfRule type="expression" priority="12" dxfId="0">
      <formula>AND(ISNUMBER(BW5),BW5&lt;0)</formula>
    </cfRule>
  </conditionalFormatting>
  <conditionalFormatting sqref="BX5:BX205">
    <cfRule type="expression" priority="13" dxfId="0">
      <formula>AND(ISNUMBER(BX5),BX5&lt;0)</formula>
    </cfRule>
  </conditionalFormatting>
  <conditionalFormatting sqref="BY5:BY205">
    <cfRule type="expression" priority="14" dxfId="0">
      <formula>AND(ISNUMBER(BY5),BY5&lt;0)</formula>
    </cfRule>
  </conditionalFormatting>
  <conditionalFormatting sqref="A6:A205">
    <cfRule type="expression" priority="15" dxfId="0">
      <formula>AND(A6&lt;&gt;"",COUNTIF($A$6:$A$205,A6)&gt;1)</formula>
    </cfRule>
  </conditionalFormatting>
  <dataValidations count="58">
    <dataValidation sqref="C5:C205" showDropDown="0" showInputMessage="0" showErrorMessage="1" allowBlank="1" errorTitle="ערך לא תקין" error="בחר ערך מהרשימה" type="list">
      <formula1>=L_site</formula1>
    </dataValidation>
    <dataValidation sqref="D5:D205" showDropDown="0" showInputMessage="0" showErrorMessage="1" allowBlank="1" errorTitle="ערך לא תקין" error="בחר ערך מהרשימה" type="list">
      <formula1>=L_side</formula1>
    </dataValidation>
    <dataValidation sqref="F5:F205" showDropDown="0" showInputMessage="0" showErrorMessage="1" allowBlank="1" errorTitle="ערך לא תקין" error="בחר ערך מהרשימה" type="list">
      <formula1>=L_yn</formula1>
    </dataValidation>
    <dataValidation sqref="G5:G205" showDropDown="0" showInputMessage="0" showErrorMessage="1" allowBlank="1" errorTitle="ערך לא תקין" error="בחר ערך מהרשימה" type="list">
      <formula1>=L_excl</formula1>
    </dataValidation>
    <dataValidation sqref="H5:H205" showDropDown="0" showInputMessage="0" showErrorMessage="1" allowBlank="1" error="מספר שלם בין 18 ל-110" type="whole" operator="between">
      <formula1>18</formula1>
      <formula2>110</formula2>
    </dataValidation>
    <dataValidation sqref="I5:I205" showDropDown="0" showInputMessage="0" showErrorMessage="1" allowBlank="1" errorTitle="ערך לא תקין" error="בחר ערך מהרשימה" type="list">
      <formula1>=L_sex</formula1>
    </dataValidation>
    <dataValidation sqref="J5:J205" showDropDown="0" showInputMessage="0" showErrorMessage="1" allowBlank="1" errorTitle="ערך לא תקין" error="בחר ערך מהרשימה" type="list">
      <formula1>=L_ecog</formula1>
    </dataValidation>
    <dataValidation sqref="K5:K205" showDropDown="0" showInputMessage="0" showErrorMessage="1" allowBlank="1" errorTitle="ערך לא תקין" error="בחר ערך מהרשימה" type="list">
      <formula1>=L_smoke</formula1>
    </dataValidation>
    <dataValidation sqref="L5:L205" showDropDown="0" showInputMessage="0" showErrorMessage="1" allowBlank="1" error="מספר שלם בין 0 ל-200" type="whole" operator="between">
      <formula1>0</formula1>
      <formula2>200</formula2>
    </dataValidation>
    <dataValidation sqref="M5:M205" showDropDown="0" showInputMessage="0" showErrorMessage="1" allowBlank="1" errorTitle="ערך לא תקין" error="בחר ערך מהרשימה" type="list">
      <formula1>=L_alc</formula1>
    </dataValidation>
    <dataValidation sqref="N5:N205" showDropDown="0" showInputMessage="0" showErrorMessage="1" allowBlank="1" errorTitle="ערך לא תקין" error="בחר ערך מהרשימה" type="list">
      <formula1>=L_ace</formula1>
    </dataValidation>
    <dataValidation sqref="O5:O205" showDropDown="0" showInputMessage="0" showErrorMessage="1" allowBlank="1" errorTitle="ערך לא תקין" error="בחר ערך מהרשימה" type="list">
      <formula1>=L_cci</formula1>
    </dataValidation>
    <dataValidation sqref="Q5:Q205" showDropDown="0" showInputMessage="0" showErrorMessage="1" allowBlank="1" errorTitle="ערך לא תקין" error="בחר ערך מהרשימה" type="list">
      <formula1>=L_dist</formula1>
    </dataValidation>
    <dataValidation sqref="R5:R205" showDropDown="0" showInputMessage="0" showErrorMessage="1" allowBlank="1" errorTitle="ערך לא תקין" error="בחר ערך מהרשימה" type="list">
      <formula1>=L_lang</formula1>
    </dataValidation>
    <dataValidation sqref="S5:S205" showDropDown="0" showInputMessage="0" showErrorMessage="1" allowBlank="1" errorTitle="ערך לא תקין" error="בחר ערך מהרשימה" type="list">
      <formula1>=L_ses</formula1>
    </dataValidation>
    <dataValidation sqref="T5:T205" showDropDown="0" showInputMessage="0" showErrorMessage="1" allowBlank="1" errorTitle="ערך לא תקין" error="בחר ערך מהרשימה" type="list">
      <formula1>=L_insur</formula1>
    </dataValidation>
    <dataValidation sqref="U5:U205" showDropDown="0" showInputMessage="0" showErrorMessage="1" allowBlank="1" errorTitle="ערך לא תקין" error="בחר ערך מהרשימה" type="list">
      <formula1>=L_hist</formula1>
    </dataValidation>
    <dataValidation sqref="V5:V205" showDropDown="0" showInputMessage="0" showErrorMessage="1" allowBlank="1" errorTitle="ערך לא תקין" error="בחר ערך מהרשימה" type="list">
      <formula1>=L_T</formula1>
    </dataValidation>
    <dataValidation sqref="W5:W205" showDropDown="0" showInputMessage="0" showErrorMessage="1" allowBlank="1" errorTitle="ערך לא תקין" error="בחר ערך מהרשימה" type="list">
      <formula1>=L_N</formula1>
    </dataValidation>
    <dataValidation sqref="X5:X205" showDropDown="0" showInputMessage="0" showErrorMessage="1" allowBlank="1" errorTitle="ערך לא תקין" error="בחר ערך מהרשימה" type="list">
      <formula1>=L_M</formula1>
    </dataValidation>
    <dataValidation sqref="Y5:Y205" showDropDown="0" showInputMessage="0" showErrorMessage="1" allowBlank="1" errorTitle="ערך לא תקין" error="בחר ערך מהרשימה" type="list">
      <formula1>=L_stage</formula1>
    </dataValidation>
    <dataValidation sqref="AA5:AA205" showDropDown="0" showInputMessage="0" showErrorMessage="1" allowBlank="1" errorTitle="ערך לא תקין" error="בחר ערך מהרשימה" type="list">
      <formula1>=L_marker</formula1>
    </dataValidation>
    <dataValidation sqref="AB5:AB205" showDropDown="0" showInputMessage="0" showErrorMessage="1" allowBlank="1" errorTitle="ערך לא תקין" error="בחר ערך מהרשימה" type="list">
      <formula1>=L_marker</formula1>
    </dataValidation>
    <dataValidation sqref="AC5:AC205" showDropDown="0" showInputMessage="0" showErrorMessage="1" allowBlank="1" errorTitle="ערך לא תקין" error="בחר ערך מהרשימה" type="list">
      <formula1>=L_T</formula1>
    </dataValidation>
    <dataValidation sqref="AD5:AD205" showDropDown="0" showInputMessage="0" showErrorMessage="1" allowBlank="1" errorTitle="ערך לא תקין" error="בחר ערך מהרשימה" type="list">
      <formula1>=L_N</formula1>
    </dataValidation>
    <dataValidation sqref="AE5:AE205" showDropDown="0" showInputMessage="0" showErrorMessage="1" allowBlank="1" errorTitle="ערך לא תקין" error="בחר ערך מהרשימה" type="list">
      <formula1>=L_ynu</formula1>
    </dataValidation>
    <dataValidation sqref="AF5:AF205" showDropDown="0" showInputMessage="0" showErrorMessage="1" allowBlank="1" errorTitle="ערך לא תקין" error="בחר ערך מהרשימה" type="list">
      <formula1>=L_ynu</formula1>
    </dataValidation>
    <dataValidation sqref="AG5:AG205" showDropDown="0" showInputMessage="0" showErrorMessage="1" allowBlank="1" errorTitle="ערך לא תקין" error="בחר ערך מהרשימה" type="list">
      <formula1>=L_refsrc</formula1>
    </dataValidation>
    <dataValidation sqref="AH5:AH205" showDropDown="0" showInputMessage="0" showErrorMessage="1" allowBlank="1" errorTitle="ערך לא תקין" error="בחר ערך מהרשימה" type="list">
      <formula1>=L_ynu</formula1>
    </dataValidation>
    <dataValidation sqref="AI5:AI205" showDropDown="0" showInputMessage="0" showErrorMessage="1" allowBlank="1" errorTitle="ערך לא תקין" error="בחר ערך מהרשימה" type="list">
      <formula1>=L_ynu</formula1>
    </dataValidation>
    <dataValidation sqref="AJ5:AJ205" showDropDown="0" showInputMessage="0" showErrorMessage="1" allowBlank="1" errorTitle="ערך לא תקין" error="בחר ערך מהרשימה" type="list">
      <formula1>=L_ynu</formula1>
    </dataValidation>
    <dataValidation sqref="AK5:AK205" showDropDown="0" showInputMessage="0" showErrorMessage="1" allowBlank="1" error="מספר שלם בין 0 ל-6" type="whole" operator="between">
      <formula1>0</formula1>
      <formula2>6</formula2>
    </dataValidation>
    <dataValidation sqref="AL5:AL205" showDropDown="0" showInputMessage="0" showErrorMessage="1" allowBlank="1" errorTitle="ערך לא תקין" error="בחר ערך מהרשימה" type="list">
      <formula1>=L_ynu</formula1>
    </dataValidation>
    <dataValidation sqref="AM5:AM205" showDropDown="0" showInputMessage="0" showErrorMessage="1" allowBlank="1" errorTitle="ערך לא תקין" error="בחר ערך מהרשימה" type="list">
      <formula1>=L_ynu</formula1>
    </dataValidation>
    <dataValidation sqref="AN5:AN205" showDropDown="0" showInputMessage="0" showErrorMessage="1" allowBlank="1" errorTitle="ערך לא תקין" error="בחר ערך מהרשימה" type="list">
      <formula1>=L_ynu</formula1>
    </dataValidation>
    <dataValidation sqref="AO5:AO205" showDropDown="0" showInputMessage="0" showErrorMessage="1" allowBlank="1" errorTitle="ערך לא תקין" error="בחר ערך מהרשימה" type="list">
      <formula1>=L_ynu</formula1>
    </dataValidation>
    <dataValidation sqref="AP5:AP205" showDropDown="0" showInputMessage="0" showErrorMessage="1" allowBlank="1" error="מספר שלם בין 0 ל-6" type="whole" operator="between">
      <formula1>0</formula1>
      <formula2>6</formula2>
    </dataValidation>
    <dataValidation sqref="AQ5:AQ205" showDropDown="0" showInputMessage="0" showErrorMessage="1" allowBlank="1" errorTitle="ערך לא תקין" error="בחר ערך מהרשימה" type="list">
      <formula1>=L_ynu</formula1>
    </dataValidation>
    <dataValidation sqref="AR5:AR205" showDropDown="0" showInputMessage="0" showErrorMessage="1" allowBlank="1" errorTitle="ערך לא תקין" error="בחר ערך מהרשימה" type="list">
      <formula1>=L_ynu</formula1>
    </dataValidation>
    <dataValidation sqref="AS5:AS205" showDropDown="0" showInputMessage="0" showErrorMessage="1" allowBlank="1" errorTitle="ערך לא תקין" error="בחר ערך מהרשימה" type="list">
      <formula1>=L_dreason</formula1>
    </dataValidation>
    <dataValidation sqref="AT5:AT205" showDropDown="0" showInputMessage="0" showErrorMessage="1" allowBlank="1" errorTitle="ערך לא תקין" error="בחר ערך מהרשימה" type="list">
      <formula1>=L_dsrc</formula1>
    </dataValidation>
    <dataValidation sqref="AU5:AU205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AV5:AV205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AW5:AW205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AX5:AX205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AY5:AY205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AZ5:AZ205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BA5:BA205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BB5:BB205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BC5:BC205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BD5:BD205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BE5:BE205" showDropDown="0" showInputMessage="0" showErrorMessage="1" allowBlank="1" errorTitle="ערך לא תקין" error="בחר ערך מהרשימה" type="list">
      <formula1>=L_mod</formula1>
    </dataValidation>
    <dataValidation sqref="BF5:BF205" showDropDown="0" showInputMessage="0" showErrorMessage="1" allowBlank="1" errorTitle="ערך לא תקין" error="בחר ערך מהרשימה" type="list">
      <formula1>=L_txsite</formula1>
    </dataValidation>
    <dataValidation sqref="BG5:BG205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BH5:BH205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BI5:BI205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BJ5:BJ205" showDropDown="0" showInputMessage="0" showErrorMessage="1" allowBlank="1" errorTitle="ערך לא תקין" error="בחר ערך מהרשימה" type="list">
      <formula1>=L_vital</formula1>
    </dataValidation>
    <dataValidation sqref="BK5:BK205" showDropDown="0" showInputMessage="0" showErrorMessage="1" allowBlank="1" error="תאריך בפורמט dd/mm/yyyy" type="date" operator="between">
      <formula1>DATE(2015,1,1)</formula1>
      <formula2>DATE(2030,12,31)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4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24" customWidth="1" min="4" max="4"/>
    <col width="14" customWidth="1" min="5" max="5"/>
    <col width="12" customWidth="1" min="6" max="6"/>
    <col width="12" customWidth="1" min="7" max="7"/>
    <col width="8" customWidth="1" min="8" max="8"/>
    <col width="11" customWidth="1" min="9" max="9"/>
    <col width="34" customWidth="1" min="10" max="10"/>
  </cols>
  <sheetData>
    <row r="1">
      <c r="A1" s="24" t="inlineStr">
        <is>
          <t>יומן אירועי עיכוב — אירוע אחד בשורה. מטופל יכול להופיע כמה פעמים.</t>
        </is>
      </c>
    </row>
    <row r="3" ht="40" customHeight="1">
      <c r="A3" s="26" t="inlineStr">
        <is>
          <t>מס׳ אירוע</t>
        </is>
      </c>
      <c r="B3" s="26" t="inlineStr">
        <is>
          <t>מספר מחקר</t>
        </is>
      </c>
      <c r="C3" s="26" t="inlineStr">
        <is>
          <t>המקטע</t>
        </is>
      </c>
      <c r="D3" s="26" t="inlineStr">
        <is>
          <t>סיבת העיכוב</t>
        </is>
      </c>
      <c r="E3" s="26" t="inlineStr">
        <is>
          <t>סיווג המקור</t>
        </is>
      </c>
      <c r="F3" s="26" t="inlineStr">
        <is>
          <t>תחילת ההמתנה</t>
        </is>
      </c>
      <c r="G3" s="26" t="inlineStr">
        <is>
          <t>סוף ההמתנה</t>
        </is>
      </c>
      <c r="H3" s="26" t="inlineStr">
        <is>
          <t>ימים</t>
        </is>
      </c>
      <c r="I3" s="26" t="inlineStr">
        <is>
          <t>נמנע לכאורה</t>
        </is>
      </c>
      <c r="J3" s="26" t="inlineStr">
        <is>
          <t>הערה (ללא פרטים מזהים)</t>
        </is>
      </c>
    </row>
    <row r="4">
      <c r="A4" s="27" t="inlineStr">
        <is>
          <t>n</t>
        </is>
      </c>
      <c r="B4" s="27" t="inlineStr">
        <is>
          <t>pid</t>
        </is>
      </c>
      <c r="C4" s="27" t="inlineStr">
        <is>
          <t>phase</t>
        </is>
      </c>
      <c r="D4" s="27" t="inlineStr">
        <is>
          <t>reason</t>
        </is>
      </c>
      <c r="E4" s="27" t="inlineStr">
        <is>
          <t>src</t>
        </is>
      </c>
      <c r="F4" s="27" t="inlineStr">
        <is>
          <t>start</t>
        </is>
      </c>
      <c r="G4" s="27" t="inlineStr">
        <is>
          <t>end</t>
        </is>
      </c>
      <c r="H4" s="27" t="inlineStr">
        <is>
          <t>days</t>
        </is>
      </c>
      <c r="I4" s="27" t="inlineStr">
        <is>
          <t>avoid</t>
        </is>
      </c>
      <c r="J4" s="27" t="inlineStr">
        <is>
          <t>note</t>
        </is>
      </c>
    </row>
    <row r="5">
      <c r="A5" s="33" t="inlineStr">
        <is>
          <t>D-001</t>
        </is>
      </c>
      <c r="B5" s="35" t="n"/>
      <c r="C5" s="35" t="n"/>
      <c r="D5" s="35" t="n"/>
      <c r="E5" s="35" t="n"/>
      <c r="F5" s="38" t="n"/>
      <c r="G5" s="38" t="n"/>
      <c r="H5" s="33">
        <f>IF(OR(F5="",G5=""),"",G5-F5)</f>
        <v/>
      </c>
      <c r="I5" s="35" t="n"/>
      <c r="J5" s="35" t="n"/>
    </row>
    <row r="6">
      <c r="A6" s="33" t="inlineStr">
        <is>
          <t>D-002</t>
        </is>
      </c>
      <c r="B6" s="35" t="n"/>
      <c r="C6" s="35" t="n"/>
      <c r="D6" s="35" t="n"/>
      <c r="E6" s="35" t="n"/>
      <c r="F6" s="38" t="n"/>
      <c r="G6" s="38" t="n"/>
      <c r="H6" s="33">
        <f>IF(OR(F6="",G6=""),"",G6-F6)</f>
        <v/>
      </c>
      <c r="I6" s="35" t="n"/>
      <c r="J6" s="35" t="n"/>
    </row>
    <row r="7">
      <c r="A7" s="33" t="inlineStr">
        <is>
          <t>D-003</t>
        </is>
      </c>
      <c r="B7" s="35" t="n"/>
      <c r="C7" s="35" t="n"/>
      <c r="D7" s="35" t="n"/>
      <c r="E7" s="35" t="n"/>
      <c r="F7" s="38" t="n"/>
      <c r="G7" s="38" t="n"/>
      <c r="H7" s="33">
        <f>IF(OR(F7="",G7=""),"",G7-F7)</f>
        <v/>
      </c>
      <c r="I7" s="35" t="n"/>
      <c r="J7" s="35" t="n"/>
    </row>
    <row r="8">
      <c r="A8" s="33" t="inlineStr">
        <is>
          <t>D-004</t>
        </is>
      </c>
      <c r="B8" s="35" t="n"/>
      <c r="C8" s="35" t="n"/>
      <c r="D8" s="35" t="n"/>
      <c r="E8" s="35" t="n"/>
      <c r="F8" s="38" t="n"/>
      <c r="G8" s="38" t="n"/>
      <c r="H8" s="33">
        <f>IF(OR(F8="",G8=""),"",G8-F8)</f>
        <v/>
      </c>
      <c r="I8" s="35" t="n"/>
      <c r="J8" s="35" t="n"/>
    </row>
    <row r="9">
      <c r="A9" s="33" t="inlineStr">
        <is>
          <t>D-005</t>
        </is>
      </c>
      <c r="B9" s="35" t="n"/>
      <c r="C9" s="35" t="n"/>
      <c r="D9" s="35" t="n"/>
      <c r="E9" s="35" t="n"/>
      <c r="F9" s="38" t="n"/>
      <c r="G9" s="38" t="n"/>
      <c r="H9" s="33">
        <f>IF(OR(F9="",G9=""),"",G9-F9)</f>
        <v/>
      </c>
      <c r="I9" s="35" t="n"/>
      <c r="J9" s="35" t="n"/>
    </row>
    <row r="10">
      <c r="A10" s="33" t="inlineStr">
        <is>
          <t>D-006</t>
        </is>
      </c>
      <c r="B10" s="35" t="n"/>
      <c r="C10" s="35" t="n"/>
      <c r="D10" s="35" t="n"/>
      <c r="E10" s="35" t="n"/>
      <c r="F10" s="38" t="n"/>
      <c r="G10" s="38" t="n"/>
      <c r="H10" s="33">
        <f>IF(OR(F10="",G10=""),"",G10-F10)</f>
        <v/>
      </c>
      <c r="I10" s="35" t="n"/>
      <c r="J10" s="35" t="n"/>
    </row>
    <row r="11">
      <c r="A11" s="33" t="inlineStr">
        <is>
          <t>D-007</t>
        </is>
      </c>
      <c r="B11" s="35" t="n"/>
      <c r="C11" s="35" t="n"/>
      <c r="D11" s="35" t="n"/>
      <c r="E11" s="35" t="n"/>
      <c r="F11" s="38" t="n"/>
      <c r="G11" s="38" t="n"/>
      <c r="H11" s="33">
        <f>IF(OR(F11="",G11=""),"",G11-F11)</f>
        <v/>
      </c>
      <c r="I11" s="35" t="n"/>
      <c r="J11" s="35" t="n"/>
    </row>
    <row r="12">
      <c r="A12" s="33" t="inlineStr">
        <is>
          <t>D-008</t>
        </is>
      </c>
      <c r="B12" s="35" t="n"/>
      <c r="C12" s="35" t="n"/>
      <c r="D12" s="35" t="n"/>
      <c r="E12" s="35" t="n"/>
      <c r="F12" s="38" t="n"/>
      <c r="G12" s="38" t="n"/>
      <c r="H12" s="33">
        <f>IF(OR(F12="",G12=""),"",G12-F12)</f>
        <v/>
      </c>
      <c r="I12" s="35" t="n"/>
      <c r="J12" s="35" t="n"/>
    </row>
    <row r="13">
      <c r="A13" s="33" t="inlineStr">
        <is>
          <t>D-009</t>
        </is>
      </c>
      <c r="B13" s="35" t="n"/>
      <c r="C13" s="35" t="n"/>
      <c r="D13" s="35" t="n"/>
      <c r="E13" s="35" t="n"/>
      <c r="F13" s="38" t="n"/>
      <c r="G13" s="38" t="n"/>
      <c r="H13" s="33">
        <f>IF(OR(F13="",G13=""),"",G13-F13)</f>
        <v/>
      </c>
      <c r="I13" s="35" t="n"/>
      <c r="J13" s="35" t="n"/>
    </row>
    <row r="14">
      <c r="A14" s="33" t="inlineStr">
        <is>
          <t>D-010</t>
        </is>
      </c>
      <c r="B14" s="35" t="n"/>
      <c r="C14" s="35" t="n"/>
      <c r="D14" s="35" t="n"/>
      <c r="E14" s="35" t="n"/>
      <c r="F14" s="38" t="n"/>
      <c r="G14" s="38" t="n"/>
      <c r="H14" s="33">
        <f>IF(OR(F14="",G14=""),"",G14-F14)</f>
        <v/>
      </c>
      <c r="I14" s="35" t="n"/>
      <c r="J14" s="35" t="n"/>
    </row>
    <row r="15">
      <c r="A15" s="33" t="inlineStr">
        <is>
          <t>D-011</t>
        </is>
      </c>
      <c r="B15" s="35" t="n"/>
      <c r="C15" s="35" t="n"/>
      <c r="D15" s="35" t="n"/>
      <c r="E15" s="35" t="n"/>
      <c r="F15" s="38" t="n"/>
      <c r="G15" s="38" t="n"/>
      <c r="H15" s="33">
        <f>IF(OR(F15="",G15=""),"",G15-F15)</f>
        <v/>
      </c>
      <c r="I15" s="35" t="n"/>
      <c r="J15" s="35" t="n"/>
    </row>
    <row r="16">
      <c r="A16" s="33" t="inlineStr">
        <is>
          <t>D-012</t>
        </is>
      </c>
      <c r="B16" s="35" t="n"/>
      <c r="C16" s="35" t="n"/>
      <c r="D16" s="35" t="n"/>
      <c r="E16" s="35" t="n"/>
      <c r="F16" s="38" t="n"/>
      <c r="G16" s="38" t="n"/>
      <c r="H16" s="33">
        <f>IF(OR(F16="",G16=""),"",G16-F16)</f>
        <v/>
      </c>
      <c r="I16" s="35" t="n"/>
      <c r="J16" s="35" t="n"/>
    </row>
    <row r="17">
      <c r="A17" s="33" t="inlineStr">
        <is>
          <t>D-013</t>
        </is>
      </c>
      <c r="B17" s="35" t="n"/>
      <c r="C17" s="35" t="n"/>
      <c r="D17" s="35" t="n"/>
      <c r="E17" s="35" t="n"/>
      <c r="F17" s="38" t="n"/>
      <c r="G17" s="38" t="n"/>
      <c r="H17" s="33">
        <f>IF(OR(F17="",G17=""),"",G17-F17)</f>
        <v/>
      </c>
      <c r="I17" s="35" t="n"/>
      <c r="J17" s="35" t="n"/>
    </row>
    <row r="18">
      <c r="A18" s="33" t="inlineStr">
        <is>
          <t>D-014</t>
        </is>
      </c>
      <c r="B18" s="35" t="n"/>
      <c r="C18" s="35" t="n"/>
      <c r="D18" s="35" t="n"/>
      <c r="E18" s="35" t="n"/>
      <c r="F18" s="38" t="n"/>
      <c r="G18" s="38" t="n"/>
      <c r="H18" s="33">
        <f>IF(OR(F18="",G18=""),"",G18-F18)</f>
        <v/>
      </c>
      <c r="I18" s="35" t="n"/>
      <c r="J18" s="35" t="n"/>
    </row>
    <row r="19">
      <c r="A19" s="33" t="inlineStr">
        <is>
          <t>D-015</t>
        </is>
      </c>
      <c r="B19" s="35" t="n"/>
      <c r="C19" s="35" t="n"/>
      <c r="D19" s="35" t="n"/>
      <c r="E19" s="35" t="n"/>
      <c r="F19" s="38" t="n"/>
      <c r="G19" s="38" t="n"/>
      <c r="H19" s="33">
        <f>IF(OR(F19="",G19=""),"",G19-F19)</f>
        <v/>
      </c>
      <c r="I19" s="35" t="n"/>
      <c r="J19" s="35" t="n"/>
    </row>
    <row r="20">
      <c r="A20" s="33" t="inlineStr">
        <is>
          <t>D-016</t>
        </is>
      </c>
      <c r="B20" s="35" t="n"/>
      <c r="C20" s="35" t="n"/>
      <c r="D20" s="35" t="n"/>
      <c r="E20" s="35" t="n"/>
      <c r="F20" s="38" t="n"/>
      <c r="G20" s="38" t="n"/>
      <c r="H20" s="33">
        <f>IF(OR(F20="",G20=""),"",G20-F20)</f>
        <v/>
      </c>
      <c r="I20" s="35" t="n"/>
      <c r="J20" s="35" t="n"/>
    </row>
    <row r="21">
      <c r="A21" s="33" t="inlineStr">
        <is>
          <t>D-017</t>
        </is>
      </c>
      <c r="B21" s="35" t="n"/>
      <c r="C21" s="35" t="n"/>
      <c r="D21" s="35" t="n"/>
      <c r="E21" s="35" t="n"/>
      <c r="F21" s="38" t="n"/>
      <c r="G21" s="38" t="n"/>
      <c r="H21" s="33">
        <f>IF(OR(F21="",G21=""),"",G21-F21)</f>
        <v/>
      </c>
      <c r="I21" s="35" t="n"/>
      <c r="J21" s="35" t="n"/>
    </row>
    <row r="22">
      <c r="A22" s="33" t="inlineStr">
        <is>
          <t>D-018</t>
        </is>
      </c>
      <c r="B22" s="35" t="n"/>
      <c r="C22" s="35" t="n"/>
      <c r="D22" s="35" t="n"/>
      <c r="E22" s="35" t="n"/>
      <c r="F22" s="38" t="n"/>
      <c r="G22" s="38" t="n"/>
      <c r="H22" s="33">
        <f>IF(OR(F22="",G22=""),"",G22-F22)</f>
        <v/>
      </c>
      <c r="I22" s="35" t="n"/>
      <c r="J22" s="35" t="n"/>
    </row>
    <row r="23">
      <c r="A23" s="33" t="inlineStr">
        <is>
          <t>D-019</t>
        </is>
      </c>
      <c r="B23" s="35" t="n"/>
      <c r="C23" s="35" t="n"/>
      <c r="D23" s="35" t="n"/>
      <c r="E23" s="35" t="n"/>
      <c r="F23" s="38" t="n"/>
      <c r="G23" s="38" t="n"/>
      <c r="H23" s="33">
        <f>IF(OR(F23="",G23=""),"",G23-F23)</f>
        <v/>
      </c>
      <c r="I23" s="35" t="n"/>
      <c r="J23" s="35" t="n"/>
    </row>
    <row r="24">
      <c r="A24" s="33" t="inlineStr">
        <is>
          <t>D-020</t>
        </is>
      </c>
      <c r="B24" s="35" t="n"/>
      <c r="C24" s="35" t="n"/>
      <c r="D24" s="35" t="n"/>
      <c r="E24" s="35" t="n"/>
      <c r="F24" s="38" t="n"/>
      <c r="G24" s="38" t="n"/>
      <c r="H24" s="33">
        <f>IF(OR(F24="",G24=""),"",G24-F24)</f>
        <v/>
      </c>
      <c r="I24" s="35" t="n"/>
      <c r="J24" s="35" t="n"/>
    </row>
    <row r="25">
      <c r="A25" s="33" t="inlineStr">
        <is>
          <t>D-021</t>
        </is>
      </c>
      <c r="B25" s="35" t="n"/>
      <c r="C25" s="35" t="n"/>
      <c r="D25" s="35" t="n"/>
      <c r="E25" s="35" t="n"/>
      <c r="F25" s="38" t="n"/>
      <c r="G25" s="38" t="n"/>
      <c r="H25" s="33">
        <f>IF(OR(F25="",G25=""),"",G25-F25)</f>
        <v/>
      </c>
      <c r="I25" s="35" t="n"/>
      <c r="J25" s="35" t="n"/>
    </row>
    <row r="26">
      <c r="A26" s="33" t="inlineStr">
        <is>
          <t>D-022</t>
        </is>
      </c>
      <c r="B26" s="35" t="n"/>
      <c r="C26" s="35" t="n"/>
      <c r="D26" s="35" t="n"/>
      <c r="E26" s="35" t="n"/>
      <c r="F26" s="38" t="n"/>
      <c r="G26" s="38" t="n"/>
      <c r="H26" s="33">
        <f>IF(OR(F26="",G26=""),"",G26-F26)</f>
        <v/>
      </c>
      <c r="I26" s="35" t="n"/>
      <c r="J26" s="35" t="n"/>
    </row>
    <row r="27">
      <c r="A27" s="33" t="inlineStr">
        <is>
          <t>D-023</t>
        </is>
      </c>
      <c r="B27" s="35" t="n"/>
      <c r="C27" s="35" t="n"/>
      <c r="D27" s="35" t="n"/>
      <c r="E27" s="35" t="n"/>
      <c r="F27" s="38" t="n"/>
      <c r="G27" s="38" t="n"/>
      <c r="H27" s="33">
        <f>IF(OR(F27="",G27=""),"",G27-F27)</f>
        <v/>
      </c>
      <c r="I27" s="35" t="n"/>
      <c r="J27" s="35" t="n"/>
    </row>
    <row r="28">
      <c r="A28" s="33" t="inlineStr">
        <is>
          <t>D-024</t>
        </is>
      </c>
      <c r="B28" s="35" t="n"/>
      <c r="C28" s="35" t="n"/>
      <c r="D28" s="35" t="n"/>
      <c r="E28" s="35" t="n"/>
      <c r="F28" s="38" t="n"/>
      <c r="G28" s="38" t="n"/>
      <c r="H28" s="33">
        <f>IF(OR(F28="",G28=""),"",G28-F28)</f>
        <v/>
      </c>
      <c r="I28" s="35" t="n"/>
      <c r="J28" s="35" t="n"/>
    </row>
    <row r="29">
      <c r="A29" s="33" t="inlineStr">
        <is>
          <t>D-025</t>
        </is>
      </c>
      <c r="B29" s="35" t="n"/>
      <c r="C29" s="35" t="n"/>
      <c r="D29" s="35" t="n"/>
      <c r="E29" s="35" t="n"/>
      <c r="F29" s="38" t="n"/>
      <c r="G29" s="38" t="n"/>
      <c r="H29" s="33">
        <f>IF(OR(F29="",G29=""),"",G29-F29)</f>
        <v/>
      </c>
      <c r="I29" s="35" t="n"/>
      <c r="J29" s="35" t="n"/>
    </row>
    <row r="30">
      <c r="A30" s="33" t="inlineStr">
        <is>
          <t>D-026</t>
        </is>
      </c>
      <c r="B30" s="35" t="n"/>
      <c r="C30" s="35" t="n"/>
      <c r="D30" s="35" t="n"/>
      <c r="E30" s="35" t="n"/>
      <c r="F30" s="38" t="n"/>
      <c r="G30" s="38" t="n"/>
      <c r="H30" s="33">
        <f>IF(OR(F30="",G30=""),"",G30-F30)</f>
        <v/>
      </c>
      <c r="I30" s="35" t="n"/>
      <c r="J30" s="35" t="n"/>
    </row>
    <row r="31">
      <c r="A31" s="33" t="inlineStr">
        <is>
          <t>D-027</t>
        </is>
      </c>
      <c r="B31" s="35" t="n"/>
      <c r="C31" s="35" t="n"/>
      <c r="D31" s="35" t="n"/>
      <c r="E31" s="35" t="n"/>
      <c r="F31" s="38" t="n"/>
      <c r="G31" s="38" t="n"/>
      <c r="H31" s="33">
        <f>IF(OR(F31="",G31=""),"",G31-F31)</f>
        <v/>
      </c>
      <c r="I31" s="35" t="n"/>
      <c r="J31" s="35" t="n"/>
    </row>
    <row r="32">
      <c r="A32" s="33" t="inlineStr">
        <is>
          <t>D-028</t>
        </is>
      </c>
      <c r="B32" s="35" t="n"/>
      <c r="C32" s="35" t="n"/>
      <c r="D32" s="35" t="n"/>
      <c r="E32" s="35" t="n"/>
      <c r="F32" s="38" t="n"/>
      <c r="G32" s="38" t="n"/>
      <c r="H32" s="33">
        <f>IF(OR(F32="",G32=""),"",G32-F32)</f>
        <v/>
      </c>
      <c r="I32" s="35" t="n"/>
      <c r="J32" s="35" t="n"/>
    </row>
    <row r="33">
      <c r="A33" s="33" t="inlineStr">
        <is>
          <t>D-029</t>
        </is>
      </c>
      <c r="B33" s="35" t="n"/>
      <c r="C33" s="35" t="n"/>
      <c r="D33" s="35" t="n"/>
      <c r="E33" s="35" t="n"/>
      <c r="F33" s="38" t="n"/>
      <c r="G33" s="38" t="n"/>
      <c r="H33" s="33">
        <f>IF(OR(F33="",G33=""),"",G33-F33)</f>
        <v/>
      </c>
      <c r="I33" s="35" t="n"/>
      <c r="J33" s="35" t="n"/>
    </row>
    <row r="34">
      <c r="A34" s="33" t="inlineStr">
        <is>
          <t>D-030</t>
        </is>
      </c>
      <c r="B34" s="35" t="n"/>
      <c r="C34" s="35" t="n"/>
      <c r="D34" s="35" t="n"/>
      <c r="E34" s="35" t="n"/>
      <c r="F34" s="38" t="n"/>
      <c r="G34" s="38" t="n"/>
      <c r="H34" s="33">
        <f>IF(OR(F34="",G34=""),"",G34-F34)</f>
        <v/>
      </c>
      <c r="I34" s="35" t="n"/>
      <c r="J34" s="35" t="n"/>
    </row>
    <row r="35">
      <c r="A35" s="33" t="inlineStr">
        <is>
          <t>D-031</t>
        </is>
      </c>
      <c r="B35" s="35" t="n"/>
      <c r="C35" s="35" t="n"/>
      <c r="D35" s="35" t="n"/>
      <c r="E35" s="35" t="n"/>
      <c r="F35" s="38" t="n"/>
      <c r="G35" s="38" t="n"/>
      <c r="H35" s="33">
        <f>IF(OR(F35="",G35=""),"",G35-F35)</f>
        <v/>
      </c>
      <c r="I35" s="35" t="n"/>
      <c r="J35" s="35" t="n"/>
    </row>
    <row r="36">
      <c r="A36" s="33" t="inlineStr">
        <is>
          <t>D-032</t>
        </is>
      </c>
      <c r="B36" s="35" t="n"/>
      <c r="C36" s="35" t="n"/>
      <c r="D36" s="35" t="n"/>
      <c r="E36" s="35" t="n"/>
      <c r="F36" s="38" t="n"/>
      <c r="G36" s="38" t="n"/>
      <c r="H36" s="33">
        <f>IF(OR(F36="",G36=""),"",G36-F36)</f>
        <v/>
      </c>
      <c r="I36" s="35" t="n"/>
      <c r="J36" s="35" t="n"/>
    </row>
    <row r="37">
      <c r="A37" s="33" t="inlineStr">
        <is>
          <t>D-033</t>
        </is>
      </c>
      <c r="B37" s="35" t="n"/>
      <c r="C37" s="35" t="n"/>
      <c r="D37" s="35" t="n"/>
      <c r="E37" s="35" t="n"/>
      <c r="F37" s="38" t="n"/>
      <c r="G37" s="38" t="n"/>
      <c r="H37" s="33">
        <f>IF(OR(F37="",G37=""),"",G37-F37)</f>
        <v/>
      </c>
      <c r="I37" s="35" t="n"/>
      <c r="J37" s="35" t="n"/>
    </row>
    <row r="38">
      <c r="A38" s="33" t="inlineStr">
        <is>
          <t>D-034</t>
        </is>
      </c>
      <c r="B38" s="35" t="n"/>
      <c r="C38" s="35" t="n"/>
      <c r="D38" s="35" t="n"/>
      <c r="E38" s="35" t="n"/>
      <c r="F38" s="38" t="n"/>
      <c r="G38" s="38" t="n"/>
      <c r="H38" s="33">
        <f>IF(OR(F38="",G38=""),"",G38-F38)</f>
        <v/>
      </c>
      <c r="I38" s="35" t="n"/>
      <c r="J38" s="35" t="n"/>
    </row>
    <row r="39">
      <c r="A39" s="33" t="inlineStr">
        <is>
          <t>D-035</t>
        </is>
      </c>
      <c r="B39" s="35" t="n"/>
      <c r="C39" s="35" t="n"/>
      <c r="D39" s="35" t="n"/>
      <c r="E39" s="35" t="n"/>
      <c r="F39" s="38" t="n"/>
      <c r="G39" s="38" t="n"/>
      <c r="H39" s="33">
        <f>IF(OR(F39="",G39=""),"",G39-F39)</f>
        <v/>
      </c>
      <c r="I39" s="35" t="n"/>
      <c r="J39" s="35" t="n"/>
    </row>
    <row r="40">
      <c r="A40" s="33" t="inlineStr">
        <is>
          <t>D-036</t>
        </is>
      </c>
      <c r="B40" s="35" t="n"/>
      <c r="C40" s="35" t="n"/>
      <c r="D40" s="35" t="n"/>
      <c r="E40" s="35" t="n"/>
      <c r="F40" s="38" t="n"/>
      <c r="G40" s="38" t="n"/>
      <c r="H40" s="33">
        <f>IF(OR(F40="",G40=""),"",G40-F40)</f>
        <v/>
      </c>
      <c r="I40" s="35" t="n"/>
      <c r="J40" s="35" t="n"/>
    </row>
    <row r="41">
      <c r="A41" s="33" t="inlineStr">
        <is>
          <t>D-037</t>
        </is>
      </c>
      <c r="B41" s="35" t="n"/>
      <c r="C41" s="35" t="n"/>
      <c r="D41" s="35" t="n"/>
      <c r="E41" s="35" t="n"/>
      <c r="F41" s="38" t="n"/>
      <c r="G41" s="38" t="n"/>
      <c r="H41" s="33">
        <f>IF(OR(F41="",G41=""),"",G41-F41)</f>
        <v/>
      </c>
      <c r="I41" s="35" t="n"/>
      <c r="J41" s="35" t="n"/>
    </row>
    <row r="42">
      <c r="A42" s="33" t="inlineStr">
        <is>
          <t>D-038</t>
        </is>
      </c>
      <c r="B42" s="35" t="n"/>
      <c r="C42" s="35" t="n"/>
      <c r="D42" s="35" t="n"/>
      <c r="E42" s="35" t="n"/>
      <c r="F42" s="38" t="n"/>
      <c r="G42" s="38" t="n"/>
      <c r="H42" s="33">
        <f>IF(OR(F42="",G42=""),"",G42-F42)</f>
        <v/>
      </c>
      <c r="I42" s="35" t="n"/>
      <c r="J42" s="35" t="n"/>
    </row>
    <row r="43">
      <c r="A43" s="33" t="inlineStr">
        <is>
          <t>D-039</t>
        </is>
      </c>
      <c r="B43" s="35" t="n"/>
      <c r="C43" s="35" t="n"/>
      <c r="D43" s="35" t="n"/>
      <c r="E43" s="35" t="n"/>
      <c r="F43" s="38" t="n"/>
      <c r="G43" s="38" t="n"/>
      <c r="H43" s="33">
        <f>IF(OR(F43="",G43=""),"",G43-F43)</f>
        <v/>
      </c>
      <c r="I43" s="35" t="n"/>
      <c r="J43" s="35" t="n"/>
    </row>
    <row r="44">
      <c r="A44" s="33" t="inlineStr">
        <is>
          <t>D-040</t>
        </is>
      </c>
      <c r="B44" s="35" t="n"/>
      <c r="C44" s="35" t="n"/>
      <c r="D44" s="35" t="n"/>
      <c r="E44" s="35" t="n"/>
      <c r="F44" s="38" t="n"/>
      <c r="G44" s="38" t="n"/>
      <c r="H44" s="33">
        <f>IF(OR(F44="",G44=""),"",G44-F44)</f>
        <v/>
      </c>
      <c r="I44" s="35" t="n"/>
      <c r="J44" s="35" t="n"/>
    </row>
    <row r="45">
      <c r="A45" s="33" t="inlineStr">
        <is>
          <t>D-041</t>
        </is>
      </c>
      <c r="B45" s="35" t="n"/>
      <c r="C45" s="35" t="n"/>
      <c r="D45" s="35" t="n"/>
      <c r="E45" s="35" t="n"/>
      <c r="F45" s="38" t="n"/>
      <c r="G45" s="38" t="n"/>
      <c r="H45" s="33">
        <f>IF(OR(F45="",G45=""),"",G45-F45)</f>
        <v/>
      </c>
      <c r="I45" s="35" t="n"/>
      <c r="J45" s="35" t="n"/>
    </row>
    <row r="46">
      <c r="A46" s="33" t="inlineStr">
        <is>
          <t>D-042</t>
        </is>
      </c>
      <c r="B46" s="35" t="n"/>
      <c r="C46" s="35" t="n"/>
      <c r="D46" s="35" t="n"/>
      <c r="E46" s="35" t="n"/>
      <c r="F46" s="38" t="n"/>
      <c r="G46" s="38" t="n"/>
      <c r="H46" s="33">
        <f>IF(OR(F46="",G46=""),"",G46-F46)</f>
        <v/>
      </c>
      <c r="I46" s="35" t="n"/>
      <c r="J46" s="35" t="n"/>
    </row>
    <row r="47">
      <c r="A47" s="33" t="inlineStr">
        <is>
          <t>D-043</t>
        </is>
      </c>
      <c r="B47" s="35" t="n"/>
      <c r="C47" s="35" t="n"/>
      <c r="D47" s="35" t="n"/>
      <c r="E47" s="35" t="n"/>
      <c r="F47" s="38" t="n"/>
      <c r="G47" s="38" t="n"/>
      <c r="H47" s="33">
        <f>IF(OR(F47="",G47=""),"",G47-F47)</f>
        <v/>
      </c>
      <c r="I47" s="35" t="n"/>
      <c r="J47" s="35" t="n"/>
    </row>
    <row r="48">
      <c r="A48" s="33" t="inlineStr">
        <is>
          <t>D-044</t>
        </is>
      </c>
      <c r="B48" s="35" t="n"/>
      <c r="C48" s="35" t="n"/>
      <c r="D48" s="35" t="n"/>
      <c r="E48" s="35" t="n"/>
      <c r="F48" s="38" t="n"/>
      <c r="G48" s="38" t="n"/>
      <c r="H48" s="33">
        <f>IF(OR(F48="",G48=""),"",G48-F48)</f>
        <v/>
      </c>
      <c r="I48" s="35" t="n"/>
      <c r="J48" s="35" t="n"/>
    </row>
    <row r="49">
      <c r="A49" s="33" t="inlineStr">
        <is>
          <t>D-045</t>
        </is>
      </c>
      <c r="B49" s="35" t="n"/>
      <c r="C49" s="35" t="n"/>
      <c r="D49" s="35" t="n"/>
      <c r="E49" s="35" t="n"/>
      <c r="F49" s="38" t="n"/>
      <c r="G49" s="38" t="n"/>
      <c r="H49" s="33">
        <f>IF(OR(F49="",G49=""),"",G49-F49)</f>
        <v/>
      </c>
      <c r="I49" s="35" t="n"/>
      <c r="J49" s="35" t="n"/>
    </row>
    <row r="50">
      <c r="A50" s="33" t="inlineStr">
        <is>
          <t>D-046</t>
        </is>
      </c>
      <c r="B50" s="35" t="n"/>
      <c r="C50" s="35" t="n"/>
      <c r="D50" s="35" t="n"/>
      <c r="E50" s="35" t="n"/>
      <c r="F50" s="38" t="n"/>
      <c r="G50" s="38" t="n"/>
      <c r="H50" s="33">
        <f>IF(OR(F50="",G50=""),"",G50-F50)</f>
        <v/>
      </c>
      <c r="I50" s="35" t="n"/>
      <c r="J50" s="35" t="n"/>
    </row>
    <row r="51">
      <c r="A51" s="33" t="inlineStr">
        <is>
          <t>D-047</t>
        </is>
      </c>
      <c r="B51" s="35" t="n"/>
      <c r="C51" s="35" t="n"/>
      <c r="D51" s="35" t="n"/>
      <c r="E51" s="35" t="n"/>
      <c r="F51" s="38" t="n"/>
      <c r="G51" s="38" t="n"/>
      <c r="H51" s="33">
        <f>IF(OR(F51="",G51=""),"",G51-F51)</f>
        <v/>
      </c>
      <c r="I51" s="35" t="n"/>
      <c r="J51" s="35" t="n"/>
    </row>
    <row r="52">
      <c r="A52" s="33" t="inlineStr">
        <is>
          <t>D-048</t>
        </is>
      </c>
      <c r="B52" s="35" t="n"/>
      <c r="C52" s="35" t="n"/>
      <c r="D52" s="35" t="n"/>
      <c r="E52" s="35" t="n"/>
      <c r="F52" s="38" t="n"/>
      <c r="G52" s="38" t="n"/>
      <c r="H52" s="33">
        <f>IF(OR(F52="",G52=""),"",G52-F52)</f>
        <v/>
      </c>
      <c r="I52" s="35" t="n"/>
      <c r="J52" s="35" t="n"/>
    </row>
    <row r="53">
      <c r="A53" s="33" t="inlineStr">
        <is>
          <t>D-049</t>
        </is>
      </c>
      <c r="B53" s="35" t="n"/>
      <c r="C53" s="35" t="n"/>
      <c r="D53" s="35" t="n"/>
      <c r="E53" s="35" t="n"/>
      <c r="F53" s="38" t="n"/>
      <c r="G53" s="38" t="n"/>
      <c r="H53" s="33">
        <f>IF(OR(F53="",G53=""),"",G53-F53)</f>
        <v/>
      </c>
      <c r="I53" s="35" t="n"/>
      <c r="J53" s="35" t="n"/>
    </row>
    <row r="54">
      <c r="A54" s="33" t="inlineStr">
        <is>
          <t>D-050</t>
        </is>
      </c>
      <c r="B54" s="35" t="n"/>
      <c r="C54" s="35" t="n"/>
      <c r="D54" s="35" t="n"/>
      <c r="E54" s="35" t="n"/>
      <c r="F54" s="38" t="n"/>
      <c r="G54" s="38" t="n"/>
      <c r="H54" s="33">
        <f>IF(OR(F54="",G54=""),"",G54-F54)</f>
        <v/>
      </c>
      <c r="I54" s="35" t="n"/>
      <c r="J54" s="35" t="n"/>
    </row>
    <row r="55">
      <c r="A55" s="33" t="inlineStr">
        <is>
          <t>D-051</t>
        </is>
      </c>
      <c r="B55" s="35" t="n"/>
      <c r="C55" s="35" t="n"/>
      <c r="D55" s="35" t="n"/>
      <c r="E55" s="35" t="n"/>
      <c r="F55" s="38" t="n"/>
      <c r="G55" s="38" t="n"/>
      <c r="H55" s="33">
        <f>IF(OR(F55="",G55=""),"",G55-F55)</f>
        <v/>
      </c>
      <c r="I55" s="35" t="n"/>
      <c r="J55" s="35" t="n"/>
    </row>
    <row r="56">
      <c r="A56" s="33" t="inlineStr">
        <is>
          <t>D-052</t>
        </is>
      </c>
      <c r="B56" s="35" t="n"/>
      <c r="C56" s="35" t="n"/>
      <c r="D56" s="35" t="n"/>
      <c r="E56" s="35" t="n"/>
      <c r="F56" s="38" t="n"/>
      <c r="G56" s="38" t="n"/>
      <c r="H56" s="33">
        <f>IF(OR(F56="",G56=""),"",G56-F56)</f>
        <v/>
      </c>
      <c r="I56" s="35" t="n"/>
      <c r="J56" s="35" t="n"/>
    </row>
    <row r="57">
      <c r="A57" s="33" t="inlineStr">
        <is>
          <t>D-053</t>
        </is>
      </c>
      <c r="B57" s="35" t="n"/>
      <c r="C57" s="35" t="n"/>
      <c r="D57" s="35" t="n"/>
      <c r="E57" s="35" t="n"/>
      <c r="F57" s="38" t="n"/>
      <c r="G57" s="38" t="n"/>
      <c r="H57" s="33">
        <f>IF(OR(F57="",G57=""),"",G57-F57)</f>
        <v/>
      </c>
      <c r="I57" s="35" t="n"/>
      <c r="J57" s="35" t="n"/>
    </row>
    <row r="58">
      <c r="A58" s="33" t="inlineStr">
        <is>
          <t>D-054</t>
        </is>
      </c>
      <c r="B58" s="35" t="n"/>
      <c r="C58" s="35" t="n"/>
      <c r="D58" s="35" t="n"/>
      <c r="E58" s="35" t="n"/>
      <c r="F58" s="38" t="n"/>
      <c r="G58" s="38" t="n"/>
      <c r="H58" s="33">
        <f>IF(OR(F58="",G58=""),"",G58-F58)</f>
        <v/>
      </c>
      <c r="I58" s="35" t="n"/>
      <c r="J58" s="35" t="n"/>
    </row>
    <row r="59">
      <c r="A59" s="33" t="inlineStr">
        <is>
          <t>D-055</t>
        </is>
      </c>
      <c r="B59" s="35" t="n"/>
      <c r="C59" s="35" t="n"/>
      <c r="D59" s="35" t="n"/>
      <c r="E59" s="35" t="n"/>
      <c r="F59" s="38" t="n"/>
      <c r="G59" s="38" t="n"/>
      <c r="H59" s="33">
        <f>IF(OR(F59="",G59=""),"",G59-F59)</f>
        <v/>
      </c>
      <c r="I59" s="35" t="n"/>
      <c r="J59" s="35" t="n"/>
    </row>
    <row r="60">
      <c r="A60" s="33" t="inlineStr">
        <is>
          <t>D-056</t>
        </is>
      </c>
      <c r="B60" s="35" t="n"/>
      <c r="C60" s="35" t="n"/>
      <c r="D60" s="35" t="n"/>
      <c r="E60" s="35" t="n"/>
      <c r="F60" s="38" t="n"/>
      <c r="G60" s="38" t="n"/>
      <c r="H60" s="33">
        <f>IF(OR(F60="",G60=""),"",G60-F60)</f>
        <v/>
      </c>
      <c r="I60" s="35" t="n"/>
      <c r="J60" s="35" t="n"/>
    </row>
    <row r="61">
      <c r="A61" s="33" t="inlineStr">
        <is>
          <t>D-057</t>
        </is>
      </c>
      <c r="B61" s="35" t="n"/>
      <c r="C61" s="35" t="n"/>
      <c r="D61" s="35" t="n"/>
      <c r="E61" s="35" t="n"/>
      <c r="F61" s="38" t="n"/>
      <c r="G61" s="38" t="n"/>
      <c r="H61" s="33">
        <f>IF(OR(F61="",G61=""),"",G61-F61)</f>
        <v/>
      </c>
      <c r="I61" s="35" t="n"/>
      <c r="J61" s="35" t="n"/>
    </row>
    <row r="62">
      <c r="A62" s="33" t="inlineStr">
        <is>
          <t>D-058</t>
        </is>
      </c>
      <c r="B62" s="35" t="n"/>
      <c r="C62" s="35" t="n"/>
      <c r="D62" s="35" t="n"/>
      <c r="E62" s="35" t="n"/>
      <c r="F62" s="38" t="n"/>
      <c r="G62" s="38" t="n"/>
      <c r="H62" s="33">
        <f>IF(OR(F62="",G62=""),"",G62-F62)</f>
        <v/>
      </c>
      <c r="I62" s="35" t="n"/>
      <c r="J62" s="35" t="n"/>
    </row>
    <row r="63">
      <c r="A63" s="33" t="inlineStr">
        <is>
          <t>D-059</t>
        </is>
      </c>
      <c r="B63" s="35" t="n"/>
      <c r="C63" s="35" t="n"/>
      <c r="D63" s="35" t="n"/>
      <c r="E63" s="35" t="n"/>
      <c r="F63" s="38" t="n"/>
      <c r="G63" s="38" t="n"/>
      <c r="H63" s="33">
        <f>IF(OR(F63="",G63=""),"",G63-F63)</f>
        <v/>
      </c>
      <c r="I63" s="35" t="n"/>
      <c r="J63" s="35" t="n"/>
    </row>
    <row r="64">
      <c r="A64" s="33" t="inlineStr">
        <is>
          <t>D-060</t>
        </is>
      </c>
      <c r="B64" s="35" t="n"/>
      <c r="C64" s="35" t="n"/>
      <c r="D64" s="35" t="n"/>
      <c r="E64" s="35" t="n"/>
      <c r="F64" s="38" t="n"/>
      <c r="G64" s="38" t="n"/>
      <c r="H64" s="33">
        <f>IF(OR(F64="",G64=""),"",G64-F64)</f>
        <v/>
      </c>
      <c r="I64" s="35" t="n"/>
      <c r="J64" s="35" t="n"/>
    </row>
    <row r="65">
      <c r="A65" s="33" t="inlineStr">
        <is>
          <t>D-061</t>
        </is>
      </c>
      <c r="B65" s="35" t="n"/>
      <c r="C65" s="35" t="n"/>
      <c r="D65" s="35" t="n"/>
      <c r="E65" s="35" t="n"/>
      <c r="F65" s="38" t="n"/>
      <c r="G65" s="38" t="n"/>
      <c r="H65" s="33">
        <f>IF(OR(F65="",G65=""),"",G65-F65)</f>
        <v/>
      </c>
      <c r="I65" s="35" t="n"/>
      <c r="J65" s="35" t="n"/>
    </row>
    <row r="66">
      <c r="A66" s="33" t="inlineStr">
        <is>
          <t>D-062</t>
        </is>
      </c>
      <c r="B66" s="35" t="n"/>
      <c r="C66" s="35" t="n"/>
      <c r="D66" s="35" t="n"/>
      <c r="E66" s="35" t="n"/>
      <c r="F66" s="38" t="n"/>
      <c r="G66" s="38" t="n"/>
      <c r="H66" s="33">
        <f>IF(OR(F66="",G66=""),"",G66-F66)</f>
        <v/>
      </c>
      <c r="I66" s="35" t="n"/>
      <c r="J66" s="35" t="n"/>
    </row>
    <row r="67">
      <c r="A67" s="33" t="inlineStr">
        <is>
          <t>D-063</t>
        </is>
      </c>
      <c r="B67" s="35" t="n"/>
      <c r="C67" s="35" t="n"/>
      <c r="D67" s="35" t="n"/>
      <c r="E67" s="35" t="n"/>
      <c r="F67" s="38" t="n"/>
      <c r="G67" s="38" t="n"/>
      <c r="H67" s="33">
        <f>IF(OR(F67="",G67=""),"",G67-F67)</f>
        <v/>
      </c>
      <c r="I67" s="35" t="n"/>
      <c r="J67" s="35" t="n"/>
    </row>
    <row r="68">
      <c r="A68" s="33" t="inlineStr">
        <is>
          <t>D-064</t>
        </is>
      </c>
      <c r="B68" s="35" t="n"/>
      <c r="C68" s="35" t="n"/>
      <c r="D68" s="35" t="n"/>
      <c r="E68" s="35" t="n"/>
      <c r="F68" s="38" t="n"/>
      <c r="G68" s="38" t="n"/>
      <c r="H68" s="33">
        <f>IF(OR(F68="",G68=""),"",G68-F68)</f>
        <v/>
      </c>
      <c r="I68" s="35" t="n"/>
      <c r="J68" s="35" t="n"/>
    </row>
    <row r="69">
      <c r="A69" s="33" t="inlineStr">
        <is>
          <t>D-065</t>
        </is>
      </c>
      <c r="B69" s="35" t="n"/>
      <c r="C69" s="35" t="n"/>
      <c r="D69" s="35" t="n"/>
      <c r="E69" s="35" t="n"/>
      <c r="F69" s="38" t="n"/>
      <c r="G69" s="38" t="n"/>
      <c r="H69" s="33">
        <f>IF(OR(F69="",G69=""),"",G69-F69)</f>
        <v/>
      </c>
      <c r="I69" s="35" t="n"/>
      <c r="J69" s="35" t="n"/>
    </row>
    <row r="70">
      <c r="A70" s="33" t="inlineStr">
        <is>
          <t>D-066</t>
        </is>
      </c>
      <c r="B70" s="35" t="n"/>
      <c r="C70" s="35" t="n"/>
      <c r="D70" s="35" t="n"/>
      <c r="E70" s="35" t="n"/>
      <c r="F70" s="38" t="n"/>
      <c r="G70" s="38" t="n"/>
      <c r="H70" s="33">
        <f>IF(OR(F70="",G70=""),"",G70-F70)</f>
        <v/>
      </c>
      <c r="I70" s="35" t="n"/>
      <c r="J70" s="35" t="n"/>
    </row>
    <row r="71">
      <c r="A71" s="33" t="inlineStr">
        <is>
          <t>D-067</t>
        </is>
      </c>
      <c r="B71" s="35" t="n"/>
      <c r="C71" s="35" t="n"/>
      <c r="D71" s="35" t="n"/>
      <c r="E71" s="35" t="n"/>
      <c r="F71" s="38" t="n"/>
      <c r="G71" s="38" t="n"/>
      <c r="H71" s="33">
        <f>IF(OR(F71="",G71=""),"",G71-F71)</f>
        <v/>
      </c>
      <c r="I71" s="35" t="n"/>
      <c r="J71" s="35" t="n"/>
    </row>
    <row r="72">
      <c r="A72" s="33" t="inlineStr">
        <is>
          <t>D-068</t>
        </is>
      </c>
      <c r="B72" s="35" t="n"/>
      <c r="C72" s="35" t="n"/>
      <c r="D72" s="35" t="n"/>
      <c r="E72" s="35" t="n"/>
      <c r="F72" s="38" t="n"/>
      <c r="G72" s="38" t="n"/>
      <c r="H72" s="33">
        <f>IF(OR(F72="",G72=""),"",G72-F72)</f>
        <v/>
      </c>
      <c r="I72" s="35" t="n"/>
      <c r="J72" s="35" t="n"/>
    </row>
    <row r="73">
      <c r="A73" s="33" t="inlineStr">
        <is>
          <t>D-069</t>
        </is>
      </c>
      <c r="B73" s="35" t="n"/>
      <c r="C73" s="35" t="n"/>
      <c r="D73" s="35" t="n"/>
      <c r="E73" s="35" t="n"/>
      <c r="F73" s="38" t="n"/>
      <c r="G73" s="38" t="n"/>
      <c r="H73" s="33">
        <f>IF(OR(F73="",G73=""),"",G73-F73)</f>
        <v/>
      </c>
      <c r="I73" s="35" t="n"/>
      <c r="J73" s="35" t="n"/>
    </row>
    <row r="74">
      <c r="A74" s="33" t="inlineStr">
        <is>
          <t>D-070</t>
        </is>
      </c>
      <c r="B74" s="35" t="n"/>
      <c r="C74" s="35" t="n"/>
      <c r="D74" s="35" t="n"/>
      <c r="E74" s="35" t="n"/>
      <c r="F74" s="38" t="n"/>
      <c r="G74" s="38" t="n"/>
      <c r="H74" s="33">
        <f>IF(OR(F74="",G74=""),"",G74-F74)</f>
        <v/>
      </c>
      <c r="I74" s="35" t="n"/>
      <c r="J74" s="35" t="n"/>
    </row>
    <row r="75">
      <c r="A75" s="33" t="inlineStr">
        <is>
          <t>D-071</t>
        </is>
      </c>
      <c r="B75" s="35" t="n"/>
      <c r="C75" s="35" t="n"/>
      <c r="D75" s="35" t="n"/>
      <c r="E75" s="35" t="n"/>
      <c r="F75" s="38" t="n"/>
      <c r="G75" s="38" t="n"/>
      <c r="H75" s="33">
        <f>IF(OR(F75="",G75=""),"",G75-F75)</f>
        <v/>
      </c>
      <c r="I75" s="35" t="n"/>
      <c r="J75" s="35" t="n"/>
    </row>
    <row r="76">
      <c r="A76" s="33" t="inlineStr">
        <is>
          <t>D-072</t>
        </is>
      </c>
      <c r="B76" s="35" t="n"/>
      <c r="C76" s="35" t="n"/>
      <c r="D76" s="35" t="n"/>
      <c r="E76" s="35" t="n"/>
      <c r="F76" s="38" t="n"/>
      <c r="G76" s="38" t="n"/>
      <c r="H76" s="33">
        <f>IF(OR(F76="",G76=""),"",G76-F76)</f>
        <v/>
      </c>
      <c r="I76" s="35" t="n"/>
      <c r="J76" s="35" t="n"/>
    </row>
    <row r="77">
      <c r="A77" s="33" t="inlineStr">
        <is>
          <t>D-073</t>
        </is>
      </c>
      <c r="B77" s="35" t="n"/>
      <c r="C77" s="35" t="n"/>
      <c r="D77" s="35" t="n"/>
      <c r="E77" s="35" t="n"/>
      <c r="F77" s="38" t="n"/>
      <c r="G77" s="38" t="n"/>
      <c r="H77" s="33">
        <f>IF(OR(F77="",G77=""),"",G77-F77)</f>
        <v/>
      </c>
      <c r="I77" s="35" t="n"/>
      <c r="J77" s="35" t="n"/>
    </row>
    <row r="78">
      <c r="A78" s="33" t="inlineStr">
        <is>
          <t>D-074</t>
        </is>
      </c>
      <c r="B78" s="35" t="n"/>
      <c r="C78" s="35" t="n"/>
      <c r="D78" s="35" t="n"/>
      <c r="E78" s="35" t="n"/>
      <c r="F78" s="38" t="n"/>
      <c r="G78" s="38" t="n"/>
      <c r="H78" s="33">
        <f>IF(OR(F78="",G78=""),"",G78-F78)</f>
        <v/>
      </c>
      <c r="I78" s="35" t="n"/>
      <c r="J78" s="35" t="n"/>
    </row>
    <row r="79">
      <c r="A79" s="33" t="inlineStr">
        <is>
          <t>D-075</t>
        </is>
      </c>
      <c r="B79" s="35" t="n"/>
      <c r="C79" s="35" t="n"/>
      <c r="D79" s="35" t="n"/>
      <c r="E79" s="35" t="n"/>
      <c r="F79" s="38" t="n"/>
      <c r="G79" s="38" t="n"/>
      <c r="H79" s="33">
        <f>IF(OR(F79="",G79=""),"",G79-F79)</f>
        <v/>
      </c>
      <c r="I79" s="35" t="n"/>
      <c r="J79" s="35" t="n"/>
    </row>
    <row r="80">
      <c r="A80" s="33" t="inlineStr">
        <is>
          <t>D-076</t>
        </is>
      </c>
      <c r="B80" s="35" t="n"/>
      <c r="C80" s="35" t="n"/>
      <c r="D80" s="35" t="n"/>
      <c r="E80" s="35" t="n"/>
      <c r="F80" s="38" t="n"/>
      <c r="G80" s="38" t="n"/>
      <c r="H80" s="33">
        <f>IF(OR(F80="",G80=""),"",G80-F80)</f>
        <v/>
      </c>
      <c r="I80" s="35" t="n"/>
      <c r="J80" s="35" t="n"/>
    </row>
    <row r="81">
      <c r="A81" s="33" t="inlineStr">
        <is>
          <t>D-077</t>
        </is>
      </c>
      <c r="B81" s="35" t="n"/>
      <c r="C81" s="35" t="n"/>
      <c r="D81" s="35" t="n"/>
      <c r="E81" s="35" t="n"/>
      <c r="F81" s="38" t="n"/>
      <c r="G81" s="38" t="n"/>
      <c r="H81" s="33">
        <f>IF(OR(F81="",G81=""),"",G81-F81)</f>
        <v/>
      </c>
      <c r="I81" s="35" t="n"/>
      <c r="J81" s="35" t="n"/>
    </row>
    <row r="82">
      <c r="A82" s="33" t="inlineStr">
        <is>
          <t>D-078</t>
        </is>
      </c>
      <c r="B82" s="35" t="n"/>
      <c r="C82" s="35" t="n"/>
      <c r="D82" s="35" t="n"/>
      <c r="E82" s="35" t="n"/>
      <c r="F82" s="38" t="n"/>
      <c r="G82" s="38" t="n"/>
      <c r="H82" s="33">
        <f>IF(OR(F82="",G82=""),"",G82-F82)</f>
        <v/>
      </c>
      <c r="I82" s="35" t="n"/>
      <c r="J82" s="35" t="n"/>
    </row>
    <row r="83">
      <c r="A83" s="33" t="inlineStr">
        <is>
          <t>D-079</t>
        </is>
      </c>
      <c r="B83" s="35" t="n"/>
      <c r="C83" s="35" t="n"/>
      <c r="D83" s="35" t="n"/>
      <c r="E83" s="35" t="n"/>
      <c r="F83" s="38" t="n"/>
      <c r="G83" s="38" t="n"/>
      <c r="H83" s="33">
        <f>IF(OR(F83="",G83=""),"",G83-F83)</f>
        <v/>
      </c>
      <c r="I83" s="35" t="n"/>
      <c r="J83" s="35" t="n"/>
    </row>
    <row r="84">
      <c r="A84" s="33" t="inlineStr">
        <is>
          <t>D-080</t>
        </is>
      </c>
      <c r="B84" s="35" t="n"/>
      <c r="C84" s="35" t="n"/>
      <c r="D84" s="35" t="n"/>
      <c r="E84" s="35" t="n"/>
      <c r="F84" s="38" t="n"/>
      <c r="G84" s="38" t="n"/>
      <c r="H84" s="33">
        <f>IF(OR(F84="",G84=""),"",G84-F84)</f>
        <v/>
      </c>
      <c r="I84" s="35" t="n"/>
      <c r="J84" s="35" t="n"/>
    </row>
    <row r="85">
      <c r="A85" s="33" t="inlineStr">
        <is>
          <t>D-081</t>
        </is>
      </c>
      <c r="B85" s="35" t="n"/>
      <c r="C85" s="35" t="n"/>
      <c r="D85" s="35" t="n"/>
      <c r="E85" s="35" t="n"/>
      <c r="F85" s="38" t="n"/>
      <c r="G85" s="38" t="n"/>
      <c r="H85" s="33">
        <f>IF(OR(F85="",G85=""),"",G85-F85)</f>
        <v/>
      </c>
      <c r="I85" s="35" t="n"/>
      <c r="J85" s="35" t="n"/>
    </row>
    <row r="86">
      <c r="A86" s="33" t="inlineStr">
        <is>
          <t>D-082</t>
        </is>
      </c>
      <c r="B86" s="35" t="n"/>
      <c r="C86" s="35" t="n"/>
      <c r="D86" s="35" t="n"/>
      <c r="E86" s="35" t="n"/>
      <c r="F86" s="38" t="n"/>
      <c r="G86" s="38" t="n"/>
      <c r="H86" s="33">
        <f>IF(OR(F86="",G86=""),"",G86-F86)</f>
        <v/>
      </c>
      <c r="I86" s="35" t="n"/>
      <c r="J86" s="35" t="n"/>
    </row>
    <row r="87">
      <c r="A87" s="33" t="inlineStr">
        <is>
          <t>D-083</t>
        </is>
      </c>
      <c r="B87" s="35" t="n"/>
      <c r="C87" s="35" t="n"/>
      <c r="D87" s="35" t="n"/>
      <c r="E87" s="35" t="n"/>
      <c r="F87" s="38" t="n"/>
      <c r="G87" s="38" t="n"/>
      <c r="H87" s="33">
        <f>IF(OR(F87="",G87=""),"",G87-F87)</f>
        <v/>
      </c>
      <c r="I87" s="35" t="n"/>
      <c r="J87" s="35" t="n"/>
    </row>
    <row r="88">
      <c r="A88" s="33" t="inlineStr">
        <is>
          <t>D-084</t>
        </is>
      </c>
      <c r="B88" s="35" t="n"/>
      <c r="C88" s="35" t="n"/>
      <c r="D88" s="35" t="n"/>
      <c r="E88" s="35" t="n"/>
      <c r="F88" s="38" t="n"/>
      <c r="G88" s="38" t="n"/>
      <c r="H88" s="33">
        <f>IF(OR(F88="",G88=""),"",G88-F88)</f>
        <v/>
      </c>
      <c r="I88" s="35" t="n"/>
      <c r="J88" s="35" t="n"/>
    </row>
    <row r="89">
      <c r="A89" s="33" t="inlineStr">
        <is>
          <t>D-085</t>
        </is>
      </c>
      <c r="B89" s="35" t="n"/>
      <c r="C89" s="35" t="n"/>
      <c r="D89" s="35" t="n"/>
      <c r="E89" s="35" t="n"/>
      <c r="F89" s="38" t="n"/>
      <c r="G89" s="38" t="n"/>
      <c r="H89" s="33">
        <f>IF(OR(F89="",G89=""),"",G89-F89)</f>
        <v/>
      </c>
      <c r="I89" s="35" t="n"/>
      <c r="J89" s="35" t="n"/>
    </row>
    <row r="90">
      <c r="A90" s="33" t="inlineStr">
        <is>
          <t>D-086</t>
        </is>
      </c>
      <c r="B90" s="35" t="n"/>
      <c r="C90" s="35" t="n"/>
      <c r="D90" s="35" t="n"/>
      <c r="E90" s="35" t="n"/>
      <c r="F90" s="38" t="n"/>
      <c r="G90" s="38" t="n"/>
      <c r="H90" s="33">
        <f>IF(OR(F90="",G90=""),"",G90-F90)</f>
        <v/>
      </c>
      <c r="I90" s="35" t="n"/>
      <c r="J90" s="35" t="n"/>
    </row>
    <row r="91">
      <c r="A91" s="33" t="inlineStr">
        <is>
          <t>D-087</t>
        </is>
      </c>
      <c r="B91" s="35" t="n"/>
      <c r="C91" s="35" t="n"/>
      <c r="D91" s="35" t="n"/>
      <c r="E91" s="35" t="n"/>
      <c r="F91" s="38" t="n"/>
      <c r="G91" s="38" t="n"/>
      <c r="H91" s="33">
        <f>IF(OR(F91="",G91=""),"",G91-F91)</f>
        <v/>
      </c>
      <c r="I91" s="35" t="n"/>
      <c r="J91" s="35" t="n"/>
    </row>
    <row r="92">
      <c r="A92" s="33" t="inlineStr">
        <is>
          <t>D-088</t>
        </is>
      </c>
      <c r="B92" s="35" t="n"/>
      <c r="C92" s="35" t="n"/>
      <c r="D92" s="35" t="n"/>
      <c r="E92" s="35" t="n"/>
      <c r="F92" s="38" t="n"/>
      <c r="G92" s="38" t="n"/>
      <c r="H92" s="33">
        <f>IF(OR(F92="",G92=""),"",G92-F92)</f>
        <v/>
      </c>
      <c r="I92" s="35" t="n"/>
      <c r="J92" s="35" t="n"/>
    </row>
    <row r="93">
      <c r="A93" s="33" t="inlineStr">
        <is>
          <t>D-089</t>
        </is>
      </c>
      <c r="B93" s="35" t="n"/>
      <c r="C93" s="35" t="n"/>
      <c r="D93" s="35" t="n"/>
      <c r="E93" s="35" t="n"/>
      <c r="F93" s="38" t="n"/>
      <c r="G93" s="38" t="n"/>
      <c r="H93" s="33">
        <f>IF(OR(F93="",G93=""),"",G93-F93)</f>
        <v/>
      </c>
      <c r="I93" s="35" t="n"/>
      <c r="J93" s="35" t="n"/>
    </row>
    <row r="94">
      <c r="A94" s="33" t="inlineStr">
        <is>
          <t>D-090</t>
        </is>
      </c>
      <c r="B94" s="35" t="n"/>
      <c r="C94" s="35" t="n"/>
      <c r="D94" s="35" t="n"/>
      <c r="E94" s="35" t="n"/>
      <c r="F94" s="38" t="n"/>
      <c r="G94" s="38" t="n"/>
      <c r="H94" s="33">
        <f>IF(OR(F94="",G94=""),"",G94-F94)</f>
        <v/>
      </c>
      <c r="I94" s="35" t="n"/>
      <c r="J94" s="35" t="n"/>
    </row>
    <row r="95">
      <c r="A95" s="33" t="inlineStr">
        <is>
          <t>D-091</t>
        </is>
      </c>
      <c r="B95" s="35" t="n"/>
      <c r="C95" s="35" t="n"/>
      <c r="D95" s="35" t="n"/>
      <c r="E95" s="35" t="n"/>
      <c r="F95" s="38" t="n"/>
      <c r="G95" s="38" t="n"/>
      <c r="H95" s="33">
        <f>IF(OR(F95="",G95=""),"",G95-F95)</f>
        <v/>
      </c>
      <c r="I95" s="35" t="n"/>
      <c r="J95" s="35" t="n"/>
    </row>
    <row r="96">
      <c r="A96" s="33" t="inlineStr">
        <is>
          <t>D-092</t>
        </is>
      </c>
      <c r="B96" s="35" t="n"/>
      <c r="C96" s="35" t="n"/>
      <c r="D96" s="35" t="n"/>
      <c r="E96" s="35" t="n"/>
      <c r="F96" s="38" t="n"/>
      <c r="G96" s="38" t="n"/>
      <c r="H96" s="33">
        <f>IF(OR(F96="",G96=""),"",G96-F96)</f>
        <v/>
      </c>
      <c r="I96" s="35" t="n"/>
      <c r="J96" s="35" t="n"/>
    </row>
    <row r="97">
      <c r="A97" s="33" t="inlineStr">
        <is>
          <t>D-093</t>
        </is>
      </c>
      <c r="B97" s="35" t="n"/>
      <c r="C97" s="35" t="n"/>
      <c r="D97" s="35" t="n"/>
      <c r="E97" s="35" t="n"/>
      <c r="F97" s="38" t="n"/>
      <c r="G97" s="38" t="n"/>
      <c r="H97" s="33">
        <f>IF(OR(F97="",G97=""),"",G97-F97)</f>
        <v/>
      </c>
      <c r="I97" s="35" t="n"/>
      <c r="J97" s="35" t="n"/>
    </row>
    <row r="98">
      <c r="A98" s="33" t="inlineStr">
        <is>
          <t>D-094</t>
        </is>
      </c>
      <c r="B98" s="35" t="n"/>
      <c r="C98" s="35" t="n"/>
      <c r="D98" s="35" t="n"/>
      <c r="E98" s="35" t="n"/>
      <c r="F98" s="38" t="n"/>
      <c r="G98" s="38" t="n"/>
      <c r="H98" s="33">
        <f>IF(OR(F98="",G98=""),"",G98-F98)</f>
        <v/>
      </c>
      <c r="I98" s="35" t="n"/>
      <c r="J98" s="35" t="n"/>
    </row>
    <row r="99">
      <c r="A99" s="33" t="inlineStr">
        <is>
          <t>D-095</t>
        </is>
      </c>
      <c r="B99" s="35" t="n"/>
      <c r="C99" s="35" t="n"/>
      <c r="D99" s="35" t="n"/>
      <c r="E99" s="35" t="n"/>
      <c r="F99" s="38" t="n"/>
      <c r="G99" s="38" t="n"/>
      <c r="H99" s="33">
        <f>IF(OR(F99="",G99=""),"",G99-F99)</f>
        <v/>
      </c>
      <c r="I99" s="35" t="n"/>
      <c r="J99" s="35" t="n"/>
    </row>
    <row r="100">
      <c r="A100" s="33" t="inlineStr">
        <is>
          <t>D-096</t>
        </is>
      </c>
      <c r="B100" s="35" t="n"/>
      <c r="C100" s="35" t="n"/>
      <c r="D100" s="35" t="n"/>
      <c r="E100" s="35" t="n"/>
      <c r="F100" s="38" t="n"/>
      <c r="G100" s="38" t="n"/>
      <c r="H100" s="33">
        <f>IF(OR(F100="",G100=""),"",G100-F100)</f>
        <v/>
      </c>
      <c r="I100" s="35" t="n"/>
      <c r="J100" s="35" t="n"/>
    </row>
    <row r="101">
      <c r="A101" s="33" t="inlineStr">
        <is>
          <t>D-097</t>
        </is>
      </c>
      <c r="B101" s="35" t="n"/>
      <c r="C101" s="35" t="n"/>
      <c r="D101" s="35" t="n"/>
      <c r="E101" s="35" t="n"/>
      <c r="F101" s="38" t="n"/>
      <c r="G101" s="38" t="n"/>
      <c r="H101" s="33">
        <f>IF(OR(F101="",G101=""),"",G101-F101)</f>
        <v/>
      </c>
      <c r="I101" s="35" t="n"/>
      <c r="J101" s="35" t="n"/>
    </row>
    <row r="102">
      <c r="A102" s="33" t="inlineStr">
        <is>
          <t>D-098</t>
        </is>
      </c>
      <c r="B102" s="35" t="n"/>
      <c r="C102" s="35" t="n"/>
      <c r="D102" s="35" t="n"/>
      <c r="E102" s="35" t="n"/>
      <c r="F102" s="38" t="n"/>
      <c r="G102" s="38" t="n"/>
      <c r="H102" s="33">
        <f>IF(OR(F102="",G102=""),"",G102-F102)</f>
        <v/>
      </c>
      <c r="I102" s="35" t="n"/>
      <c r="J102" s="35" t="n"/>
    </row>
    <row r="103">
      <c r="A103" s="33" t="inlineStr">
        <is>
          <t>D-099</t>
        </is>
      </c>
      <c r="B103" s="35" t="n"/>
      <c r="C103" s="35" t="n"/>
      <c r="D103" s="35" t="n"/>
      <c r="E103" s="35" t="n"/>
      <c r="F103" s="38" t="n"/>
      <c r="G103" s="38" t="n"/>
      <c r="H103" s="33">
        <f>IF(OR(F103="",G103=""),"",G103-F103)</f>
        <v/>
      </c>
      <c r="I103" s="35" t="n"/>
      <c r="J103" s="35" t="n"/>
    </row>
    <row r="104">
      <c r="A104" s="33" t="inlineStr">
        <is>
          <t>D-100</t>
        </is>
      </c>
      <c r="B104" s="35" t="n"/>
      <c r="C104" s="35" t="n"/>
      <c r="D104" s="35" t="n"/>
      <c r="E104" s="35" t="n"/>
      <c r="F104" s="38" t="n"/>
      <c r="G104" s="38" t="n"/>
      <c r="H104" s="33">
        <f>IF(OR(F104="",G104=""),"",G104-F104)</f>
        <v/>
      </c>
      <c r="I104" s="35" t="n"/>
      <c r="J104" s="35" t="n"/>
    </row>
    <row r="105">
      <c r="A105" s="33" t="inlineStr">
        <is>
          <t>D-101</t>
        </is>
      </c>
      <c r="B105" s="35" t="n"/>
      <c r="C105" s="35" t="n"/>
      <c r="D105" s="35" t="n"/>
      <c r="E105" s="35" t="n"/>
      <c r="F105" s="38" t="n"/>
      <c r="G105" s="38" t="n"/>
      <c r="H105" s="33">
        <f>IF(OR(F105="",G105=""),"",G105-F105)</f>
        <v/>
      </c>
      <c r="I105" s="35" t="n"/>
      <c r="J105" s="35" t="n"/>
    </row>
    <row r="106">
      <c r="A106" s="33" t="inlineStr">
        <is>
          <t>D-102</t>
        </is>
      </c>
      <c r="B106" s="35" t="n"/>
      <c r="C106" s="35" t="n"/>
      <c r="D106" s="35" t="n"/>
      <c r="E106" s="35" t="n"/>
      <c r="F106" s="38" t="n"/>
      <c r="G106" s="38" t="n"/>
      <c r="H106" s="33">
        <f>IF(OR(F106="",G106=""),"",G106-F106)</f>
        <v/>
      </c>
      <c r="I106" s="35" t="n"/>
      <c r="J106" s="35" t="n"/>
    </row>
    <row r="107">
      <c r="A107" s="33" t="inlineStr">
        <is>
          <t>D-103</t>
        </is>
      </c>
      <c r="B107" s="35" t="n"/>
      <c r="C107" s="35" t="n"/>
      <c r="D107" s="35" t="n"/>
      <c r="E107" s="35" t="n"/>
      <c r="F107" s="38" t="n"/>
      <c r="G107" s="38" t="n"/>
      <c r="H107" s="33">
        <f>IF(OR(F107="",G107=""),"",G107-F107)</f>
        <v/>
      </c>
      <c r="I107" s="35" t="n"/>
      <c r="J107" s="35" t="n"/>
    </row>
    <row r="108">
      <c r="A108" s="33" t="inlineStr">
        <is>
          <t>D-104</t>
        </is>
      </c>
      <c r="B108" s="35" t="n"/>
      <c r="C108" s="35" t="n"/>
      <c r="D108" s="35" t="n"/>
      <c r="E108" s="35" t="n"/>
      <c r="F108" s="38" t="n"/>
      <c r="G108" s="38" t="n"/>
      <c r="H108" s="33">
        <f>IF(OR(F108="",G108=""),"",G108-F108)</f>
        <v/>
      </c>
      <c r="I108" s="35" t="n"/>
      <c r="J108" s="35" t="n"/>
    </row>
    <row r="109">
      <c r="A109" s="33" t="inlineStr">
        <is>
          <t>D-105</t>
        </is>
      </c>
      <c r="B109" s="35" t="n"/>
      <c r="C109" s="35" t="n"/>
      <c r="D109" s="35" t="n"/>
      <c r="E109" s="35" t="n"/>
      <c r="F109" s="38" t="n"/>
      <c r="G109" s="38" t="n"/>
      <c r="H109" s="33">
        <f>IF(OR(F109="",G109=""),"",G109-F109)</f>
        <v/>
      </c>
      <c r="I109" s="35" t="n"/>
      <c r="J109" s="35" t="n"/>
    </row>
    <row r="110">
      <c r="A110" s="33" t="inlineStr">
        <is>
          <t>D-106</t>
        </is>
      </c>
      <c r="B110" s="35" t="n"/>
      <c r="C110" s="35" t="n"/>
      <c r="D110" s="35" t="n"/>
      <c r="E110" s="35" t="n"/>
      <c r="F110" s="38" t="n"/>
      <c r="G110" s="38" t="n"/>
      <c r="H110" s="33">
        <f>IF(OR(F110="",G110=""),"",G110-F110)</f>
        <v/>
      </c>
      <c r="I110" s="35" t="n"/>
      <c r="J110" s="35" t="n"/>
    </row>
    <row r="111">
      <c r="A111" s="33" t="inlineStr">
        <is>
          <t>D-107</t>
        </is>
      </c>
      <c r="B111" s="35" t="n"/>
      <c r="C111" s="35" t="n"/>
      <c r="D111" s="35" t="n"/>
      <c r="E111" s="35" t="n"/>
      <c r="F111" s="38" t="n"/>
      <c r="G111" s="38" t="n"/>
      <c r="H111" s="33">
        <f>IF(OR(F111="",G111=""),"",G111-F111)</f>
        <v/>
      </c>
      <c r="I111" s="35" t="n"/>
      <c r="J111" s="35" t="n"/>
    </row>
    <row r="112">
      <c r="A112" s="33" t="inlineStr">
        <is>
          <t>D-108</t>
        </is>
      </c>
      <c r="B112" s="35" t="n"/>
      <c r="C112" s="35" t="n"/>
      <c r="D112" s="35" t="n"/>
      <c r="E112" s="35" t="n"/>
      <c r="F112" s="38" t="n"/>
      <c r="G112" s="38" t="n"/>
      <c r="H112" s="33">
        <f>IF(OR(F112="",G112=""),"",G112-F112)</f>
        <v/>
      </c>
      <c r="I112" s="35" t="n"/>
      <c r="J112" s="35" t="n"/>
    </row>
    <row r="113">
      <c r="A113" s="33" t="inlineStr">
        <is>
          <t>D-109</t>
        </is>
      </c>
      <c r="B113" s="35" t="n"/>
      <c r="C113" s="35" t="n"/>
      <c r="D113" s="35" t="n"/>
      <c r="E113" s="35" t="n"/>
      <c r="F113" s="38" t="n"/>
      <c r="G113" s="38" t="n"/>
      <c r="H113" s="33">
        <f>IF(OR(F113="",G113=""),"",G113-F113)</f>
        <v/>
      </c>
      <c r="I113" s="35" t="n"/>
      <c r="J113" s="35" t="n"/>
    </row>
    <row r="114">
      <c r="A114" s="33" t="inlineStr">
        <is>
          <t>D-110</t>
        </is>
      </c>
      <c r="B114" s="35" t="n"/>
      <c r="C114" s="35" t="n"/>
      <c r="D114" s="35" t="n"/>
      <c r="E114" s="35" t="n"/>
      <c r="F114" s="38" t="n"/>
      <c r="G114" s="38" t="n"/>
      <c r="H114" s="33">
        <f>IF(OR(F114="",G114=""),"",G114-F114)</f>
        <v/>
      </c>
      <c r="I114" s="35" t="n"/>
      <c r="J114" s="35" t="n"/>
    </row>
    <row r="115">
      <c r="A115" s="33" t="inlineStr">
        <is>
          <t>D-111</t>
        </is>
      </c>
      <c r="B115" s="35" t="n"/>
      <c r="C115" s="35" t="n"/>
      <c r="D115" s="35" t="n"/>
      <c r="E115" s="35" t="n"/>
      <c r="F115" s="38" t="n"/>
      <c r="G115" s="38" t="n"/>
      <c r="H115" s="33">
        <f>IF(OR(F115="",G115=""),"",G115-F115)</f>
        <v/>
      </c>
      <c r="I115" s="35" t="n"/>
      <c r="J115" s="35" t="n"/>
    </row>
    <row r="116">
      <c r="A116" s="33" t="inlineStr">
        <is>
          <t>D-112</t>
        </is>
      </c>
      <c r="B116" s="35" t="n"/>
      <c r="C116" s="35" t="n"/>
      <c r="D116" s="35" t="n"/>
      <c r="E116" s="35" t="n"/>
      <c r="F116" s="38" t="n"/>
      <c r="G116" s="38" t="n"/>
      <c r="H116" s="33">
        <f>IF(OR(F116="",G116=""),"",G116-F116)</f>
        <v/>
      </c>
      <c r="I116" s="35" t="n"/>
      <c r="J116" s="35" t="n"/>
    </row>
    <row r="117">
      <c r="A117" s="33" t="inlineStr">
        <is>
          <t>D-113</t>
        </is>
      </c>
      <c r="B117" s="35" t="n"/>
      <c r="C117" s="35" t="n"/>
      <c r="D117" s="35" t="n"/>
      <c r="E117" s="35" t="n"/>
      <c r="F117" s="38" t="n"/>
      <c r="G117" s="38" t="n"/>
      <c r="H117" s="33">
        <f>IF(OR(F117="",G117=""),"",G117-F117)</f>
        <v/>
      </c>
      <c r="I117" s="35" t="n"/>
      <c r="J117" s="35" t="n"/>
    </row>
    <row r="118">
      <c r="A118" s="33" t="inlineStr">
        <is>
          <t>D-114</t>
        </is>
      </c>
      <c r="B118" s="35" t="n"/>
      <c r="C118" s="35" t="n"/>
      <c r="D118" s="35" t="n"/>
      <c r="E118" s="35" t="n"/>
      <c r="F118" s="38" t="n"/>
      <c r="G118" s="38" t="n"/>
      <c r="H118" s="33">
        <f>IF(OR(F118="",G118=""),"",G118-F118)</f>
        <v/>
      </c>
      <c r="I118" s="35" t="n"/>
      <c r="J118" s="35" t="n"/>
    </row>
    <row r="119">
      <c r="A119" s="33" t="inlineStr">
        <is>
          <t>D-115</t>
        </is>
      </c>
      <c r="B119" s="35" t="n"/>
      <c r="C119" s="35" t="n"/>
      <c r="D119" s="35" t="n"/>
      <c r="E119" s="35" t="n"/>
      <c r="F119" s="38" t="n"/>
      <c r="G119" s="38" t="n"/>
      <c r="H119" s="33">
        <f>IF(OR(F119="",G119=""),"",G119-F119)</f>
        <v/>
      </c>
      <c r="I119" s="35" t="n"/>
      <c r="J119" s="35" t="n"/>
    </row>
    <row r="120">
      <c r="A120" s="33" t="inlineStr">
        <is>
          <t>D-116</t>
        </is>
      </c>
      <c r="B120" s="35" t="n"/>
      <c r="C120" s="35" t="n"/>
      <c r="D120" s="35" t="n"/>
      <c r="E120" s="35" t="n"/>
      <c r="F120" s="38" t="n"/>
      <c r="G120" s="38" t="n"/>
      <c r="H120" s="33">
        <f>IF(OR(F120="",G120=""),"",G120-F120)</f>
        <v/>
      </c>
      <c r="I120" s="35" t="n"/>
      <c r="J120" s="35" t="n"/>
    </row>
    <row r="121">
      <c r="A121" s="33" t="inlineStr">
        <is>
          <t>D-117</t>
        </is>
      </c>
      <c r="B121" s="35" t="n"/>
      <c r="C121" s="35" t="n"/>
      <c r="D121" s="35" t="n"/>
      <c r="E121" s="35" t="n"/>
      <c r="F121" s="38" t="n"/>
      <c r="G121" s="38" t="n"/>
      <c r="H121" s="33">
        <f>IF(OR(F121="",G121=""),"",G121-F121)</f>
        <v/>
      </c>
      <c r="I121" s="35" t="n"/>
      <c r="J121" s="35" t="n"/>
    </row>
    <row r="122">
      <c r="A122" s="33" t="inlineStr">
        <is>
          <t>D-118</t>
        </is>
      </c>
      <c r="B122" s="35" t="n"/>
      <c r="C122" s="35" t="n"/>
      <c r="D122" s="35" t="n"/>
      <c r="E122" s="35" t="n"/>
      <c r="F122" s="38" t="n"/>
      <c r="G122" s="38" t="n"/>
      <c r="H122" s="33">
        <f>IF(OR(F122="",G122=""),"",G122-F122)</f>
        <v/>
      </c>
      <c r="I122" s="35" t="n"/>
      <c r="J122" s="35" t="n"/>
    </row>
    <row r="123">
      <c r="A123" s="33" t="inlineStr">
        <is>
          <t>D-119</t>
        </is>
      </c>
      <c r="B123" s="35" t="n"/>
      <c r="C123" s="35" t="n"/>
      <c r="D123" s="35" t="n"/>
      <c r="E123" s="35" t="n"/>
      <c r="F123" s="38" t="n"/>
      <c r="G123" s="38" t="n"/>
      <c r="H123" s="33">
        <f>IF(OR(F123="",G123=""),"",G123-F123)</f>
        <v/>
      </c>
      <c r="I123" s="35" t="n"/>
      <c r="J123" s="35" t="n"/>
    </row>
    <row r="124">
      <c r="A124" s="33" t="inlineStr">
        <is>
          <t>D-120</t>
        </is>
      </c>
      <c r="B124" s="35" t="n"/>
      <c r="C124" s="35" t="n"/>
      <c r="D124" s="35" t="n"/>
      <c r="E124" s="35" t="n"/>
      <c r="F124" s="38" t="n"/>
      <c r="G124" s="38" t="n"/>
      <c r="H124" s="33">
        <f>IF(OR(F124="",G124=""),"",G124-F124)</f>
        <v/>
      </c>
      <c r="I124" s="35" t="n"/>
      <c r="J124" s="35" t="n"/>
    </row>
    <row r="125">
      <c r="A125" s="33" t="inlineStr">
        <is>
          <t>D-121</t>
        </is>
      </c>
      <c r="B125" s="35" t="n"/>
      <c r="C125" s="35" t="n"/>
      <c r="D125" s="35" t="n"/>
      <c r="E125" s="35" t="n"/>
      <c r="F125" s="38" t="n"/>
      <c r="G125" s="38" t="n"/>
      <c r="H125" s="33">
        <f>IF(OR(F125="",G125=""),"",G125-F125)</f>
        <v/>
      </c>
      <c r="I125" s="35" t="n"/>
      <c r="J125" s="35" t="n"/>
    </row>
    <row r="126">
      <c r="A126" s="33" t="inlineStr">
        <is>
          <t>D-122</t>
        </is>
      </c>
      <c r="B126" s="35" t="n"/>
      <c r="C126" s="35" t="n"/>
      <c r="D126" s="35" t="n"/>
      <c r="E126" s="35" t="n"/>
      <c r="F126" s="38" t="n"/>
      <c r="G126" s="38" t="n"/>
      <c r="H126" s="33">
        <f>IF(OR(F126="",G126=""),"",G126-F126)</f>
        <v/>
      </c>
      <c r="I126" s="35" t="n"/>
      <c r="J126" s="35" t="n"/>
    </row>
    <row r="127">
      <c r="A127" s="33" t="inlineStr">
        <is>
          <t>D-123</t>
        </is>
      </c>
      <c r="B127" s="35" t="n"/>
      <c r="C127" s="35" t="n"/>
      <c r="D127" s="35" t="n"/>
      <c r="E127" s="35" t="n"/>
      <c r="F127" s="38" t="n"/>
      <c r="G127" s="38" t="n"/>
      <c r="H127" s="33">
        <f>IF(OR(F127="",G127=""),"",G127-F127)</f>
        <v/>
      </c>
      <c r="I127" s="35" t="n"/>
      <c r="J127" s="35" t="n"/>
    </row>
    <row r="128">
      <c r="A128" s="33" t="inlineStr">
        <is>
          <t>D-124</t>
        </is>
      </c>
      <c r="B128" s="35" t="n"/>
      <c r="C128" s="35" t="n"/>
      <c r="D128" s="35" t="n"/>
      <c r="E128" s="35" t="n"/>
      <c r="F128" s="38" t="n"/>
      <c r="G128" s="38" t="n"/>
      <c r="H128" s="33">
        <f>IF(OR(F128="",G128=""),"",G128-F128)</f>
        <v/>
      </c>
      <c r="I128" s="35" t="n"/>
      <c r="J128" s="35" t="n"/>
    </row>
    <row r="129">
      <c r="A129" s="33" t="inlineStr">
        <is>
          <t>D-125</t>
        </is>
      </c>
      <c r="B129" s="35" t="n"/>
      <c r="C129" s="35" t="n"/>
      <c r="D129" s="35" t="n"/>
      <c r="E129" s="35" t="n"/>
      <c r="F129" s="38" t="n"/>
      <c r="G129" s="38" t="n"/>
      <c r="H129" s="33">
        <f>IF(OR(F129="",G129=""),"",G129-F129)</f>
        <v/>
      </c>
      <c r="I129" s="35" t="n"/>
      <c r="J129" s="35" t="n"/>
    </row>
    <row r="130">
      <c r="A130" s="33" t="inlineStr">
        <is>
          <t>D-126</t>
        </is>
      </c>
      <c r="B130" s="35" t="n"/>
      <c r="C130" s="35" t="n"/>
      <c r="D130" s="35" t="n"/>
      <c r="E130" s="35" t="n"/>
      <c r="F130" s="38" t="n"/>
      <c r="G130" s="38" t="n"/>
      <c r="H130" s="33">
        <f>IF(OR(F130="",G130=""),"",G130-F130)</f>
        <v/>
      </c>
      <c r="I130" s="35" t="n"/>
      <c r="J130" s="35" t="n"/>
    </row>
    <row r="131">
      <c r="A131" s="33" t="inlineStr">
        <is>
          <t>D-127</t>
        </is>
      </c>
      <c r="B131" s="35" t="n"/>
      <c r="C131" s="35" t="n"/>
      <c r="D131" s="35" t="n"/>
      <c r="E131" s="35" t="n"/>
      <c r="F131" s="38" t="n"/>
      <c r="G131" s="38" t="n"/>
      <c r="H131" s="33">
        <f>IF(OR(F131="",G131=""),"",G131-F131)</f>
        <v/>
      </c>
      <c r="I131" s="35" t="n"/>
      <c r="J131" s="35" t="n"/>
    </row>
    <row r="132">
      <c r="A132" s="33" t="inlineStr">
        <is>
          <t>D-128</t>
        </is>
      </c>
      <c r="B132" s="35" t="n"/>
      <c r="C132" s="35" t="n"/>
      <c r="D132" s="35" t="n"/>
      <c r="E132" s="35" t="n"/>
      <c r="F132" s="38" t="n"/>
      <c r="G132" s="38" t="n"/>
      <c r="H132" s="33">
        <f>IF(OR(F132="",G132=""),"",G132-F132)</f>
        <v/>
      </c>
      <c r="I132" s="35" t="n"/>
      <c r="J132" s="35" t="n"/>
    </row>
    <row r="133">
      <c r="A133" s="33" t="inlineStr">
        <is>
          <t>D-129</t>
        </is>
      </c>
      <c r="B133" s="35" t="n"/>
      <c r="C133" s="35" t="n"/>
      <c r="D133" s="35" t="n"/>
      <c r="E133" s="35" t="n"/>
      <c r="F133" s="38" t="n"/>
      <c r="G133" s="38" t="n"/>
      <c r="H133" s="33">
        <f>IF(OR(F133="",G133=""),"",G133-F133)</f>
        <v/>
      </c>
      <c r="I133" s="35" t="n"/>
      <c r="J133" s="35" t="n"/>
    </row>
    <row r="134">
      <c r="A134" s="33" t="inlineStr">
        <is>
          <t>D-130</t>
        </is>
      </c>
      <c r="B134" s="35" t="n"/>
      <c r="C134" s="35" t="n"/>
      <c r="D134" s="35" t="n"/>
      <c r="E134" s="35" t="n"/>
      <c r="F134" s="38" t="n"/>
      <c r="G134" s="38" t="n"/>
      <c r="H134" s="33">
        <f>IF(OR(F134="",G134=""),"",G134-F134)</f>
        <v/>
      </c>
      <c r="I134" s="35" t="n"/>
      <c r="J134" s="35" t="n"/>
    </row>
    <row r="135">
      <c r="A135" s="33" t="inlineStr">
        <is>
          <t>D-131</t>
        </is>
      </c>
      <c r="B135" s="35" t="n"/>
      <c r="C135" s="35" t="n"/>
      <c r="D135" s="35" t="n"/>
      <c r="E135" s="35" t="n"/>
      <c r="F135" s="38" t="n"/>
      <c r="G135" s="38" t="n"/>
      <c r="H135" s="33">
        <f>IF(OR(F135="",G135=""),"",G135-F135)</f>
        <v/>
      </c>
      <c r="I135" s="35" t="n"/>
      <c r="J135" s="35" t="n"/>
    </row>
    <row r="136">
      <c r="A136" s="33" t="inlineStr">
        <is>
          <t>D-132</t>
        </is>
      </c>
      <c r="B136" s="35" t="n"/>
      <c r="C136" s="35" t="n"/>
      <c r="D136" s="35" t="n"/>
      <c r="E136" s="35" t="n"/>
      <c r="F136" s="38" t="n"/>
      <c r="G136" s="38" t="n"/>
      <c r="H136" s="33">
        <f>IF(OR(F136="",G136=""),"",G136-F136)</f>
        <v/>
      </c>
      <c r="I136" s="35" t="n"/>
      <c r="J136" s="35" t="n"/>
    </row>
    <row r="137">
      <c r="A137" s="33" t="inlineStr">
        <is>
          <t>D-133</t>
        </is>
      </c>
      <c r="B137" s="35" t="n"/>
      <c r="C137" s="35" t="n"/>
      <c r="D137" s="35" t="n"/>
      <c r="E137" s="35" t="n"/>
      <c r="F137" s="38" t="n"/>
      <c r="G137" s="38" t="n"/>
      <c r="H137" s="33">
        <f>IF(OR(F137="",G137=""),"",G137-F137)</f>
        <v/>
      </c>
      <c r="I137" s="35" t="n"/>
      <c r="J137" s="35" t="n"/>
    </row>
    <row r="138">
      <c r="A138" s="33" t="inlineStr">
        <is>
          <t>D-134</t>
        </is>
      </c>
      <c r="B138" s="35" t="n"/>
      <c r="C138" s="35" t="n"/>
      <c r="D138" s="35" t="n"/>
      <c r="E138" s="35" t="n"/>
      <c r="F138" s="38" t="n"/>
      <c r="G138" s="38" t="n"/>
      <c r="H138" s="33">
        <f>IF(OR(F138="",G138=""),"",G138-F138)</f>
        <v/>
      </c>
      <c r="I138" s="35" t="n"/>
      <c r="J138" s="35" t="n"/>
    </row>
    <row r="139">
      <c r="A139" s="33" t="inlineStr">
        <is>
          <t>D-135</t>
        </is>
      </c>
      <c r="B139" s="35" t="n"/>
      <c r="C139" s="35" t="n"/>
      <c r="D139" s="35" t="n"/>
      <c r="E139" s="35" t="n"/>
      <c r="F139" s="38" t="n"/>
      <c r="G139" s="38" t="n"/>
      <c r="H139" s="33">
        <f>IF(OR(F139="",G139=""),"",G139-F139)</f>
        <v/>
      </c>
      <c r="I139" s="35" t="n"/>
      <c r="J139" s="35" t="n"/>
    </row>
    <row r="140">
      <c r="A140" s="33" t="inlineStr">
        <is>
          <t>D-136</t>
        </is>
      </c>
      <c r="B140" s="35" t="n"/>
      <c r="C140" s="35" t="n"/>
      <c r="D140" s="35" t="n"/>
      <c r="E140" s="35" t="n"/>
      <c r="F140" s="38" t="n"/>
      <c r="G140" s="38" t="n"/>
      <c r="H140" s="33">
        <f>IF(OR(F140="",G140=""),"",G140-F140)</f>
        <v/>
      </c>
      <c r="I140" s="35" t="n"/>
      <c r="J140" s="35" t="n"/>
    </row>
    <row r="141">
      <c r="A141" s="33" t="inlineStr">
        <is>
          <t>D-137</t>
        </is>
      </c>
      <c r="B141" s="35" t="n"/>
      <c r="C141" s="35" t="n"/>
      <c r="D141" s="35" t="n"/>
      <c r="E141" s="35" t="n"/>
      <c r="F141" s="38" t="n"/>
      <c r="G141" s="38" t="n"/>
      <c r="H141" s="33">
        <f>IF(OR(F141="",G141=""),"",G141-F141)</f>
        <v/>
      </c>
      <c r="I141" s="35" t="n"/>
      <c r="J141" s="35" t="n"/>
    </row>
    <row r="142">
      <c r="A142" s="33" t="inlineStr">
        <is>
          <t>D-138</t>
        </is>
      </c>
      <c r="B142" s="35" t="n"/>
      <c r="C142" s="35" t="n"/>
      <c r="D142" s="35" t="n"/>
      <c r="E142" s="35" t="n"/>
      <c r="F142" s="38" t="n"/>
      <c r="G142" s="38" t="n"/>
      <c r="H142" s="33">
        <f>IF(OR(F142="",G142=""),"",G142-F142)</f>
        <v/>
      </c>
      <c r="I142" s="35" t="n"/>
      <c r="J142" s="35" t="n"/>
    </row>
    <row r="143">
      <c r="A143" s="33" t="inlineStr">
        <is>
          <t>D-139</t>
        </is>
      </c>
      <c r="B143" s="35" t="n"/>
      <c r="C143" s="35" t="n"/>
      <c r="D143" s="35" t="n"/>
      <c r="E143" s="35" t="n"/>
      <c r="F143" s="38" t="n"/>
      <c r="G143" s="38" t="n"/>
      <c r="H143" s="33">
        <f>IF(OR(F143="",G143=""),"",G143-F143)</f>
        <v/>
      </c>
      <c r="I143" s="35" t="n"/>
      <c r="J143" s="35" t="n"/>
    </row>
    <row r="144">
      <c r="A144" s="33" t="inlineStr">
        <is>
          <t>D-140</t>
        </is>
      </c>
      <c r="B144" s="35" t="n"/>
      <c r="C144" s="35" t="n"/>
      <c r="D144" s="35" t="n"/>
      <c r="E144" s="35" t="n"/>
      <c r="F144" s="38" t="n"/>
      <c r="G144" s="38" t="n"/>
      <c r="H144" s="33">
        <f>IF(OR(F144="",G144=""),"",G144-F144)</f>
        <v/>
      </c>
      <c r="I144" s="35" t="n"/>
      <c r="J144" s="35" t="n"/>
    </row>
    <row r="145">
      <c r="A145" s="33" t="inlineStr">
        <is>
          <t>D-141</t>
        </is>
      </c>
      <c r="B145" s="35" t="n"/>
      <c r="C145" s="35" t="n"/>
      <c r="D145" s="35" t="n"/>
      <c r="E145" s="35" t="n"/>
      <c r="F145" s="38" t="n"/>
      <c r="G145" s="38" t="n"/>
      <c r="H145" s="33">
        <f>IF(OR(F145="",G145=""),"",G145-F145)</f>
        <v/>
      </c>
      <c r="I145" s="35" t="n"/>
      <c r="J145" s="35" t="n"/>
    </row>
    <row r="146">
      <c r="A146" s="33" t="inlineStr">
        <is>
          <t>D-142</t>
        </is>
      </c>
      <c r="B146" s="35" t="n"/>
      <c r="C146" s="35" t="n"/>
      <c r="D146" s="35" t="n"/>
      <c r="E146" s="35" t="n"/>
      <c r="F146" s="38" t="n"/>
      <c r="G146" s="38" t="n"/>
      <c r="H146" s="33">
        <f>IF(OR(F146="",G146=""),"",G146-F146)</f>
        <v/>
      </c>
      <c r="I146" s="35" t="n"/>
      <c r="J146" s="35" t="n"/>
    </row>
    <row r="147">
      <c r="A147" s="33" t="inlineStr">
        <is>
          <t>D-143</t>
        </is>
      </c>
      <c r="B147" s="35" t="n"/>
      <c r="C147" s="35" t="n"/>
      <c r="D147" s="35" t="n"/>
      <c r="E147" s="35" t="n"/>
      <c r="F147" s="38" t="n"/>
      <c r="G147" s="38" t="n"/>
      <c r="H147" s="33">
        <f>IF(OR(F147="",G147=""),"",G147-F147)</f>
        <v/>
      </c>
      <c r="I147" s="35" t="n"/>
      <c r="J147" s="35" t="n"/>
    </row>
    <row r="148">
      <c r="A148" s="33" t="inlineStr">
        <is>
          <t>D-144</t>
        </is>
      </c>
      <c r="B148" s="35" t="n"/>
      <c r="C148" s="35" t="n"/>
      <c r="D148" s="35" t="n"/>
      <c r="E148" s="35" t="n"/>
      <c r="F148" s="38" t="n"/>
      <c r="G148" s="38" t="n"/>
      <c r="H148" s="33">
        <f>IF(OR(F148="",G148=""),"",G148-F148)</f>
        <v/>
      </c>
      <c r="I148" s="35" t="n"/>
      <c r="J148" s="35" t="n"/>
    </row>
    <row r="149">
      <c r="A149" s="33" t="inlineStr">
        <is>
          <t>D-145</t>
        </is>
      </c>
      <c r="B149" s="35" t="n"/>
      <c r="C149" s="35" t="n"/>
      <c r="D149" s="35" t="n"/>
      <c r="E149" s="35" t="n"/>
      <c r="F149" s="38" t="n"/>
      <c r="G149" s="38" t="n"/>
      <c r="H149" s="33">
        <f>IF(OR(F149="",G149=""),"",G149-F149)</f>
        <v/>
      </c>
      <c r="I149" s="35" t="n"/>
      <c r="J149" s="35" t="n"/>
    </row>
    <row r="150">
      <c r="A150" s="33" t="inlineStr">
        <is>
          <t>D-146</t>
        </is>
      </c>
      <c r="B150" s="35" t="n"/>
      <c r="C150" s="35" t="n"/>
      <c r="D150" s="35" t="n"/>
      <c r="E150" s="35" t="n"/>
      <c r="F150" s="38" t="n"/>
      <c r="G150" s="38" t="n"/>
      <c r="H150" s="33">
        <f>IF(OR(F150="",G150=""),"",G150-F150)</f>
        <v/>
      </c>
      <c r="I150" s="35" t="n"/>
      <c r="J150" s="35" t="n"/>
    </row>
    <row r="151">
      <c r="A151" s="33" t="inlineStr">
        <is>
          <t>D-147</t>
        </is>
      </c>
      <c r="B151" s="35" t="n"/>
      <c r="C151" s="35" t="n"/>
      <c r="D151" s="35" t="n"/>
      <c r="E151" s="35" t="n"/>
      <c r="F151" s="38" t="n"/>
      <c r="G151" s="38" t="n"/>
      <c r="H151" s="33">
        <f>IF(OR(F151="",G151=""),"",G151-F151)</f>
        <v/>
      </c>
      <c r="I151" s="35" t="n"/>
      <c r="J151" s="35" t="n"/>
    </row>
    <row r="152">
      <c r="A152" s="33" t="inlineStr">
        <is>
          <t>D-148</t>
        </is>
      </c>
      <c r="B152" s="35" t="n"/>
      <c r="C152" s="35" t="n"/>
      <c r="D152" s="35" t="n"/>
      <c r="E152" s="35" t="n"/>
      <c r="F152" s="38" t="n"/>
      <c r="G152" s="38" t="n"/>
      <c r="H152" s="33">
        <f>IF(OR(F152="",G152=""),"",G152-F152)</f>
        <v/>
      </c>
      <c r="I152" s="35" t="n"/>
      <c r="J152" s="35" t="n"/>
    </row>
    <row r="153">
      <c r="A153" s="33" t="inlineStr">
        <is>
          <t>D-149</t>
        </is>
      </c>
      <c r="B153" s="35" t="n"/>
      <c r="C153" s="35" t="n"/>
      <c r="D153" s="35" t="n"/>
      <c r="E153" s="35" t="n"/>
      <c r="F153" s="38" t="n"/>
      <c r="G153" s="38" t="n"/>
      <c r="H153" s="33">
        <f>IF(OR(F153="",G153=""),"",G153-F153)</f>
        <v/>
      </c>
      <c r="I153" s="35" t="n"/>
      <c r="J153" s="35" t="n"/>
    </row>
    <row r="154">
      <c r="A154" s="33" t="inlineStr">
        <is>
          <t>D-150</t>
        </is>
      </c>
      <c r="B154" s="35" t="n"/>
      <c r="C154" s="35" t="n"/>
      <c r="D154" s="35" t="n"/>
      <c r="E154" s="35" t="n"/>
      <c r="F154" s="38" t="n"/>
      <c r="G154" s="38" t="n"/>
      <c r="H154" s="33">
        <f>IF(OR(F154="",G154=""),"",G154-F154)</f>
        <v/>
      </c>
      <c r="I154" s="35" t="n"/>
      <c r="J154" s="35" t="n"/>
    </row>
    <row r="155">
      <c r="A155" s="33" t="inlineStr">
        <is>
          <t>D-151</t>
        </is>
      </c>
      <c r="B155" s="35" t="n"/>
      <c r="C155" s="35" t="n"/>
      <c r="D155" s="35" t="n"/>
      <c r="E155" s="35" t="n"/>
      <c r="F155" s="38" t="n"/>
      <c r="G155" s="38" t="n"/>
      <c r="H155" s="33">
        <f>IF(OR(F155="",G155=""),"",G155-F155)</f>
        <v/>
      </c>
      <c r="I155" s="35" t="n"/>
      <c r="J155" s="35" t="n"/>
    </row>
    <row r="156">
      <c r="A156" s="33" t="inlineStr">
        <is>
          <t>D-152</t>
        </is>
      </c>
      <c r="B156" s="35" t="n"/>
      <c r="C156" s="35" t="n"/>
      <c r="D156" s="35" t="n"/>
      <c r="E156" s="35" t="n"/>
      <c r="F156" s="38" t="n"/>
      <c r="G156" s="38" t="n"/>
      <c r="H156" s="33">
        <f>IF(OR(F156="",G156=""),"",G156-F156)</f>
        <v/>
      </c>
      <c r="I156" s="35" t="n"/>
      <c r="J156" s="35" t="n"/>
    </row>
    <row r="157">
      <c r="A157" s="33" t="inlineStr">
        <is>
          <t>D-153</t>
        </is>
      </c>
      <c r="B157" s="35" t="n"/>
      <c r="C157" s="35" t="n"/>
      <c r="D157" s="35" t="n"/>
      <c r="E157" s="35" t="n"/>
      <c r="F157" s="38" t="n"/>
      <c r="G157" s="38" t="n"/>
      <c r="H157" s="33">
        <f>IF(OR(F157="",G157=""),"",G157-F157)</f>
        <v/>
      </c>
      <c r="I157" s="35" t="n"/>
      <c r="J157" s="35" t="n"/>
    </row>
    <row r="158">
      <c r="A158" s="33" t="inlineStr">
        <is>
          <t>D-154</t>
        </is>
      </c>
      <c r="B158" s="35" t="n"/>
      <c r="C158" s="35" t="n"/>
      <c r="D158" s="35" t="n"/>
      <c r="E158" s="35" t="n"/>
      <c r="F158" s="38" t="n"/>
      <c r="G158" s="38" t="n"/>
      <c r="H158" s="33">
        <f>IF(OR(F158="",G158=""),"",G158-F158)</f>
        <v/>
      </c>
      <c r="I158" s="35" t="n"/>
      <c r="J158" s="35" t="n"/>
    </row>
    <row r="159">
      <c r="A159" s="33" t="inlineStr">
        <is>
          <t>D-155</t>
        </is>
      </c>
      <c r="B159" s="35" t="n"/>
      <c r="C159" s="35" t="n"/>
      <c r="D159" s="35" t="n"/>
      <c r="E159" s="35" t="n"/>
      <c r="F159" s="38" t="n"/>
      <c r="G159" s="38" t="n"/>
      <c r="H159" s="33">
        <f>IF(OR(F159="",G159=""),"",G159-F159)</f>
        <v/>
      </c>
      <c r="I159" s="35" t="n"/>
      <c r="J159" s="35" t="n"/>
    </row>
    <row r="160">
      <c r="A160" s="33" t="inlineStr">
        <is>
          <t>D-156</t>
        </is>
      </c>
      <c r="B160" s="35" t="n"/>
      <c r="C160" s="35" t="n"/>
      <c r="D160" s="35" t="n"/>
      <c r="E160" s="35" t="n"/>
      <c r="F160" s="38" t="n"/>
      <c r="G160" s="38" t="n"/>
      <c r="H160" s="33">
        <f>IF(OR(F160="",G160=""),"",G160-F160)</f>
        <v/>
      </c>
      <c r="I160" s="35" t="n"/>
      <c r="J160" s="35" t="n"/>
    </row>
    <row r="161">
      <c r="A161" s="33" t="inlineStr">
        <is>
          <t>D-157</t>
        </is>
      </c>
      <c r="B161" s="35" t="n"/>
      <c r="C161" s="35" t="n"/>
      <c r="D161" s="35" t="n"/>
      <c r="E161" s="35" t="n"/>
      <c r="F161" s="38" t="n"/>
      <c r="G161" s="38" t="n"/>
      <c r="H161" s="33">
        <f>IF(OR(F161="",G161=""),"",G161-F161)</f>
        <v/>
      </c>
      <c r="I161" s="35" t="n"/>
      <c r="J161" s="35" t="n"/>
    </row>
    <row r="162">
      <c r="A162" s="33" t="inlineStr">
        <is>
          <t>D-158</t>
        </is>
      </c>
      <c r="B162" s="35" t="n"/>
      <c r="C162" s="35" t="n"/>
      <c r="D162" s="35" t="n"/>
      <c r="E162" s="35" t="n"/>
      <c r="F162" s="38" t="n"/>
      <c r="G162" s="38" t="n"/>
      <c r="H162" s="33">
        <f>IF(OR(F162="",G162=""),"",G162-F162)</f>
        <v/>
      </c>
      <c r="I162" s="35" t="n"/>
      <c r="J162" s="35" t="n"/>
    </row>
    <row r="163">
      <c r="A163" s="33" t="inlineStr">
        <is>
          <t>D-159</t>
        </is>
      </c>
      <c r="B163" s="35" t="n"/>
      <c r="C163" s="35" t="n"/>
      <c r="D163" s="35" t="n"/>
      <c r="E163" s="35" t="n"/>
      <c r="F163" s="38" t="n"/>
      <c r="G163" s="38" t="n"/>
      <c r="H163" s="33">
        <f>IF(OR(F163="",G163=""),"",G163-F163)</f>
        <v/>
      </c>
      <c r="I163" s="35" t="n"/>
      <c r="J163" s="35" t="n"/>
    </row>
    <row r="164">
      <c r="A164" s="33" t="inlineStr">
        <is>
          <t>D-160</t>
        </is>
      </c>
      <c r="B164" s="35" t="n"/>
      <c r="C164" s="35" t="n"/>
      <c r="D164" s="35" t="n"/>
      <c r="E164" s="35" t="n"/>
      <c r="F164" s="38" t="n"/>
      <c r="G164" s="38" t="n"/>
      <c r="H164" s="33">
        <f>IF(OR(F164="",G164=""),"",G164-F164)</f>
        <v/>
      </c>
      <c r="I164" s="35" t="n"/>
      <c r="J164" s="35" t="n"/>
    </row>
    <row r="165">
      <c r="A165" s="33" t="inlineStr">
        <is>
          <t>D-161</t>
        </is>
      </c>
      <c r="B165" s="35" t="n"/>
      <c r="C165" s="35" t="n"/>
      <c r="D165" s="35" t="n"/>
      <c r="E165" s="35" t="n"/>
      <c r="F165" s="38" t="n"/>
      <c r="G165" s="38" t="n"/>
      <c r="H165" s="33">
        <f>IF(OR(F165="",G165=""),"",G165-F165)</f>
        <v/>
      </c>
      <c r="I165" s="35" t="n"/>
      <c r="J165" s="35" t="n"/>
    </row>
    <row r="166">
      <c r="A166" s="33" t="inlineStr">
        <is>
          <t>D-162</t>
        </is>
      </c>
      <c r="B166" s="35" t="n"/>
      <c r="C166" s="35" t="n"/>
      <c r="D166" s="35" t="n"/>
      <c r="E166" s="35" t="n"/>
      <c r="F166" s="38" t="n"/>
      <c r="G166" s="38" t="n"/>
      <c r="H166" s="33">
        <f>IF(OR(F166="",G166=""),"",G166-F166)</f>
        <v/>
      </c>
      <c r="I166" s="35" t="n"/>
      <c r="J166" s="35" t="n"/>
    </row>
    <row r="167">
      <c r="A167" s="33" t="inlineStr">
        <is>
          <t>D-163</t>
        </is>
      </c>
      <c r="B167" s="35" t="n"/>
      <c r="C167" s="35" t="n"/>
      <c r="D167" s="35" t="n"/>
      <c r="E167" s="35" t="n"/>
      <c r="F167" s="38" t="n"/>
      <c r="G167" s="38" t="n"/>
      <c r="H167" s="33">
        <f>IF(OR(F167="",G167=""),"",G167-F167)</f>
        <v/>
      </c>
      <c r="I167" s="35" t="n"/>
      <c r="J167" s="35" t="n"/>
    </row>
    <row r="168">
      <c r="A168" s="33" t="inlineStr">
        <is>
          <t>D-164</t>
        </is>
      </c>
      <c r="B168" s="35" t="n"/>
      <c r="C168" s="35" t="n"/>
      <c r="D168" s="35" t="n"/>
      <c r="E168" s="35" t="n"/>
      <c r="F168" s="38" t="n"/>
      <c r="G168" s="38" t="n"/>
      <c r="H168" s="33">
        <f>IF(OR(F168="",G168=""),"",G168-F168)</f>
        <v/>
      </c>
      <c r="I168" s="35" t="n"/>
      <c r="J168" s="35" t="n"/>
    </row>
    <row r="169">
      <c r="A169" s="33" t="inlineStr">
        <is>
          <t>D-165</t>
        </is>
      </c>
      <c r="B169" s="35" t="n"/>
      <c r="C169" s="35" t="n"/>
      <c r="D169" s="35" t="n"/>
      <c r="E169" s="35" t="n"/>
      <c r="F169" s="38" t="n"/>
      <c r="G169" s="38" t="n"/>
      <c r="H169" s="33">
        <f>IF(OR(F169="",G169=""),"",G169-F169)</f>
        <v/>
      </c>
      <c r="I169" s="35" t="n"/>
      <c r="J169" s="35" t="n"/>
    </row>
    <row r="170">
      <c r="A170" s="33" t="inlineStr">
        <is>
          <t>D-166</t>
        </is>
      </c>
      <c r="B170" s="35" t="n"/>
      <c r="C170" s="35" t="n"/>
      <c r="D170" s="35" t="n"/>
      <c r="E170" s="35" t="n"/>
      <c r="F170" s="38" t="n"/>
      <c r="G170" s="38" t="n"/>
      <c r="H170" s="33">
        <f>IF(OR(F170="",G170=""),"",G170-F170)</f>
        <v/>
      </c>
      <c r="I170" s="35" t="n"/>
      <c r="J170" s="35" t="n"/>
    </row>
    <row r="171">
      <c r="A171" s="33" t="inlineStr">
        <is>
          <t>D-167</t>
        </is>
      </c>
      <c r="B171" s="35" t="n"/>
      <c r="C171" s="35" t="n"/>
      <c r="D171" s="35" t="n"/>
      <c r="E171" s="35" t="n"/>
      <c r="F171" s="38" t="n"/>
      <c r="G171" s="38" t="n"/>
      <c r="H171" s="33">
        <f>IF(OR(F171="",G171=""),"",G171-F171)</f>
        <v/>
      </c>
      <c r="I171" s="35" t="n"/>
      <c r="J171" s="35" t="n"/>
    </row>
    <row r="172">
      <c r="A172" s="33" t="inlineStr">
        <is>
          <t>D-168</t>
        </is>
      </c>
      <c r="B172" s="35" t="n"/>
      <c r="C172" s="35" t="n"/>
      <c r="D172" s="35" t="n"/>
      <c r="E172" s="35" t="n"/>
      <c r="F172" s="38" t="n"/>
      <c r="G172" s="38" t="n"/>
      <c r="H172" s="33">
        <f>IF(OR(F172="",G172=""),"",G172-F172)</f>
        <v/>
      </c>
      <c r="I172" s="35" t="n"/>
      <c r="J172" s="35" t="n"/>
    </row>
    <row r="173">
      <c r="A173" s="33" t="inlineStr">
        <is>
          <t>D-169</t>
        </is>
      </c>
      <c r="B173" s="35" t="n"/>
      <c r="C173" s="35" t="n"/>
      <c r="D173" s="35" t="n"/>
      <c r="E173" s="35" t="n"/>
      <c r="F173" s="38" t="n"/>
      <c r="G173" s="38" t="n"/>
      <c r="H173" s="33">
        <f>IF(OR(F173="",G173=""),"",G173-F173)</f>
        <v/>
      </c>
      <c r="I173" s="35" t="n"/>
      <c r="J173" s="35" t="n"/>
    </row>
    <row r="174">
      <c r="A174" s="33" t="inlineStr">
        <is>
          <t>D-170</t>
        </is>
      </c>
      <c r="B174" s="35" t="n"/>
      <c r="C174" s="35" t="n"/>
      <c r="D174" s="35" t="n"/>
      <c r="E174" s="35" t="n"/>
      <c r="F174" s="38" t="n"/>
      <c r="G174" s="38" t="n"/>
      <c r="H174" s="33">
        <f>IF(OR(F174="",G174=""),"",G174-F174)</f>
        <v/>
      </c>
      <c r="I174" s="35" t="n"/>
      <c r="J174" s="35" t="n"/>
    </row>
    <row r="175">
      <c r="A175" s="33" t="inlineStr">
        <is>
          <t>D-171</t>
        </is>
      </c>
      <c r="B175" s="35" t="n"/>
      <c r="C175" s="35" t="n"/>
      <c r="D175" s="35" t="n"/>
      <c r="E175" s="35" t="n"/>
      <c r="F175" s="38" t="n"/>
      <c r="G175" s="38" t="n"/>
      <c r="H175" s="33">
        <f>IF(OR(F175="",G175=""),"",G175-F175)</f>
        <v/>
      </c>
      <c r="I175" s="35" t="n"/>
      <c r="J175" s="35" t="n"/>
    </row>
    <row r="176">
      <c r="A176" s="33" t="inlineStr">
        <is>
          <t>D-172</t>
        </is>
      </c>
      <c r="B176" s="35" t="n"/>
      <c r="C176" s="35" t="n"/>
      <c r="D176" s="35" t="n"/>
      <c r="E176" s="35" t="n"/>
      <c r="F176" s="38" t="n"/>
      <c r="G176" s="38" t="n"/>
      <c r="H176" s="33">
        <f>IF(OR(F176="",G176=""),"",G176-F176)</f>
        <v/>
      </c>
      <c r="I176" s="35" t="n"/>
      <c r="J176" s="35" t="n"/>
    </row>
    <row r="177">
      <c r="A177" s="33" t="inlineStr">
        <is>
          <t>D-173</t>
        </is>
      </c>
      <c r="B177" s="35" t="n"/>
      <c r="C177" s="35" t="n"/>
      <c r="D177" s="35" t="n"/>
      <c r="E177" s="35" t="n"/>
      <c r="F177" s="38" t="n"/>
      <c r="G177" s="38" t="n"/>
      <c r="H177" s="33">
        <f>IF(OR(F177="",G177=""),"",G177-F177)</f>
        <v/>
      </c>
      <c r="I177" s="35" t="n"/>
      <c r="J177" s="35" t="n"/>
    </row>
    <row r="178">
      <c r="A178" s="33" t="inlineStr">
        <is>
          <t>D-174</t>
        </is>
      </c>
      <c r="B178" s="35" t="n"/>
      <c r="C178" s="35" t="n"/>
      <c r="D178" s="35" t="n"/>
      <c r="E178" s="35" t="n"/>
      <c r="F178" s="38" t="n"/>
      <c r="G178" s="38" t="n"/>
      <c r="H178" s="33">
        <f>IF(OR(F178="",G178=""),"",G178-F178)</f>
        <v/>
      </c>
      <c r="I178" s="35" t="n"/>
      <c r="J178" s="35" t="n"/>
    </row>
    <row r="179">
      <c r="A179" s="33" t="inlineStr">
        <is>
          <t>D-175</t>
        </is>
      </c>
      <c r="B179" s="35" t="n"/>
      <c r="C179" s="35" t="n"/>
      <c r="D179" s="35" t="n"/>
      <c r="E179" s="35" t="n"/>
      <c r="F179" s="38" t="n"/>
      <c r="G179" s="38" t="n"/>
      <c r="H179" s="33">
        <f>IF(OR(F179="",G179=""),"",G179-F179)</f>
        <v/>
      </c>
      <c r="I179" s="35" t="n"/>
      <c r="J179" s="35" t="n"/>
    </row>
    <row r="180">
      <c r="A180" s="33" t="inlineStr">
        <is>
          <t>D-176</t>
        </is>
      </c>
      <c r="B180" s="35" t="n"/>
      <c r="C180" s="35" t="n"/>
      <c r="D180" s="35" t="n"/>
      <c r="E180" s="35" t="n"/>
      <c r="F180" s="38" t="n"/>
      <c r="G180" s="38" t="n"/>
      <c r="H180" s="33">
        <f>IF(OR(F180="",G180=""),"",G180-F180)</f>
        <v/>
      </c>
      <c r="I180" s="35" t="n"/>
      <c r="J180" s="35" t="n"/>
    </row>
    <row r="181">
      <c r="A181" s="33" t="inlineStr">
        <is>
          <t>D-177</t>
        </is>
      </c>
      <c r="B181" s="35" t="n"/>
      <c r="C181" s="35" t="n"/>
      <c r="D181" s="35" t="n"/>
      <c r="E181" s="35" t="n"/>
      <c r="F181" s="38" t="n"/>
      <c r="G181" s="38" t="n"/>
      <c r="H181" s="33">
        <f>IF(OR(F181="",G181=""),"",G181-F181)</f>
        <v/>
      </c>
      <c r="I181" s="35" t="n"/>
      <c r="J181" s="35" t="n"/>
    </row>
    <row r="182">
      <c r="A182" s="33" t="inlineStr">
        <is>
          <t>D-178</t>
        </is>
      </c>
      <c r="B182" s="35" t="n"/>
      <c r="C182" s="35" t="n"/>
      <c r="D182" s="35" t="n"/>
      <c r="E182" s="35" t="n"/>
      <c r="F182" s="38" t="n"/>
      <c r="G182" s="38" t="n"/>
      <c r="H182" s="33">
        <f>IF(OR(F182="",G182=""),"",G182-F182)</f>
        <v/>
      </c>
      <c r="I182" s="35" t="n"/>
      <c r="J182" s="35" t="n"/>
    </row>
    <row r="183">
      <c r="A183" s="33" t="inlineStr">
        <is>
          <t>D-179</t>
        </is>
      </c>
      <c r="B183" s="35" t="n"/>
      <c r="C183" s="35" t="n"/>
      <c r="D183" s="35" t="n"/>
      <c r="E183" s="35" t="n"/>
      <c r="F183" s="38" t="n"/>
      <c r="G183" s="38" t="n"/>
      <c r="H183" s="33">
        <f>IF(OR(F183="",G183=""),"",G183-F183)</f>
        <v/>
      </c>
      <c r="I183" s="35" t="n"/>
      <c r="J183" s="35" t="n"/>
    </row>
    <row r="184">
      <c r="A184" s="33" t="inlineStr">
        <is>
          <t>D-180</t>
        </is>
      </c>
      <c r="B184" s="35" t="n"/>
      <c r="C184" s="35" t="n"/>
      <c r="D184" s="35" t="n"/>
      <c r="E184" s="35" t="n"/>
      <c r="F184" s="38" t="n"/>
      <c r="G184" s="38" t="n"/>
      <c r="H184" s="33">
        <f>IF(OR(F184="",G184=""),"",G184-F184)</f>
        <v/>
      </c>
      <c r="I184" s="35" t="n"/>
      <c r="J184" s="35" t="n"/>
    </row>
    <row r="185">
      <c r="A185" s="33" t="inlineStr">
        <is>
          <t>D-181</t>
        </is>
      </c>
      <c r="B185" s="35" t="n"/>
      <c r="C185" s="35" t="n"/>
      <c r="D185" s="35" t="n"/>
      <c r="E185" s="35" t="n"/>
      <c r="F185" s="38" t="n"/>
      <c r="G185" s="38" t="n"/>
      <c r="H185" s="33">
        <f>IF(OR(F185="",G185=""),"",G185-F185)</f>
        <v/>
      </c>
      <c r="I185" s="35" t="n"/>
      <c r="J185" s="35" t="n"/>
    </row>
    <row r="186">
      <c r="A186" s="33" t="inlineStr">
        <is>
          <t>D-182</t>
        </is>
      </c>
      <c r="B186" s="35" t="n"/>
      <c r="C186" s="35" t="n"/>
      <c r="D186" s="35" t="n"/>
      <c r="E186" s="35" t="n"/>
      <c r="F186" s="38" t="n"/>
      <c r="G186" s="38" t="n"/>
      <c r="H186" s="33">
        <f>IF(OR(F186="",G186=""),"",G186-F186)</f>
        <v/>
      </c>
      <c r="I186" s="35" t="n"/>
      <c r="J186" s="35" t="n"/>
    </row>
    <row r="187">
      <c r="A187" s="33" t="inlineStr">
        <is>
          <t>D-183</t>
        </is>
      </c>
      <c r="B187" s="35" t="n"/>
      <c r="C187" s="35" t="n"/>
      <c r="D187" s="35" t="n"/>
      <c r="E187" s="35" t="n"/>
      <c r="F187" s="38" t="n"/>
      <c r="G187" s="38" t="n"/>
      <c r="H187" s="33">
        <f>IF(OR(F187="",G187=""),"",G187-F187)</f>
        <v/>
      </c>
      <c r="I187" s="35" t="n"/>
      <c r="J187" s="35" t="n"/>
    </row>
    <row r="188">
      <c r="A188" s="33" t="inlineStr">
        <is>
          <t>D-184</t>
        </is>
      </c>
      <c r="B188" s="35" t="n"/>
      <c r="C188" s="35" t="n"/>
      <c r="D188" s="35" t="n"/>
      <c r="E188" s="35" t="n"/>
      <c r="F188" s="38" t="n"/>
      <c r="G188" s="38" t="n"/>
      <c r="H188" s="33">
        <f>IF(OR(F188="",G188=""),"",G188-F188)</f>
        <v/>
      </c>
      <c r="I188" s="35" t="n"/>
      <c r="J188" s="35" t="n"/>
    </row>
    <row r="189">
      <c r="A189" s="33" t="inlineStr">
        <is>
          <t>D-185</t>
        </is>
      </c>
      <c r="B189" s="35" t="n"/>
      <c r="C189" s="35" t="n"/>
      <c r="D189" s="35" t="n"/>
      <c r="E189" s="35" t="n"/>
      <c r="F189" s="38" t="n"/>
      <c r="G189" s="38" t="n"/>
      <c r="H189" s="33">
        <f>IF(OR(F189="",G189=""),"",G189-F189)</f>
        <v/>
      </c>
      <c r="I189" s="35" t="n"/>
      <c r="J189" s="35" t="n"/>
    </row>
    <row r="190">
      <c r="A190" s="33" t="inlineStr">
        <is>
          <t>D-186</t>
        </is>
      </c>
      <c r="B190" s="35" t="n"/>
      <c r="C190" s="35" t="n"/>
      <c r="D190" s="35" t="n"/>
      <c r="E190" s="35" t="n"/>
      <c r="F190" s="38" t="n"/>
      <c r="G190" s="38" t="n"/>
      <c r="H190" s="33">
        <f>IF(OR(F190="",G190=""),"",G190-F190)</f>
        <v/>
      </c>
      <c r="I190" s="35" t="n"/>
      <c r="J190" s="35" t="n"/>
    </row>
    <row r="191">
      <c r="A191" s="33" t="inlineStr">
        <is>
          <t>D-187</t>
        </is>
      </c>
      <c r="B191" s="35" t="n"/>
      <c r="C191" s="35" t="n"/>
      <c r="D191" s="35" t="n"/>
      <c r="E191" s="35" t="n"/>
      <c r="F191" s="38" t="n"/>
      <c r="G191" s="38" t="n"/>
      <c r="H191" s="33">
        <f>IF(OR(F191="",G191=""),"",G191-F191)</f>
        <v/>
      </c>
      <c r="I191" s="35" t="n"/>
      <c r="J191" s="35" t="n"/>
    </row>
    <row r="192">
      <c r="A192" s="33" t="inlineStr">
        <is>
          <t>D-188</t>
        </is>
      </c>
      <c r="B192" s="35" t="n"/>
      <c r="C192" s="35" t="n"/>
      <c r="D192" s="35" t="n"/>
      <c r="E192" s="35" t="n"/>
      <c r="F192" s="38" t="n"/>
      <c r="G192" s="38" t="n"/>
      <c r="H192" s="33">
        <f>IF(OR(F192="",G192=""),"",G192-F192)</f>
        <v/>
      </c>
      <c r="I192" s="35" t="n"/>
      <c r="J192" s="35" t="n"/>
    </row>
    <row r="193">
      <c r="A193" s="33" t="inlineStr">
        <is>
          <t>D-189</t>
        </is>
      </c>
      <c r="B193" s="35" t="n"/>
      <c r="C193" s="35" t="n"/>
      <c r="D193" s="35" t="n"/>
      <c r="E193" s="35" t="n"/>
      <c r="F193" s="38" t="n"/>
      <c r="G193" s="38" t="n"/>
      <c r="H193" s="33">
        <f>IF(OR(F193="",G193=""),"",G193-F193)</f>
        <v/>
      </c>
      <c r="I193" s="35" t="n"/>
      <c r="J193" s="35" t="n"/>
    </row>
    <row r="194">
      <c r="A194" s="33" t="inlineStr">
        <is>
          <t>D-190</t>
        </is>
      </c>
      <c r="B194" s="35" t="n"/>
      <c r="C194" s="35" t="n"/>
      <c r="D194" s="35" t="n"/>
      <c r="E194" s="35" t="n"/>
      <c r="F194" s="38" t="n"/>
      <c r="G194" s="38" t="n"/>
      <c r="H194" s="33">
        <f>IF(OR(F194="",G194=""),"",G194-F194)</f>
        <v/>
      </c>
      <c r="I194" s="35" t="n"/>
      <c r="J194" s="35" t="n"/>
    </row>
    <row r="195">
      <c r="A195" s="33" t="inlineStr">
        <is>
          <t>D-191</t>
        </is>
      </c>
      <c r="B195" s="35" t="n"/>
      <c r="C195" s="35" t="n"/>
      <c r="D195" s="35" t="n"/>
      <c r="E195" s="35" t="n"/>
      <c r="F195" s="38" t="n"/>
      <c r="G195" s="38" t="n"/>
      <c r="H195" s="33">
        <f>IF(OR(F195="",G195=""),"",G195-F195)</f>
        <v/>
      </c>
      <c r="I195" s="35" t="n"/>
      <c r="J195" s="35" t="n"/>
    </row>
    <row r="196">
      <c r="A196" s="33" t="inlineStr">
        <is>
          <t>D-192</t>
        </is>
      </c>
      <c r="B196" s="35" t="n"/>
      <c r="C196" s="35" t="n"/>
      <c r="D196" s="35" t="n"/>
      <c r="E196" s="35" t="n"/>
      <c r="F196" s="38" t="n"/>
      <c r="G196" s="38" t="n"/>
      <c r="H196" s="33">
        <f>IF(OR(F196="",G196=""),"",G196-F196)</f>
        <v/>
      </c>
      <c r="I196" s="35" t="n"/>
      <c r="J196" s="35" t="n"/>
    </row>
    <row r="197">
      <c r="A197" s="33" t="inlineStr">
        <is>
          <t>D-193</t>
        </is>
      </c>
      <c r="B197" s="35" t="n"/>
      <c r="C197" s="35" t="n"/>
      <c r="D197" s="35" t="n"/>
      <c r="E197" s="35" t="n"/>
      <c r="F197" s="38" t="n"/>
      <c r="G197" s="38" t="n"/>
      <c r="H197" s="33">
        <f>IF(OR(F197="",G197=""),"",G197-F197)</f>
        <v/>
      </c>
      <c r="I197" s="35" t="n"/>
      <c r="J197" s="35" t="n"/>
    </row>
    <row r="198">
      <c r="A198" s="33" t="inlineStr">
        <is>
          <t>D-194</t>
        </is>
      </c>
      <c r="B198" s="35" t="n"/>
      <c r="C198" s="35" t="n"/>
      <c r="D198" s="35" t="n"/>
      <c r="E198" s="35" t="n"/>
      <c r="F198" s="38" t="n"/>
      <c r="G198" s="38" t="n"/>
      <c r="H198" s="33">
        <f>IF(OR(F198="",G198=""),"",G198-F198)</f>
        <v/>
      </c>
      <c r="I198" s="35" t="n"/>
      <c r="J198" s="35" t="n"/>
    </row>
    <row r="199">
      <c r="A199" s="33" t="inlineStr">
        <is>
          <t>D-195</t>
        </is>
      </c>
      <c r="B199" s="35" t="n"/>
      <c r="C199" s="35" t="n"/>
      <c r="D199" s="35" t="n"/>
      <c r="E199" s="35" t="n"/>
      <c r="F199" s="38" t="n"/>
      <c r="G199" s="38" t="n"/>
      <c r="H199" s="33">
        <f>IF(OR(F199="",G199=""),"",G199-F199)</f>
        <v/>
      </c>
      <c r="I199" s="35" t="n"/>
      <c r="J199" s="35" t="n"/>
    </row>
    <row r="200">
      <c r="A200" s="33" t="inlineStr">
        <is>
          <t>D-196</t>
        </is>
      </c>
      <c r="B200" s="35" t="n"/>
      <c r="C200" s="35" t="n"/>
      <c r="D200" s="35" t="n"/>
      <c r="E200" s="35" t="n"/>
      <c r="F200" s="38" t="n"/>
      <c r="G200" s="38" t="n"/>
      <c r="H200" s="33">
        <f>IF(OR(F200="",G200=""),"",G200-F200)</f>
        <v/>
      </c>
      <c r="I200" s="35" t="n"/>
      <c r="J200" s="35" t="n"/>
    </row>
    <row r="201">
      <c r="A201" s="33" t="inlineStr">
        <is>
          <t>D-197</t>
        </is>
      </c>
      <c r="B201" s="35" t="n"/>
      <c r="C201" s="35" t="n"/>
      <c r="D201" s="35" t="n"/>
      <c r="E201" s="35" t="n"/>
      <c r="F201" s="38" t="n"/>
      <c r="G201" s="38" t="n"/>
      <c r="H201" s="33">
        <f>IF(OR(F201="",G201=""),"",G201-F201)</f>
        <v/>
      </c>
      <c r="I201" s="35" t="n"/>
      <c r="J201" s="35" t="n"/>
    </row>
    <row r="202">
      <c r="A202" s="33" t="inlineStr">
        <is>
          <t>D-198</t>
        </is>
      </c>
      <c r="B202" s="35" t="n"/>
      <c r="C202" s="35" t="n"/>
      <c r="D202" s="35" t="n"/>
      <c r="E202" s="35" t="n"/>
      <c r="F202" s="38" t="n"/>
      <c r="G202" s="38" t="n"/>
      <c r="H202" s="33">
        <f>IF(OR(F202="",G202=""),"",G202-F202)</f>
        <v/>
      </c>
      <c r="I202" s="35" t="n"/>
      <c r="J202" s="35" t="n"/>
    </row>
    <row r="203">
      <c r="A203" s="33" t="inlineStr">
        <is>
          <t>D-199</t>
        </is>
      </c>
      <c r="B203" s="35" t="n"/>
      <c r="C203" s="35" t="n"/>
      <c r="D203" s="35" t="n"/>
      <c r="E203" s="35" t="n"/>
      <c r="F203" s="38" t="n"/>
      <c r="G203" s="38" t="n"/>
      <c r="H203" s="33">
        <f>IF(OR(F203="",G203=""),"",G203-F203)</f>
        <v/>
      </c>
      <c r="I203" s="35" t="n"/>
      <c r="J203" s="35" t="n"/>
    </row>
    <row r="204">
      <c r="A204" s="33" t="inlineStr">
        <is>
          <t>D-200</t>
        </is>
      </c>
      <c r="B204" s="35" t="n"/>
      <c r="C204" s="35" t="n"/>
      <c r="D204" s="35" t="n"/>
      <c r="E204" s="35" t="n"/>
      <c r="F204" s="38" t="n"/>
      <c r="G204" s="38" t="n"/>
      <c r="H204" s="33">
        <f>IF(OR(F204="",G204=""),"",G204-F204)</f>
        <v/>
      </c>
      <c r="I204" s="35" t="n"/>
      <c r="J204" s="35" t="n"/>
    </row>
    <row r="205">
      <c r="A205" s="33" t="inlineStr">
        <is>
          <t>D-201</t>
        </is>
      </c>
      <c r="B205" s="35" t="n"/>
      <c r="C205" s="35" t="n"/>
      <c r="D205" s="35" t="n"/>
      <c r="E205" s="35" t="n"/>
      <c r="F205" s="38" t="n"/>
      <c r="G205" s="38" t="n"/>
      <c r="H205" s="33">
        <f>IF(OR(F205="",G205=""),"",G205-F205)</f>
        <v/>
      </c>
      <c r="I205" s="35" t="n"/>
      <c r="J205" s="35" t="n"/>
    </row>
    <row r="206">
      <c r="A206" s="33" t="inlineStr">
        <is>
          <t>D-202</t>
        </is>
      </c>
      <c r="B206" s="35" t="n"/>
      <c r="C206" s="35" t="n"/>
      <c r="D206" s="35" t="n"/>
      <c r="E206" s="35" t="n"/>
      <c r="F206" s="38" t="n"/>
      <c r="G206" s="38" t="n"/>
      <c r="H206" s="33">
        <f>IF(OR(F206="",G206=""),"",G206-F206)</f>
        <v/>
      </c>
      <c r="I206" s="35" t="n"/>
      <c r="J206" s="35" t="n"/>
    </row>
    <row r="207">
      <c r="A207" s="33" t="inlineStr">
        <is>
          <t>D-203</t>
        </is>
      </c>
      <c r="B207" s="35" t="n"/>
      <c r="C207" s="35" t="n"/>
      <c r="D207" s="35" t="n"/>
      <c r="E207" s="35" t="n"/>
      <c r="F207" s="38" t="n"/>
      <c r="G207" s="38" t="n"/>
      <c r="H207" s="33">
        <f>IF(OR(F207="",G207=""),"",G207-F207)</f>
        <v/>
      </c>
      <c r="I207" s="35" t="n"/>
      <c r="J207" s="35" t="n"/>
    </row>
    <row r="208">
      <c r="A208" s="33" t="inlineStr">
        <is>
          <t>D-204</t>
        </is>
      </c>
      <c r="B208" s="35" t="n"/>
      <c r="C208" s="35" t="n"/>
      <c r="D208" s="35" t="n"/>
      <c r="E208" s="35" t="n"/>
      <c r="F208" s="38" t="n"/>
      <c r="G208" s="38" t="n"/>
      <c r="H208" s="33">
        <f>IF(OR(F208="",G208=""),"",G208-F208)</f>
        <v/>
      </c>
      <c r="I208" s="35" t="n"/>
      <c r="J208" s="35" t="n"/>
    </row>
    <row r="209">
      <c r="A209" s="33" t="inlineStr">
        <is>
          <t>D-205</t>
        </is>
      </c>
      <c r="B209" s="35" t="n"/>
      <c r="C209" s="35" t="n"/>
      <c r="D209" s="35" t="n"/>
      <c r="E209" s="35" t="n"/>
      <c r="F209" s="38" t="n"/>
      <c r="G209" s="38" t="n"/>
      <c r="H209" s="33">
        <f>IF(OR(F209="",G209=""),"",G209-F209)</f>
        <v/>
      </c>
      <c r="I209" s="35" t="n"/>
      <c r="J209" s="35" t="n"/>
    </row>
    <row r="210">
      <c r="A210" s="33" t="inlineStr">
        <is>
          <t>D-206</t>
        </is>
      </c>
      <c r="B210" s="35" t="n"/>
      <c r="C210" s="35" t="n"/>
      <c r="D210" s="35" t="n"/>
      <c r="E210" s="35" t="n"/>
      <c r="F210" s="38" t="n"/>
      <c r="G210" s="38" t="n"/>
      <c r="H210" s="33">
        <f>IF(OR(F210="",G210=""),"",G210-F210)</f>
        <v/>
      </c>
      <c r="I210" s="35" t="n"/>
      <c r="J210" s="35" t="n"/>
    </row>
    <row r="211">
      <c r="A211" s="33" t="inlineStr">
        <is>
          <t>D-207</t>
        </is>
      </c>
      <c r="B211" s="35" t="n"/>
      <c r="C211" s="35" t="n"/>
      <c r="D211" s="35" t="n"/>
      <c r="E211" s="35" t="n"/>
      <c r="F211" s="38" t="n"/>
      <c r="G211" s="38" t="n"/>
      <c r="H211" s="33">
        <f>IF(OR(F211="",G211=""),"",G211-F211)</f>
        <v/>
      </c>
      <c r="I211" s="35" t="n"/>
      <c r="J211" s="35" t="n"/>
    </row>
    <row r="212">
      <c r="A212" s="33" t="inlineStr">
        <is>
          <t>D-208</t>
        </is>
      </c>
      <c r="B212" s="35" t="n"/>
      <c r="C212" s="35" t="n"/>
      <c r="D212" s="35" t="n"/>
      <c r="E212" s="35" t="n"/>
      <c r="F212" s="38" t="n"/>
      <c r="G212" s="38" t="n"/>
      <c r="H212" s="33">
        <f>IF(OR(F212="",G212=""),"",G212-F212)</f>
        <v/>
      </c>
      <c r="I212" s="35" t="n"/>
      <c r="J212" s="35" t="n"/>
    </row>
    <row r="213">
      <c r="A213" s="33" t="inlineStr">
        <is>
          <t>D-209</t>
        </is>
      </c>
      <c r="B213" s="35" t="n"/>
      <c r="C213" s="35" t="n"/>
      <c r="D213" s="35" t="n"/>
      <c r="E213" s="35" t="n"/>
      <c r="F213" s="38" t="n"/>
      <c r="G213" s="38" t="n"/>
      <c r="H213" s="33">
        <f>IF(OR(F213="",G213=""),"",G213-F213)</f>
        <v/>
      </c>
      <c r="I213" s="35" t="n"/>
      <c r="J213" s="35" t="n"/>
    </row>
    <row r="214">
      <c r="A214" s="33" t="inlineStr">
        <is>
          <t>D-210</t>
        </is>
      </c>
      <c r="B214" s="35" t="n"/>
      <c r="C214" s="35" t="n"/>
      <c r="D214" s="35" t="n"/>
      <c r="E214" s="35" t="n"/>
      <c r="F214" s="38" t="n"/>
      <c r="G214" s="38" t="n"/>
      <c r="H214" s="33">
        <f>IF(OR(F214="",G214=""),"",G214-F214)</f>
        <v/>
      </c>
      <c r="I214" s="35" t="n"/>
      <c r="J214" s="35" t="n"/>
    </row>
    <row r="215">
      <c r="A215" s="33" t="inlineStr">
        <is>
          <t>D-211</t>
        </is>
      </c>
      <c r="B215" s="35" t="n"/>
      <c r="C215" s="35" t="n"/>
      <c r="D215" s="35" t="n"/>
      <c r="E215" s="35" t="n"/>
      <c r="F215" s="38" t="n"/>
      <c r="G215" s="38" t="n"/>
      <c r="H215" s="33">
        <f>IF(OR(F215="",G215=""),"",G215-F215)</f>
        <v/>
      </c>
      <c r="I215" s="35" t="n"/>
      <c r="J215" s="35" t="n"/>
    </row>
    <row r="216">
      <c r="A216" s="33" t="inlineStr">
        <is>
          <t>D-212</t>
        </is>
      </c>
      <c r="B216" s="35" t="n"/>
      <c r="C216" s="35" t="n"/>
      <c r="D216" s="35" t="n"/>
      <c r="E216" s="35" t="n"/>
      <c r="F216" s="38" t="n"/>
      <c r="G216" s="38" t="n"/>
      <c r="H216" s="33">
        <f>IF(OR(F216="",G216=""),"",G216-F216)</f>
        <v/>
      </c>
      <c r="I216" s="35" t="n"/>
      <c r="J216" s="35" t="n"/>
    </row>
    <row r="217">
      <c r="A217" s="33" t="inlineStr">
        <is>
          <t>D-213</t>
        </is>
      </c>
      <c r="B217" s="35" t="n"/>
      <c r="C217" s="35" t="n"/>
      <c r="D217" s="35" t="n"/>
      <c r="E217" s="35" t="n"/>
      <c r="F217" s="38" t="n"/>
      <c r="G217" s="38" t="n"/>
      <c r="H217" s="33">
        <f>IF(OR(F217="",G217=""),"",G217-F217)</f>
        <v/>
      </c>
      <c r="I217" s="35" t="n"/>
      <c r="J217" s="35" t="n"/>
    </row>
    <row r="218">
      <c r="A218" s="33" t="inlineStr">
        <is>
          <t>D-214</t>
        </is>
      </c>
      <c r="B218" s="35" t="n"/>
      <c r="C218" s="35" t="n"/>
      <c r="D218" s="35" t="n"/>
      <c r="E218" s="35" t="n"/>
      <c r="F218" s="38" t="n"/>
      <c r="G218" s="38" t="n"/>
      <c r="H218" s="33">
        <f>IF(OR(F218="",G218=""),"",G218-F218)</f>
        <v/>
      </c>
      <c r="I218" s="35" t="n"/>
      <c r="J218" s="35" t="n"/>
    </row>
    <row r="219">
      <c r="A219" s="33" t="inlineStr">
        <is>
          <t>D-215</t>
        </is>
      </c>
      <c r="B219" s="35" t="n"/>
      <c r="C219" s="35" t="n"/>
      <c r="D219" s="35" t="n"/>
      <c r="E219" s="35" t="n"/>
      <c r="F219" s="38" t="n"/>
      <c r="G219" s="38" t="n"/>
      <c r="H219" s="33">
        <f>IF(OR(F219="",G219=""),"",G219-F219)</f>
        <v/>
      </c>
      <c r="I219" s="35" t="n"/>
      <c r="J219" s="35" t="n"/>
    </row>
    <row r="220">
      <c r="A220" s="33" t="inlineStr">
        <is>
          <t>D-216</t>
        </is>
      </c>
      <c r="B220" s="35" t="n"/>
      <c r="C220" s="35" t="n"/>
      <c r="D220" s="35" t="n"/>
      <c r="E220" s="35" t="n"/>
      <c r="F220" s="38" t="n"/>
      <c r="G220" s="38" t="n"/>
      <c r="H220" s="33">
        <f>IF(OR(F220="",G220=""),"",G220-F220)</f>
        <v/>
      </c>
      <c r="I220" s="35" t="n"/>
      <c r="J220" s="35" t="n"/>
    </row>
    <row r="221">
      <c r="A221" s="33" t="inlineStr">
        <is>
          <t>D-217</t>
        </is>
      </c>
      <c r="B221" s="35" t="n"/>
      <c r="C221" s="35" t="n"/>
      <c r="D221" s="35" t="n"/>
      <c r="E221" s="35" t="n"/>
      <c r="F221" s="38" t="n"/>
      <c r="G221" s="38" t="n"/>
      <c r="H221" s="33">
        <f>IF(OR(F221="",G221=""),"",G221-F221)</f>
        <v/>
      </c>
      <c r="I221" s="35" t="n"/>
      <c r="J221" s="35" t="n"/>
    </row>
    <row r="222">
      <c r="A222" s="33" t="inlineStr">
        <is>
          <t>D-218</t>
        </is>
      </c>
      <c r="B222" s="35" t="n"/>
      <c r="C222" s="35" t="n"/>
      <c r="D222" s="35" t="n"/>
      <c r="E222" s="35" t="n"/>
      <c r="F222" s="38" t="n"/>
      <c r="G222" s="38" t="n"/>
      <c r="H222" s="33">
        <f>IF(OR(F222="",G222=""),"",G222-F222)</f>
        <v/>
      </c>
      <c r="I222" s="35" t="n"/>
      <c r="J222" s="35" t="n"/>
    </row>
    <row r="223">
      <c r="A223" s="33" t="inlineStr">
        <is>
          <t>D-219</t>
        </is>
      </c>
      <c r="B223" s="35" t="n"/>
      <c r="C223" s="35" t="n"/>
      <c r="D223" s="35" t="n"/>
      <c r="E223" s="35" t="n"/>
      <c r="F223" s="38" t="n"/>
      <c r="G223" s="38" t="n"/>
      <c r="H223" s="33">
        <f>IF(OR(F223="",G223=""),"",G223-F223)</f>
        <v/>
      </c>
      <c r="I223" s="35" t="n"/>
      <c r="J223" s="35" t="n"/>
    </row>
    <row r="224">
      <c r="A224" s="33" t="inlineStr">
        <is>
          <t>D-220</t>
        </is>
      </c>
      <c r="B224" s="35" t="n"/>
      <c r="C224" s="35" t="n"/>
      <c r="D224" s="35" t="n"/>
      <c r="E224" s="35" t="n"/>
      <c r="F224" s="38" t="n"/>
      <c r="G224" s="38" t="n"/>
      <c r="H224" s="33">
        <f>IF(OR(F224="",G224=""),"",G224-F224)</f>
        <v/>
      </c>
      <c r="I224" s="35" t="n"/>
      <c r="J224" s="35" t="n"/>
    </row>
    <row r="225">
      <c r="A225" s="33" t="inlineStr">
        <is>
          <t>D-221</t>
        </is>
      </c>
      <c r="B225" s="35" t="n"/>
      <c r="C225" s="35" t="n"/>
      <c r="D225" s="35" t="n"/>
      <c r="E225" s="35" t="n"/>
      <c r="F225" s="38" t="n"/>
      <c r="G225" s="38" t="n"/>
      <c r="H225" s="33">
        <f>IF(OR(F225="",G225=""),"",G225-F225)</f>
        <v/>
      </c>
      <c r="I225" s="35" t="n"/>
      <c r="J225" s="35" t="n"/>
    </row>
    <row r="226">
      <c r="A226" s="33" t="inlineStr">
        <is>
          <t>D-222</t>
        </is>
      </c>
      <c r="B226" s="35" t="n"/>
      <c r="C226" s="35" t="n"/>
      <c r="D226" s="35" t="n"/>
      <c r="E226" s="35" t="n"/>
      <c r="F226" s="38" t="n"/>
      <c r="G226" s="38" t="n"/>
      <c r="H226" s="33">
        <f>IF(OR(F226="",G226=""),"",G226-F226)</f>
        <v/>
      </c>
      <c r="I226" s="35" t="n"/>
      <c r="J226" s="35" t="n"/>
    </row>
    <row r="227">
      <c r="A227" s="33" t="inlineStr">
        <is>
          <t>D-223</t>
        </is>
      </c>
      <c r="B227" s="35" t="n"/>
      <c r="C227" s="35" t="n"/>
      <c r="D227" s="35" t="n"/>
      <c r="E227" s="35" t="n"/>
      <c r="F227" s="38" t="n"/>
      <c r="G227" s="38" t="n"/>
      <c r="H227" s="33">
        <f>IF(OR(F227="",G227=""),"",G227-F227)</f>
        <v/>
      </c>
      <c r="I227" s="35" t="n"/>
      <c r="J227" s="35" t="n"/>
    </row>
    <row r="228">
      <c r="A228" s="33" t="inlineStr">
        <is>
          <t>D-224</t>
        </is>
      </c>
      <c r="B228" s="35" t="n"/>
      <c r="C228" s="35" t="n"/>
      <c r="D228" s="35" t="n"/>
      <c r="E228" s="35" t="n"/>
      <c r="F228" s="38" t="n"/>
      <c r="G228" s="38" t="n"/>
      <c r="H228" s="33">
        <f>IF(OR(F228="",G228=""),"",G228-F228)</f>
        <v/>
      </c>
      <c r="I228" s="35" t="n"/>
      <c r="J228" s="35" t="n"/>
    </row>
    <row r="229">
      <c r="A229" s="33" t="inlineStr">
        <is>
          <t>D-225</t>
        </is>
      </c>
      <c r="B229" s="35" t="n"/>
      <c r="C229" s="35" t="n"/>
      <c r="D229" s="35" t="n"/>
      <c r="E229" s="35" t="n"/>
      <c r="F229" s="38" t="n"/>
      <c r="G229" s="38" t="n"/>
      <c r="H229" s="33">
        <f>IF(OR(F229="",G229=""),"",G229-F229)</f>
        <v/>
      </c>
      <c r="I229" s="35" t="n"/>
      <c r="J229" s="35" t="n"/>
    </row>
    <row r="230">
      <c r="A230" s="33" t="inlineStr">
        <is>
          <t>D-226</t>
        </is>
      </c>
      <c r="B230" s="35" t="n"/>
      <c r="C230" s="35" t="n"/>
      <c r="D230" s="35" t="n"/>
      <c r="E230" s="35" t="n"/>
      <c r="F230" s="38" t="n"/>
      <c r="G230" s="38" t="n"/>
      <c r="H230" s="33">
        <f>IF(OR(F230="",G230=""),"",G230-F230)</f>
        <v/>
      </c>
      <c r="I230" s="35" t="n"/>
      <c r="J230" s="35" t="n"/>
    </row>
    <row r="231">
      <c r="A231" s="33" t="inlineStr">
        <is>
          <t>D-227</t>
        </is>
      </c>
      <c r="B231" s="35" t="n"/>
      <c r="C231" s="35" t="n"/>
      <c r="D231" s="35" t="n"/>
      <c r="E231" s="35" t="n"/>
      <c r="F231" s="38" t="n"/>
      <c r="G231" s="38" t="n"/>
      <c r="H231" s="33">
        <f>IF(OR(F231="",G231=""),"",G231-F231)</f>
        <v/>
      </c>
      <c r="I231" s="35" t="n"/>
      <c r="J231" s="35" t="n"/>
    </row>
    <row r="232">
      <c r="A232" s="33" t="inlineStr">
        <is>
          <t>D-228</t>
        </is>
      </c>
      <c r="B232" s="35" t="n"/>
      <c r="C232" s="35" t="n"/>
      <c r="D232" s="35" t="n"/>
      <c r="E232" s="35" t="n"/>
      <c r="F232" s="38" t="n"/>
      <c r="G232" s="38" t="n"/>
      <c r="H232" s="33">
        <f>IF(OR(F232="",G232=""),"",G232-F232)</f>
        <v/>
      </c>
      <c r="I232" s="35" t="n"/>
      <c r="J232" s="35" t="n"/>
    </row>
    <row r="233">
      <c r="A233" s="33" t="inlineStr">
        <is>
          <t>D-229</t>
        </is>
      </c>
      <c r="B233" s="35" t="n"/>
      <c r="C233" s="35" t="n"/>
      <c r="D233" s="35" t="n"/>
      <c r="E233" s="35" t="n"/>
      <c r="F233" s="38" t="n"/>
      <c r="G233" s="38" t="n"/>
      <c r="H233" s="33">
        <f>IF(OR(F233="",G233=""),"",G233-F233)</f>
        <v/>
      </c>
      <c r="I233" s="35" t="n"/>
      <c r="J233" s="35" t="n"/>
    </row>
    <row r="234">
      <c r="A234" s="33" t="inlineStr">
        <is>
          <t>D-230</t>
        </is>
      </c>
      <c r="B234" s="35" t="n"/>
      <c r="C234" s="35" t="n"/>
      <c r="D234" s="35" t="n"/>
      <c r="E234" s="35" t="n"/>
      <c r="F234" s="38" t="n"/>
      <c r="G234" s="38" t="n"/>
      <c r="H234" s="33">
        <f>IF(OR(F234="",G234=""),"",G234-F234)</f>
        <v/>
      </c>
      <c r="I234" s="35" t="n"/>
      <c r="J234" s="35" t="n"/>
    </row>
    <row r="235">
      <c r="A235" s="33" t="inlineStr">
        <is>
          <t>D-231</t>
        </is>
      </c>
      <c r="B235" s="35" t="n"/>
      <c r="C235" s="35" t="n"/>
      <c r="D235" s="35" t="n"/>
      <c r="E235" s="35" t="n"/>
      <c r="F235" s="38" t="n"/>
      <c r="G235" s="38" t="n"/>
      <c r="H235" s="33">
        <f>IF(OR(F235="",G235=""),"",G235-F235)</f>
        <v/>
      </c>
      <c r="I235" s="35" t="n"/>
      <c r="J235" s="35" t="n"/>
    </row>
    <row r="236">
      <c r="A236" s="33" t="inlineStr">
        <is>
          <t>D-232</t>
        </is>
      </c>
      <c r="B236" s="35" t="n"/>
      <c r="C236" s="35" t="n"/>
      <c r="D236" s="35" t="n"/>
      <c r="E236" s="35" t="n"/>
      <c r="F236" s="38" t="n"/>
      <c r="G236" s="38" t="n"/>
      <c r="H236" s="33">
        <f>IF(OR(F236="",G236=""),"",G236-F236)</f>
        <v/>
      </c>
      <c r="I236" s="35" t="n"/>
      <c r="J236" s="35" t="n"/>
    </row>
    <row r="237">
      <c r="A237" s="33" t="inlineStr">
        <is>
          <t>D-233</t>
        </is>
      </c>
      <c r="B237" s="35" t="n"/>
      <c r="C237" s="35" t="n"/>
      <c r="D237" s="35" t="n"/>
      <c r="E237" s="35" t="n"/>
      <c r="F237" s="38" t="n"/>
      <c r="G237" s="38" t="n"/>
      <c r="H237" s="33">
        <f>IF(OR(F237="",G237=""),"",G237-F237)</f>
        <v/>
      </c>
      <c r="I237" s="35" t="n"/>
      <c r="J237" s="35" t="n"/>
    </row>
    <row r="238">
      <c r="A238" s="33" t="inlineStr">
        <is>
          <t>D-234</t>
        </is>
      </c>
      <c r="B238" s="35" t="n"/>
      <c r="C238" s="35" t="n"/>
      <c r="D238" s="35" t="n"/>
      <c r="E238" s="35" t="n"/>
      <c r="F238" s="38" t="n"/>
      <c r="G238" s="38" t="n"/>
      <c r="H238" s="33">
        <f>IF(OR(F238="",G238=""),"",G238-F238)</f>
        <v/>
      </c>
      <c r="I238" s="35" t="n"/>
      <c r="J238" s="35" t="n"/>
    </row>
    <row r="239">
      <c r="A239" s="33" t="inlineStr">
        <is>
          <t>D-235</t>
        </is>
      </c>
      <c r="B239" s="35" t="n"/>
      <c r="C239" s="35" t="n"/>
      <c r="D239" s="35" t="n"/>
      <c r="E239" s="35" t="n"/>
      <c r="F239" s="38" t="n"/>
      <c r="G239" s="38" t="n"/>
      <c r="H239" s="33">
        <f>IF(OR(F239="",G239=""),"",G239-F239)</f>
        <v/>
      </c>
      <c r="I239" s="35" t="n"/>
      <c r="J239" s="35" t="n"/>
    </row>
    <row r="240">
      <c r="A240" s="33" t="inlineStr">
        <is>
          <t>D-236</t>
        </is>
      </c>
      <c r="B240" s="35" t="n"/>
      <c r="C240" s="35" t="n"/>
      <c r="D240" s="35" t="n"/>
      <c r="E240" s="35" t="n"/>
      <c r="F240" s="38" t="n"/>
      <c r="G240" s="38" t="n"/>
      <c r="H240" s="33">
        <f>IF(OR(F240="",G240=""),"",G240-F240)</f>
        <v/>
      </c>
      <c r="I240" s="35" t="n"/>
      <c r="J240" s="35" t="n"/>
    </row>
    <row r="241">
      <c r="A241" s="33" t="inlineStr">
        <is>
          <t>D-237</t>
        </is>
      </c>
      <c r="B241" s="35" t="n"/>
      <c r="C241" s="35" t="n"/>
      <c r="D241" s="35" t="n"/>
      <c r="E241" s="35" t="n"/>
      <c r="F241" s="38" t="n"/>
      <c r="G241" s="38" t="n"/>
      <c r="H241" s="33">
        <f>IF(OR(F241="",G241=""),"",G241-F241)</f>
        <v/>
      </c>
      <c r="I241" s="35" t="n"/>
      <c r="J241" s="35" t="n"/>
    </row>
    <row r="242">
      <c r="A242" s="33" t="inlineStr">
        <is>
          <t>D-238</t>
        </is>
      </c>
      <c r="B242" s="35" t="n"/>
      <c r="C242" s="35" t="n"/>
      <c r="D242" s="35" t="n"/>
      <c r="E242" s="35" t="n"/>
      <c r="F242" s="38" t="n"/>
      <c r="G242" s="38" t="n"/>
      <c r="H242" s="33">
        <f>IF(OR(F242="",G242=""),"",G242-F242)</f>
        <v/>
      </c>
      <c r="I242" s="35" t="n"/>
      <c r="J242" s="35" t="n"/>
    </row>
    <row r="243">
      <c r="A243" s="33" t="inlineStr">
        <is>
          <t>D-239</t>
        </is>
      </c>
      <c r="B243" s="35" t="n"/>
      <c r="C243" s="35" t="n"/>
      <c r="D243" s="35" t="n"/>
      <c r="E243" s="35" t="n"/>
      <c r="F243" s="38" t="n"/>
      <c r="G243" s="38" t="n"/>
      <c r="H243" s="33">
        <f>IF(OR(F243="",G243=""),"",G243-F243)</f>
        <v/>
      </c>
      <c r="I243" s="35" t="n"/>
      <c r="J243" s="35" t="n"/>
    </row>
    <row r="244">
      <c r="A244" s="33" t="inlineStr">
        <is>
          <t>D-240</t>
        </is>
      </c>
      <c r="B244" s="35" t="n"/>
      <c r="C244" s="35" t="n"/>
      <c r="D244" s="35" t="n"/>
      <c r="E244" s="35" t="n"/>
      <c r="F244" s="38" t="n"/>
      <c r="G244" s="38" t="n"/>
      <c r="H244" s="33">
        <f>IF(OR(F244="",G244=""),"",G244-F244)</f>
        <v/>
      </c>
      <c r="I244" s="35" t="n"/>
      <c r="J244" s="35" t="n"/>
    </row>
    <row r="245">
      <c r="A245" s="33" t="inlineStr">
        <is>
          <t>D-241</t>
        </is>
      </c>
      <c r="B245" s="35" t="n"/>
      <c r="C245" s="35" t="n"/>
      <c r="D245" s="35" t="n"/>
      <c r="E245" s="35" t="n"/>
      <c r="F245" s="38" t="n"/>
      <c r="G245" s="38" t="n"/>
      <c r="H245" s="33">
        <f>IF(OR(F245="",G245=""),"",G245-F245)</f>
        <v/>
      </c>
      <c r="I245" s="35" t="n"/>
      <c r="J245" s="35" t="n"/>
    </row>
    <row r="246">
      <c r="A246" s="33" t="inlineStr">
        <is>
          <t>D-242</t>
        </is>
      </c>
      <c r="B246" s="35" t="n"/>
      <c r="C246" s="35" t="n"/>
      <c r="D246" s="35" t="n"/>
      <c r="E246" s="35" t="n"/>
      <c r="F246" s="38" t="n"/>
      <c r="G246" s="38" t="n"/>
      <c r="H246" s="33">
        <f>IF(OR(F246="",G246=""),"",G246-F246)</f>
        <v/>
      </c>
      <c r="I246" s="35" t="n"/>
      <c r="J246" s="35" t="n"/>
    </row>
    <row r="247">
      <c r="A247" s="33" t="inlineStr">
        <is>
          <t>D-243</t>
        </is>
      </c>
      <c r="B247" s="35" t="n"/>
      <c r="C247" s="35" t="n"/>
      <c r="D247" s="35" t="n"/>
      <c r="E247" s="35" t="n"/>
      <c r="F247" s="38" t="n"/>
      <c r="G247" s="38" t="n"/>
      <c r="H247" s="33">
        <f>IF(OR(F247="",G247=""),"",G247-F247)</f>
        <v/>
      </c>
      <c r="I247" s="35" t="n"/>
      <c r="J247" s="35" t="n"/>
    </row>
    <row r="248">
      <c r="A248" s="33" t="inlineStr">
        <is>
          <t>D-244</t>
        </is>
      </c>
      <c r="B248" s="35" t="n"/>
      <c r="C248" s="35" t="n"/>
      <c r="D248" s="35" t="n"/>
      <c r="E248" s="35" t="n"/>
      <c r="F248" s="38" t="n"/>
      <c r="G248" s="38" t="n"/>
      <c r="H248" s="33">
        <f>IF(OR(F248="",G248=""),"",G248-F248)</f>
        <v/>
      </c>
      <c r="I248" s="35" t="n"/>
      <c r="J248" s="35" t="n"/>
    </row>
    <row r="249">
      <c r="A249" s="33" t="inlineStr">
        <is>
          <t>D-245</t>
        </is>
      </c>
      <c r="B249" s="35" t="n"/>
      <c r="C249" s="35" t="n"/>
      <c r="D249" s="35" t="n"/>
      <c r="E249" s="35" t="n"/>
      <c r="F249" s="38" t="n"/>
      <c r="G249" s="38" t="n"/>
      <c r="H249" s="33">
        <f>IF(OR(F249="",G249=""),"",G249-F249)</f>
        <v/>
      </c>
      <c r="I249" s="35" t="n"/>
      <c r="J249" s="35" t="n"/>
    </row>
    <row r="250">
      <c r="A250" s="33" t="inlineStr">
        <is>
          <t>D-246</t>
        </is>
      </c>
      <c r="B250" s="35" t="n"/>
      <c r="C250" s="35" t="n"/>
      <c r="D250" s="35" t="n"/>
      <c r="E250" s="35" t="n"/>
      <c r="F250" s="38" t="n"/>
      <c r="G250" s="38" t="n"/>
      <c r="H250" s="33">
        <f>IF(OR(F250="",G250=""),"",G250-F250)</f>
        <v/>
      </c>
      <c r="I250" s="35" t="n"/>
      <c r="J250" s="35" t="n"/>
    </row>
    <row r="251">
      <c r="A251" s="33" t="inlineStr">
        <is>
          <t>D-247</t>
        </is>
      </c>
      <c r="B251" s="35" t="n"/>
      <c r="C251" s="35" t="n"/>
      <c r="D251" s="35" t="n"/>
      <c r="E251" s="35" t="n"/>
      <c r="F251" s="38" t="n"/>
      <c r="G251" s="38" t="n"/>
      <c r="H251" s="33">
        <f>IF(OR(F251="",G251=""),"",G251-F251)</f>
        <v/>
      </c>
      <c r="I251" s="35" t="n"/>
      <c r="J251" s="35" t="n"/>
    </row>
    <row r="252">
      <c r="A252" s="33" t="inlineStr">
        <is>
          <t>D-248</t>
        </is>
      </c>
      <c r="B252" s="35" t="n"/>
      <c r="C252" s="35" t="n"/>
      <c r="D252" s="35" t="n"/>
      <c r="E252" s="35" t="n"/>
      <c r="F252" s="38" t="n"/>
      <c r="G252" s="38" t="n"/>
      <c r="H252" s="33">
        <f>IF(OR(F252="",G252=""),"",G252-F252)</f>
        <v/>
      </c>
      <c r="I252" s="35" t="n"/>
      <c r="J252" s="35" t="n"/>
    </row>
    <row r="253">
      <c r="A253" s="33" t="inlineStr">
        <is>
          <t>D-249</t>
        </is>
      </c>
      <c r="B253" s="35" t="n"/>
      <c r="C253" s="35" t="n"/>
      <c r="D253" s="35" t="n"/>
      <c r="E253" s="35" t="n"/>
      <c r="F253" s="38" t="n"/>
      <c r="G253" s="38" t="n"/>
      <c r="H253" s="33">
        <f>IF(OR(F253="",G253=""),"",G253-F253)</f>
        <v/>
      </c>
      <c r="I253" s="35" t="n"/>
      <c r="J253" s="35" t="n"/>
    </row>
    <row r="254">
      <c r="A254" s="33" t="inlineStr">
        <is>
          <t>D-250</t>
        </is>
      </c>
      <c r="B254" s="35" t="n"/>
      <c r="C254" s="35" t="n"/>
      <c r="D254" s="35" t="n"/>
      <c r="E254" s="35" t="n"/>
      <c r="F254" s="38" t="n"/>
      <c r="G254" s="38" t="n"/>
      <c r="H254" s="33">
        <f>IF(OR(F254="",G254=""),"",G254-F254)</f>
        <v/>
      </c>
      <c r="I254" s="35" t="n"/>
      <c r="J254" s="35" t="n"/>
    </row>
    <row r="255">
      <c r="A255" s="33" t="inlineStr">
        <is>
          <t>D-251</t>
        </is>
      </c>
      <c r="B255" s="35" t="n"/>
      <c r="C255" s="35" t="n"/>
      <c r="D255" s="35" t="n"/>
      <c r="E255" s="35" t="n"/>
      <c r="F255" s="38" t="n"/>
      <c r="G255" s="38" t="n"/>
      <c r="H255" s="33">
        <f>IF(OR(F255="",G255=""),"",G255-F255)</f>
        <v/>
      </c>
      <c r="I255" s="35" t="n"/>
      <c r="J255" s="35" t="n"/>
    </row>
    <row r="256">
      <c r="A256" s="33" t="inlineStr">
        <is>
          <t>D-252</t>
        </is>
      </c>
      <c r="B256" s="35" t="n"/>
      <c r="C256" s="35" t="n"/>
      <c r="D256" s="35" t="n"/>
      <c r="E256" s="35" t="n"/>
      <c r="F256" s="38" t="n"/>
      <c r="G256" s="38" t="n"/>
      <c r="H256" s="33">
        <f>IF(OR(F256="",G256=""),"",G256-F256)</f>
        <v/>
      </c>
      <c r="I256" s="35" t="n"/>
      <c r="J256" s="35" t="n"/>
    </row>
    <row r="257">
      <c r="A257" s="33" t="inlineStr">
        <is>
          <t>D-253</t>
        </is>
      </c>
      <c r="B257" s="35" t="n"/>
      <c r="C257" s="35" t="n"/>
      <c r="D257" s="35" t="n"/>
      <c r="E257" s="35" t="n"/>
      <c r="F257" s="38" t="n"/>
      <c r="G257" s="38" t="n"/>
      <c r="H257" s="33">
        <f>IF(OR(F257="",G257=""),"",G257-F257)</f>
        <v/>
      </c>
      <c r="I257" s="35" t="n"/>
      <c r="J257" s="35" t="n"/>
    </row>
    <row r="258">
      <c r="A258" s="33" t="inlineStr">
        <is>
          <t>D-254</t>
        </is>
      </c>
      <c r="B258" s="35" t="n"/>
      <c r="C258" s="35" t="n"/>
      <c r="D258" s="35" t="n"/>
      <c r="E258" s="35" t="n"/>
      <c r="F258" s="38" t="n"/>
      <c r="G258" s="38" t="n"/>
      <c r="H258" s="33">
        <f>IF(OR(F258="",G258=""),"",G258-F258)</f>
        <v/>
      </c>
      <c r="I258" s="35" t="n"/>
      <c r="J258" s="35" t="n"/>
    </row>
    <row r="259">
      <c r="A259" s="33" t="inlineStr">
        <is>
          <t>D-255</t>
        </is>
      </c>
      <c r="B259" s="35" t="n"/>
      <c r="C259" s="35" t="n"/>
      <c r="D259" s="35" t="n"/>
      <c r="E259" s="35" t="n"/>
      <c r="F259" s="38" t="n"/>
      <c r="G259" s="38" t="n"/>
      <c r="H259" s="33">
        <f>IF(OR(F259="",G259=""),"",G259-F259)</f>
        <v/>
      </c>
      <c r="I259" s="35" t="n"/>
      <c r="J259" s="35" t="n"/>
    </row>
    <row r="260">
      <c r="A260" s="33" t="inlineStr">
        <is>
          <t>D-256</t>
        </is>
      </c>
      <c r="B260" s="35" t="n"/>
      <c r="C260" s="35" t="n"/>
      <c r="D260" s="35" t="n"/>
      <c r="E260" s="35" t="n"/>
      <c r="F260" s="38" t="n"/>
      <c r="G260" s="38" t="n"/>
      <c r="H260" s="33">
        <f>IF(OR(F260="",G260=""),"",G260-F260)</f>
        <v/>
      </c>
      <c r="I260" s="35" t="n"/>
      <c r="J260" s="35" t="n"/>
    </row>
    <row r="261">
      <c r="A261" s="33" t="inlineStr">
        <is>
          <t>D-257</t>
        </is>
      </c>
      <c r="B261" s="35" t="n"/>
      <c r="C261" s="35" t="n"/>
      <c r="D261" s="35" t="n"/>
      <c r="E261" s="35" t="n"/>
      <c r="F261" s="38" t="n"/>
      <c r="G261" s="38" t="n"/>
      <c r="H261" s="33">
        <f>IF(OR(F261="",G261=""),"",G261-F261)</f>
        <v/>
      </c>
      <c r="I261" s="35" t="n"/>
      <c r="J261" s="35" t="n"/>
    </row>
    <row r="262">
      <c r="A262" s="33" t="inlineStr">
        <is>
          <t>D-258</t>
        </is>
      </c>
      <c r="B262" s="35" t="n"/>
      <c r="C262" s="35" t="n"/>
      <c r="D262" s="35" t="n"/>
      <c r="E262" s="35" t="n"/>
      <c r="F262" s="38" t="n"/>
      <c r="G262" s="38" t="n"/>
      <c r="H262" s="33">
        <f>IF(OR(F262="",G262=""),"",G262-F262)</f>
        <v/>
      </c>
      <c r="I262" s="35" t="n"/>
      <c r="J262" s="35" t="n"/>
    </row>
    <row r="263">
      <c r="A263" s="33" t="inlineStr">
        <is>
          <t>D-259</t>
        </is>
      </c>
      <c r="B263" s="35" t="n"/>
      <c r="C263" s="35" t="n"/>
      <c r="D263" s="35" t="n"/>
      <c r="E263" s="35" t="n"/>
      <c r="F263" s="38" t="n"/>
      <c r="G263" s="38" t="n"/>
      <c r="H263" s="33">
        <f>IF(OR(F263="",G263=""),"",G263-F263)</f>
        <v/>
      </c>
      <c r="I263" s="35" t="n"/>
      <c r="J263" s="35" t="n"/>
    </row>
    <row r="264">
      <c r="A264" s="33" t="inlineStr">
        <is>
          <t>D-260</t>
        </is>
      </c>
      <c r="B264" s="35" t="n"/>
      <c r="C264" s="35" t="n"/>
      <c r="D264" s="35" t="n"/>
      <c r="E264" s="35" t="n"/>
      <c r="F264" s="38" t="n"/>
      <c r="G264" s="38" t="n"/>
      <c r="H264" s="33">
        <f>IF(OR(F264="",G264=""),"",G264-F264)</f>
        <v/>
      </c>
      <c r="I264" s="35" t="n"/>
      <c r="J264" s="35" t="n"/>
    </row>
    <row r="265">
      <c r="A265" s="33" t="inlineStr">
        <is>
          <t>D-261</t>
        </is>
      </c>
      <c r="B265" s="35" t="n"/>
      <c r="C265" s="35" t="n"/>
      <c r="D265" s="35" t="n"/>
      <c r="E265" s="35" t="n"/>
      <c r="F265" s="38" t="n"/>
      <c r="G265" s="38" t="n"/>
      <c r="H265" s="33">
        <f>IF(OR(F265="",G265=""),"",G265-F265)</f>
        <v/>
      </c>
      <c r="I265" s="35" t="n"/>
      <c r="J265" s="35" t="n"/>
    </row>
    <row r="266">
      <c r="A266" s="33" t="inlineStr">
        <is>
          <t>D-262</t>
        </is>
      </c>
      <c r="B266" s="35" t="n"/>
      <c r="C266" s="35" t="n"/>
      <c r="D266" s="35" t="n"/>
      <c r="E266" s="35" t="n"/>
      <c r="F266" s="38" t="n"/>
      <c r="G266" s="38" t="n"/>
      <c r="H266" s="33">
        <f>IF(OR(F266="",G266=""),"",G266-F266)</f>
        <v/>
      </c>
      <c r="I266" s="35" t="n"/>
      <c r="J266" s="35" t="n"/>
    </row>
    <row r="267">
      <c r="A267" s="33" t="inlineStr">
        <is>
          <t>D-263</t>
        </is>
      </c>
      <c r="B267" s="35" t="n"/>
      <c r="C267" s="35" t="n"/>
      <c r="D267" s="35" t="n"/>
      <c r="E267" s="35" t="n"/>
      <c r="F267" s="38" t="n"/>
      <c r="G267" s="38" t="n"/>
      <c r="H267" s="33">
        <f>IF(OR(F267="",G267=""),"",G267-F267)</f>
        <v/>
      </c>
      <c r="I267" s="35" t="n"/>
      <c r="J267" s="35" t="n"/>
    </row>
    <row r="268">
      <c r="A268" s="33" t="inlineStr">
        <is>
          <t>D-264</t>
        </is>
      </c>
      <c r="B268" s="35" t="n"/>
      <c r="C268" s="35" t="n"/>
      <c r="D268" s="35" t="n"/>
      <c r="E268" s="35" t="n"/>
      <c r="F268" s="38" t="n"/>
      <c r="G268" s="38" t="n"/>
      <c r="H268" s="33">
        <f>IF(OR(F268="",G268=""),"",G268-F268)</f>
        <v/>
      </c>
      <c r="I268" s="35" t="n"/>
      <c r="J268" s="35" t="n"/>
    </row>
    <row r="269">
      <c r="A269" s="33" t="inlineStr">
        <is>
          <t>D-265</t>
        </is>
      </c>
      <c r="B269" s="35" t="n"/>
      <c r="C269" s="35" t="n"/>
      <c r="D269" s="35" t="n"/>
      <c r="E269" s="35" t="n"/>
      <c r="F269" s="38" t="n"/>
      <c r="G269" s="38" t="n"/>
      <c r="H269" s="33">
        <f>IF(OR(F269="",G269=""),"",G269-F269)</f>
        <v/>
      </c>
      <c r="I269" s="35" t="n"/>
      <c r="J269" s="35" t="n"/>
    </row>
    <row r="270">
      <c r="A270" s="33" t="inlineStr">
        <is>
          <t>D-266</t>
        </is>
      </c>
      <c r="B270" s="35" t="n"/>
      <c r="C270" s="35" t="n"/>
      <c r="D270" s="35" t="n"/>
      <c r="E270" s="35" t="n"/>
      <c r="F270" s="38" t="n"/>
      <c r="G270" s="38" t="n"/>
      <c r="H270" s="33">
        <f>IF(OR(F270="",G270=""),"",G270-F270)</f>
        <v/>
      </c>
      <c r="I270" s="35" t="n"/>
      <c r="J270" s="35" t="n"/>
    </row>
    <row r="271">
      <c r="A271" s="33" t="inlineStr">
        <is>
          <t>D-267</t>
        </is>
      </c>
      <c r="B271" s="35" t="n"/>
      <c r="C271" s="35" t="n"/>
      <c r="D271" s="35" t="n"/>
      <c r="E271" s="35" t="n"/>
      <c r="F271" s="38" t="n"/>
      <c r="G271" s="38" t="n"/>
      <c r="H271" s="33">
        <f>IF(OR(F271="",G271=""),"",G271-F271)</f>
        <v/>
      </c>
      <c r="I271" s="35" t="n"/>
      <c r="J271" s="35" t="n"/>
    </row>
    <row r="272">
      <c r="A272" s="33" t="inlineStr">
        <is>
          <t>D-268</t>
        </is>
      </c>
      <c r="B272" s="35" t="n"/>
      <c r="C272" s="35" t="n"/>
      <c r="D272" s="35" t="n"/>
      <c r="E272" s="35" t="n"/>
      <c r="F272" s="38" t="n"/>
      <c r="G272" s="38" t="n"/>
      <c r="H272" s="33">
        <f>IF(OR(F272="",G272=""),"",G272-F272)</f>
        <v/>
      </c>
      <c r="I272" s="35" t="n"/>
      <c r="J272" s="35" t="n"/>
    </row>
    <row r="273">
      <c r="A273" s="33" t="inlineStr">
        <is>
          <t>D-269</t>
        </is>
      </c>
      <c r="B273" s="35" t="n"/>
      <c r="C273" s="35" t="n"/>
      <c r="D273" s="35" t="n"/>
      <c r="E273" s="35" t="n"/>
      <c r="F273" s="38" t="n"/>
      <c r="G273" s="38" t="n"/>
      <c r="H273" s="33">
        <f>IF(OR(F273="",G273=""),"",G273-F273)</f>
        <v/>
      </c>
      <c r="I273" s="35" t="n"/>
      <c r="J273" s="35" t="n"/>
    </row>
    <row r="274">
      <c r="A274" s="33" t="inlineStr">
        <is>
          <t>D-270</t>
        </is>
      </c>
      <c r="B274" s="35" t="n"/>
      <c r="C274" s="35" t="n"/>
      <c r="D274" s="35" t="n"/>
      <c r="E274" s="35" t="n"/>
      <c r="F274" s="38" t="n"/>
      <c r="G274" s="38" t="n"/>
      <c r="H274" s="33">
        <f>IF(OR(F274="",G274=""),"",G274-F274)</f>
        <v/>
      </c>
      <c r="I274" s="35" t="n"/>
      <c r="J274" s="35" t="n"/>
    </row>
    <row r="275">
      <c r="A275" s="33" t="inlineStr">
        <is>
          <t>D-271</t>
        </is>
      </c>
      <c r="B275" s="35" t="n"/>
      <c r="C275" s="35" t="n"/>
      <c r="D275" s="35" t="n"/>
      <c r="E275" s="35" t="n"/>
      <c r="F275" s="38" t="n"/>
      <c r="G275" s="38" t="n"/>
      <c r="H275" s="33">
        <f>IF(OR(F275="",G275=""),"",G275-F275)</f>
        <v/>
      </c>
      <c r="I275" s="35" t="n"/>
      <c r="J275" s="35" t="n"/>
    </row>
    <row r="276">
      <c r="A276" s="33" t="inlineStr">
        <is>
          <t>D-272</t>
        </is>
      </c>
      <c r="B276" s="35" t="n"/>
      <c r="C276" s="35" t="n"/>
      <c r="D276" s="35" t="n"/>
      <c r="E276" s="35" t="n"/>
      <c r="F276" s="38" t="n"/>
      <c r="G276" s="38" t="n"/>
      <c r="H276" s="33">
        <f>IF(OR(F276="",G276=""),"",G276-F276)</f>
        <v/>
      </c>
      <c r="I276" s="35" t="n"/>
      <c r="J276" s="35" t="n"/>
    </row>
    <row r="277">
      <c r="A277" s="33" t="inlineStr">
        <is>
          <t>D-273</t>
        </is>
      </c>
      <c r="B277" s="35" t="n"/>
      <c r="C277" s="35" t="n"/>
      <c r="D277" s="35" t="n"/>
      <c r="E277" s="35" t="n"/>
      <c r="F277" s="38" t="n"/>
      <c r="G277" s="38" t="n"/>
      <c r="H277" s="33">
        <f>IF(OR(F277="",G277=""),"",G277-F277)</f>
        <v/>
      </c>
      <c r="I277" s="35" t="n"/>
      <c r="J277" s="35" t="n"/>
    </row>
    <row r="278">
      <c r="A278" s="33" t="inlineStr">
        <is>
          <t>D-274</t>
        </is>
      </c>
      <c r="B278" s="35" t="n"/>
      <c r="C278" s="35" t="n"/>
      <c r="D278" s="35" t="n"/>
      <c r="E278" s="35" t="n"/>
      <c r="F278" s="38" t="n"/>
      <c r="G278" s="38" t="n"/>
      <c r="H278" s="33">
        <f>IF(OR(F278="",G278=""),"",G278-F278)</f>
        <v/>
      </c>
      <c r="I278" s="35" t="n"/>
      <c r="J278" s="35" t="n"/>
    </row>
    <row r="279">
      <c r="A279" s="33" t="inlineStr">
        <is>
          <t>D-275</t>
        </is>
      </c>
      <c r="B279" s="35" t="n"/>
      <c r="C279" s="35" t="n"/>
      <c r="D279" s="35" t="n"/>
      <c r="E279" s="35" t="n"/>
      <c r="F279" s="38" t="n"/>
      <c r="G279" s="38" t="n"/>
      <c r="H279" s="33">
        <f>IF(OR(F279="",G279=""),"",G279-F279)</f>
        <v/>
      </c>
      <c r="I279" s="35" t="n"/>
      <c r="J279" s="35" t="n"/>
    </row>
    <row r="280">
      <c r="A280" s="33" t="inlineStr">
        <is>
          <t>D-276</t>
        </is>
      </c>
      <c r="B280" s="35" t="n"/>
      <c r="C280" s="35" t="n"/>
      <c r="D280" s="35" t="n"/>
      <c r="E280" s="35" t="n"/>
      <c r="F280" s="38" t="n"/>
      <c r="G280" s="38" t="n"/>
      <c r="H280" s="33">
        <f>IF(OR(F280="",G280=""),"",G280-F280)</f>
        <v/>
      </c>
      <c r="I280" s="35" t="n"/>
      <c r="J280" s="35" t="n"/>
    </row>
    <row r="281">
      <c r="A281" s="33" t="inlineStr">
        <is>
          <t>D-277</t>
        </is>
      </c>
      <c r="B281" s="35" t="n"/>
      <c r="C281" s="35" t="n"/>
      <c r="D281" s="35" t="n"/>
      <c r="E281" s="35" t="n"/>
      <c r="F281" s="38" t="n"/>
      <c r="G281" s="38" t="n"/>
      <c r="H281" s="33">
        <f>IF(OR(F281="",G281=""),"",G281-F281)</f>
        <v/>
      </c>
      <c r="I281" s="35" t="n"/>
      <c r="J281" s="35" t="n"/>
    </row>
    <row r="282">
      <c r="A282" s="33" t="inlineStr">
        <is>
          <t>D-278</t>
        </is>
      </c>
      <c r="B282" s="35" t="n"/>
      <c r="C282" s="35" t="n"/>
      <c r="D282" s="35" t="n"/>
      <c r="E282" s="35" t="n"/>
      <c r="F282" s="38" t="n"/>
      <c r="G282" s="38" t="n"/>
      <c r="H282" s="33">
        <f>IF(OR(F282="",G282=""),"",G282-F282)</f>
        <v/>
      </c>
      <c r="I282" s="35" t="n"/>
      <c r="J282" s="35" t="n"/>
    </row>
    <row r="283">
      <c r="A283" s="33" t="inlineStr">
        <is>
          <t>D-279</t>
        </is>
      </c>
      <c r="B283" s="35" t="n"/>
      <c r="C283" s="35" t="n"/>
      <c r="D283" s="35" t="n"/>
      <c r="E283" s="35" t="n"/>
      <c r="F283" s="38" t="n"/>
      <c r="G283" s="38" t="n"/>
      <c r="H283" s="33">
        <f>IF(OR(F283="",G283=""),"",G283-F283)</f>
        <v/>
      </c>
      <c r="I283" s="35" t="n"/>
      <c r="J283" s="35" t="n"/>
    </row>
    <row r="284">
      <c r="A284" s="33" t="inlineStr">
        <is>
          <t>D-280</t>
        </is>
      </c>
      <c r="B284" s="35" t="n"/>
      <c r="C284" s="35" t="n"/>
      <c r="D284" s="35" t="n"/>
      <c r="E284" s="35" t="n"/>
      <c r="F284" s="38" t="n"/>
      <c r="G284" s="38" t="n"/>
      <c r="H284" s="33">
        <f>IF(OR(F284="",G284=""),"",G284-F284)</f>
        <v/>
      </c>
      <c r="I284" s="35" t="n"/>
      <c r="J284" s="35" t="n"/>
    </row>
    <row r="285">
      <c r="A285" s="33" t="inlineStr">
        <is>
          <t>D-281</t>
        </is>
      </c>
      <c r="B285" s="35" t="n"/>
      <c r="C285" s="35" t="n"/>
      <c r="D285" s="35" t="n"/>
      <c r="E285" s="35" t="n"/>
      <c r="F285" s="38" t="n"/>
      <c r="G285" s="38" t="n"/>
      <c r="H285" s="33">
        <f>IF(OR(F285="",G285=""),"",G285-F285)</f>
        <v/>
      </c>
      <c r="I285" s="35" t="n"/>
      <c r="J285" s="35" t="n"/>
    </row>
    <row r="286">
      <c r="A286" s="33" t="inlineStr">
        <is>
          <t>D-282</t>
        </is>
      </c>
      <c r="B286" s="35" t="n"/>
      <c r="C286" s="35" t="n"/>
      <c r="D286" s="35" t="n"/>
      <c r="E286" s="35" t="n"/>
      <c r="F286" s="38" t="n"/>
      <c r="G286" s="38" t="n"/>
      <c r="H286" s="33">
        <f>IF(OR(F286="",G286=""),"",G286-F286)</f>
        <v/>
      </c>
      <c r="I286" s="35" t="n"/>
      <c r="J286" s="35" t="n"/>
    </row>
    <row r="287">
      <c r="A287" s="33" t="inlineStr">
        <is>
          <t>D-283</t>
        </is>
      </c>
      <c r="B287" s="35" t="n"/>
      <c r="C287" s="35" t="n"/>
      <c r="D287" s="35" t="n"/>
      <c r="E287" s="35" t="n"/>
      <c r="F287" s="38" t="n"/>
      <c r="G287" s="38" t="n"/>
      <c r="H287" s="33">
        <f>IF(OR(F287="",G287=""),"",G287-F287)</f>
        <v/>
      </c>
      <c r="I287" s="35" t="n"/>
      <c r="J287" s="35" t="n"/>
    </row>
    <row r="288">
      <c r="A288" s="33" t="inlineStr">
        <is>
          <t>D-284</t>
        </is>
      </c>
      <c r="B288" s="35" t="n"/>
      <c r="C288" s="35" t="n"/>
      <c r="D288" s="35" t="n"/>
      <c r="E288" s="35" t="n"/>
      <c r="F288" s="38" t="n"/>
      <c r="G288" s="38" t="n"/>
      <c r="H288" s="33">
        <f>IF(OR(F288="",G288=""),"",G288-F288)</f>
        <v/>
      </c>
      <c r="I288" s="35" t="n"/>
      <c r="J288" s="35" t="n"/>
    </row>
    <row r="289">
      <c r="A289" s="33" t="inlineStr">
        <is>
          <t>D-285</t>
        </is>
      </c>
      <c r="B289" s="35" t="n"/>
      <c r="C289" s="35" t="n"/>
      <c r="D289" s="35" t="n"/>
      <c r="E289" s="35" t="n"/>
      <c r="F289" s="38" t="n"/>
      <c r="G289" s="38" t="n"/>
      <c r="H289" s="33">
        <f>IF(OR(F289="",G289=""),"",G289-F289)</f>
        <v/>
      </c>
      <c r="I289" s="35" t="n"/>
      <c r="J289" s="35" t="n"/>
    </row>
    <row r="290">
      <c r="A290" s="33" t="inlineStr">
        <is>
          <t>D-286</t>
        </is>
      </c>
      <c r="B290" s="35" t="n"/>
      <c r="C290" s="35" t="n"/>
      <c r="D290" s="35" t="n"/>
      <c r="E290" s="35" t="n"/>
      <c r="F290" s="38" t="n"/>
      <c r="G290" s="38" t="n"/>
      <c r="H290" s="33">
        <f>IF(OR(F290="",G290=""),"",G290-F290)</f>
        <v/>
      </c>
      <c r="I290" s="35" t="n"/>
      <c r="J290" s="35" t="n"/>
    </row>
    <row r="291">
      <c r="A291" s="33" t="inlineStr">
        <is>
          <t>D-287</t>
        </is>
      </c>
      <c r="B291" s="35" t="n"/>
      <c r="C291" s="35" t="n"/>
      <c r="D291" s="35" t="n"/>
      <c r="E291" s="35" t="n"/>
      <c r="F291" s="38" t="n"/>
      <c r="G291" s="38" t="n"/>
      <c r="H291" s="33">
        <f>IF(OR(F291="",G291=""),"",G291-F291)</f>
        <v/>
      </c>
      <c r="I291" s="35" t="n"/>
      <c r="J291" s="35" t="n"/>
    </row>
    <row r="292">
      <c r="A292" s="33" t="inlineStr">
        <is>
          <t>D-288</t>
        </is>
      </c>
      <c r="B292" s="35" t="n"/>
      <c r="C292" s="35" t="n"/>
      <c r="D292" s="35" t="n"/>
      <c r="E292" s="35" t="n"/>
      <c r="F292" s="38" t="n"/>
      <c r="G292" s="38" t="n"/>
      <c r="H292" s="33">
        <f>IF(OR(F292="",G292=""),"",G292-F292)</f>
        <v/>
      </c>
      <c r="I292" s="35" t="n"/>
      <c r="J292" s="35" t="n"/>
    </row>
    <row r="293">
      <c r="A293" s="33" t="inlineStr">
        <is>
          <t>D-289</t>
        </is>
      </c>
      <c r="B293" s="35" t="n"/>
      <c r="C293" s="35" t="n"/>
      <c r="D293" s="35" t="n"/>
      <c r="E293" s="35" t="n"/>
      <c r="F293" s="38" t="n"/>
      <c r="G293" s="38" t="n"/>
      <c r="H293" s="33">
        <f>IF(OR(F293="",G293=""),"",G293-F293)</f>
        <v/>
      </c>
      <c r="I293" s="35" t="n"/>
      <c r="J293" s="35" t="n"/>
    </row>
    <row r="294">
      <c r="A294" s="33" t="inlineStr">
        <is>
          <t>D-290</t>
        </is>
      </c>
      <c r="B294" s="35" t="n"/>
      <c r="C294" s="35" t="n"/>
      <c r="D294" s="35" t="n"/>
      <c r="E294" s="35" t="n"/>
      <c r="F294" s="38" t="n"/>
      <c r="G294" s="38" t="n"/>
      <c r="H294" s="33">
        <f>IF(OR(F294="",G294=""),"",G294-F294)</f>
        <v/>
      </c>
      <c r="I294" s="35" t="n"/>
      <c r="J294" s="35" t="n"/>
    </row>
    <row r="295">
      <c r="A295" s="33" t="inlineStr">
        <is>
          <t>D-291</t>
        </is>
      </c>
      <c r="B295" s="35" t="n"/>
      <c r="C295" s="35" t="n"/>
      <c r="D295" s="35" t="n"/>
      <c r="E295" s="35" t="n"/>
      <c r="F295" s="38" t="n"/>
      <c r="G295" s="38" t="n"/>
      <c r="H295" s="33">
        <f>IF(OR(F295="",G295=""),"",G295-F295)</f>
        <v/>
      </c>
      <c r="I295" s="35" t="n"/>
      <c r="J295" s="35" t="n"/>
    </row>
    <row r="296">
      <c r="A296" s="33" t="inlineStr">
        <is>
          <t>D-292</t>
        </is>
      </c>
      <c r="B296" s="35" t="n"/>
      <c r="C296" s="35" t="n"/>
      <c r="D296" s="35" t="n"/>
      <c r="E296" s="35" t="n"/>
      <c r="F296" s="38" t="n"/>
      <c r="G296" s="38" t="n"/>
      <c r="H296" s="33">
        <f>IF(OR(F296="",G296=""),"",G296-F296)</f>
        <v/>
      </c>
      <c r="I296" s="35" t="n"/>
      <c r="J296" s="35" t="n"/>
    </row>
    <row r="297">
      <c r="A297" s="33" t="inlineStr">
        <is>
          <t>D-293</t>
        </is>
      </c>
      <c r="B297" s="35" t="n"/>
      <c r="C297" s="35" t="n"/>
      <c r="D297" s="35" t="n"/>
      <c r="E297" s="35" t="n"/>
      <c r="F297" s="38" t="n"/>
      <c r="G297" s="38" t="n"/>
      <c r="H297" s="33">
        <f>IF(OR(F297="",G297=""),"",G297-F297)</f>
        <v/>
      </c>
      <c r="I297" s="35" t="n"/>
      <c r="J297" s="35" t="n"/>
    </row>
    <row r="298">
      <c r="A298" s="33" t="inlineStr">
        <is>
          <t>D-294</t>
        </is>
      </c>
      <c r="B298" s="35" t="n"/>
      <c r="C298" s="35" t="n"/>
      <c r="D298" s="35" t="n"/>
      <c r="E298" s="35" t="n"/>
      <c r="F298" s="38" t="n"/>
      <c r="G298" s="38" t="n"/>
      <c r="H298" s="33">
        <f>IF(OR(F298="",G298=""),"",G298-F298)</f>
        <v/>
      </c>
      <c r="I298" s="35" t="n"/>
      <c r="J298" s="35" t="n"/>
    </row>
    <row r="299">
      <c r="A299" s="33" t="inlineStr">
        <is>
          <t>D-295</t>
        </is>
      </c>
      <c r="B299" s="35" t="n"/>
      <c r="C299" s="35" t="n"/>
      <c r="D299" s="35" t="n"/>
      <c r="E299" s="35" t="n"/>
      <c r="F299" s="38" t="n"/>
      <c r="G299" s="38" t="n"/>
      <c r="H299" s="33">
        <f>IF(OR(F299="",G299=""),"",G299-F299)</f>
        <v/>
      </c>
      <c r="I299" s="35" t="n"/>
      <c r="J299" s="35" t="n"/>
    </row>
    <row r="300">
      <c r="A300" s="33" t="inlineStr">
        <is>
          <t>D-296</t>
        </is>
      </c>
      <c r="B300" s="35" t="n"/>
      <c r="C300" s="35" t="n"/>
      <c r="D300" s="35" t="n"/>
      <c r="E300" s="35" t="n"/>
      <c r="F300" s="38" t="n"/>
      <c r="G300" s="38" t="n"/>
      <c r="H300" s="33">
        <f>IF(OR(F300="",G300=""),"",G300-F300)</f>
        <v/>
      </c>
      <c r="I300" s="35" t="n"/>
      <c r="J300" s="35" t="n"/>
    </row>
    <row r="301">
      <c r="A301" s="33" t="inlineStr">
        <is>
          <t>D-297</t>
        </is>
      </c>
      <c r="B301" s="35" t="n"/>
      <c r="C301" s="35" t="n"/>
      <c r="D301" s="35" t="n"/>
      <c r="E301" s="35" t="n"/>
      <c r="F301" s="38" t="n"/>
      <c r="G301" s="38" t="n"/>
      <c r="H301" s="33">
        <f>IF(OR(F301="",G301=""),"",G301-F301)</f>
        <v/>
      </c>
      <c r="I301" s="35" t="n"/>
      <c r="J301" s="35" t="n"/>
    </row>
    <row r="302">
      <c r="A302" s="33" t="inlineStr">
        <is>
          <t>D-298</t>
        </is>
      </c>
      <c r="B302" s="35" t="n"/>
      <c r="C302" s="35" t="n"/>
      <c r="D302" s="35" t="n"/>
      <c r="E302" s="35" t="n"/>
      <c r="F302" s="38" t="n"/>
      <c r="G302" s="38" t="n"/>
      <c r="H302" s="33">
        <f>IF(OR(F302="",G302=""),"",G302-F302)</f>
        <v/>
      </c>
      <c r="I302" s="35" t="n"/>
      <c r="J302" s="35" t="n"/>
    </row>
    <row r="303">
      <c r="A303" s="33" t="inlineStr">
        <is>
          <t>D-299</t>
        </is>
      </c>
      <c r="B303" s="35" t="n"/>
      <c r="C303" s="35" t="n"/>
      <c r="D303" s="35" t="n"/>
      <c r="E303" s="35" t="n"/>
      <c r="F303" s="38" t="n"/>
      <c r="G303" s="38" t="n"/>
      <c r="H303" s="33">
        <f>IF(OR(F303="",G303=""),"",G303-F303)</f>
        <v/>
      </c>
      <c r="I303" s="35" t="n"/>
      <c r="J303" s="35" t="n"/>
    </row>
    <row r="304">
      <c r="A304" s="33" t="inlineStr">
        <is>
          <t>D-300</t>
        </is>
      </c>
      <c r="B304" s="35" t="n"/>
      <c r="C304" s="35" t="n"/>
      <c r="D304" s="35" t="n"/>
      <c r="E304" s="35" t="n"/>
      <c r="F304" s="38" t="n"/>
      <c r="G304" s="38" t="n"/>
      <c r="H304" s="33">
        <f>IF(OR(F304="",G304=""),"",G304-F304)</f>
        <v/>
      </c>
      <c r="I304" s="35" t="n"/>
      <c r="J304" s="35" t="n"/>
    </row>
    <row r="305">
      <c r="A305" s="33" t="inlineStr">
        <is>
          <t>D-301</t>
        </is>
      </c>
      <c r="B305" s="35" t="n"/>
      <c r="C305" s="35" t="n"/>
      <c r="D305" s="35" t="n"/>
      <c r="E305" s="35" t="n"/>
      <c r="F305" s="38" t="n"/>
      <c r="G305" s="38" t="n"/>
      <c r="H305" s="33">
        <f>IF(OR(F305="",G305=""),"",G305-F305)</f>
        <v/>
      </c>
      <c r="I305" s="35" t="n"/>
      <c r="J305" s="35" t="n"/>
    </row>
    <row r="306">
      <c r="A306" s="33" t="inlineStr">
        <is>
          <t>D-302</t>
        </is>
      </c>
      <c r="B306" s="35" t="n"/>
      <c r="C306" s="35" t="n"/>
      <c r="D306" s="35" t="n"/>
      <c r="E306" s="35" t="n"/>
      <c r="F306" s="38" t="n"/>
      <c r="G306" s="38" t="n"/>
      <c r="H306" s="33">
        <f>IF(OR(F306="",G306=""),"",G306-F306)</f>
        <v/>
      </c>
      <c r="I306" s="35" t="n"/>
      <c r="J306" s="35" t="n"/>
    </row>
    <row r="307">
      <c r="A307" s="33" t="inlineStr">
        <is>
          <t>D-303</t>
        </is>
      </c>
      <c r="B307" s="35" t="n"/>
      <c r="C307" s="35" t="n"/>
      <c r="D307" s="35" t="n"/>
      <c r="E307" s="35" t="n"/>
      <c r="F307" s="38" t="n"/>
      <c r="G307" s="38" t="n"/>
      <c r="H307" s="33">
        <f>IF(OR(F307="",G307=""),"",G307-F307)</f>
        <v/>
      </c>
      <c r="I307" s="35" t="n"/>
      <c r="J307" s="35" t="n"/>
    </row>
    <row r="308">
      <c r="A308" s="33" t="inlineStr">
        <is>
          <t>D-304</t>
        </is>
      </c>
      <c r="B308" s="35" t="n"/>
      <c r="C308" s="35" t="n"/>
      <c r="D308" s="35" t="n"/>
      <c r="E308" s="35" t="n"/>
      <c r="F308" s="38" t="n"/>
      <c r="G308" s="38" t="n"/>
      <c r="H308" s="33">
        <f>IF(OR(F308="",G308=""),"",G308-F308)</f>
        <v/>
      </c>
      <c r="I308" s="35" t="n"/>
      <c r="J308" s="35" t="n"/>
    </row>
    <row r="309">
      <c r="A309" s="33" t="inlineStr">
        <is>
          <t>D-305</t>
        </is>
      </c>
      <c r="B309" s="35" t="n"/>
      <c r="C309" s="35" t="n"/>
      <c r="D309" s="35" t="n"/>
      <c r="E309" s="35" t="n"/>
      <c r="F309" s="38" t="n"/>
      <c r="G309" s="38" t="n"/>
      <c r="H309" s="33">
        <f>IF(OR(F309="",G309=""),"",G309-F309)</f>
        <v/>
      </c>
      <c r="I309" s="35" t="n"/>
      <c r="J309" s="35" t="n"/>
    </row>
    <row r="310">
      <c r="A310" s="33" t="inlineStr">
        <is>
          <t>D-306</t>
        </is>
      </c>
      <c r="B310" s="35" t="n"/>
      <c r="C310" s="35" t="n"/>
      <c r="D310" s="35" t="n"/>
      <c r="E310" s="35" t="n"/>
      <c r="F310" s="38" t="n"/>
      <c r="G310" s="38" t="n"/>
      <c r="H310" s="33">
        <f>IF(OR(F310="",G310=""),"",G310-F310)</f>
        <v/>
      </c>
      <c r="I310" s="35" t="n"/>
      <c r="J310" s="35" t="n"/>
    </row>
    <row r="311">
      <c r="A311" s="33" t="inlineStr">
        <is>
          <t>D-307</t>
        </is>
      </c>
      <c r="B311" s="35" t="n"/>
      <c r="C311" s="35" t="n"/>
      <c r="D311" s="35" t="n"/>
      <c r="E311" s="35" t="n"/>
      <c r="F311" s="38" t="n"/>
      <c r="G311" s="38" t="n"/>
      <c r="H311" s="33">
        <f>IF(OR(F311="",G311=""),"",G311-F311)</f>
        <v/>
      </c>
      <c r="I311" s="35" t="n"/>
      <c r="J311" s="35" t="n"/>
    </row>
    <row r="312">
      <c r="A312" s="33" t="inlineStr">
        <is>
          <t>D-308</t>
        </is>
      </c>
      <c r="B312" s="35" t="n"/>
      <c r="C312" s="35" t="n"/>
      <c r="D312" s="35" t="n"/>
      <c r="E312" s="35" t="n"/>
      <c r="F312" s="38" t="n"/>
      <c r="G312" s="38" t="n"/>
      <c r="H312" s="33">
        <f>IF(OR(F312="",G312=""),"",G312-F312)</f>
        <v/>
      </c>
      <c r="I312" s="35" t="n"/>
      <c r="J312" s="35" t="n"/>
    </row>
    <row r="313">
      <c r="A313" s="33" t="inlineStr">
        <is>
          <t>D-309</t>
        </is>
      </c>
      <c r="B313" s="35" t="n"/>
      <c r="C313" s="35" t="n"/>
      <c r="D313" s="35" t="n"/>
      <c r="E313" s="35" t="n"/>
      <c r="F313" s="38" t="n"/>
      <c r="G313" s="38" t="n"/>
      <c r="H313" s="33">
        <f>IF(OR(F313="",G313=""),"",G313-F313)</f>
        <v/>
      </c>
      <c r="I313" s="35" t="n"/>
      <c r="J313" s="35" t="n"/>
    </row>
    <row r="314">
      <c r="A314" s="33" t="inlineStr">
        <is>
          <t>D-310</t>
        </is>
      </c>
      <c r="B314" s="35" t="n"/>
      <c r="C314" s="35" t="n"/>
      <c r="D314" s="35" t="n"/>
      <c r="E314" s="35" t="n"/>
      <c r="F314" s="38" t="n"/>
      <c r="G314" s="38" t="n"/>
      <c r="H314" s="33">
        <f>IF(OR(F314="",G314=""),"",G314-F314)</f>
        <v/>
      </c>
      <c r="I314" s="35" t="n"/>
      <c r="J314" s="35" t="n"/>
    </row>
    <row r="315">
      <c r="A315" s="33" t="inlineStr">
        <is>
          <t>D-311</t>
        </is>
      </c>
      <c r="B315" s="35" t="n"/>
      <c r="C315" s="35" t="n"/>
      <c r="D315" s="35" t="n"/>
      <c r="E315" s="35" t="n"/>
      <c r="F315" s="38" t="n"/>
      <c r="G315" s="38" t="n"/>
      <c r="H315" s="33">
        <f>IF(OR(F315="",G315=""),"",G315-F315)</f>
        <v/>
      </c>
      <c r="I315" s="35" t="n"/>
      <c r="J315" s="35" t="n"/>
    </row>
    <row r="316">
      <c r="A316" s="33" t="inlineStr">
        <is>
          <t>D-312</t>
        </is>
      </c>
      <c r="B316" s="35" t="n"/>
      <c r="C316" s="35" t="n"/>
      <c r="D316" s="35" t="n"/>
      <c r="E316" s="35" t="n"/>
      <c r="F316" s="38" t="n"/>
      <c r="G316" s="38" t="n"/>
      <c r="H316" s="33">
        <f>IF(OR(F316="",G316=""),"",G316-F316)</f>
        <v/>
      </c>
      <c r="I316" s="35" t="n"/>
      <c r="J316" s="35" t="n"/>
    </row>
    <row r="317">
      <c r="A317" s="33" t="inlineStr">
        <is>
          <t>D-313</t>
        </is>
      </c>
      <c r="B317" s="35" t="n"/>
      <c r="C317" s="35" t="n"/>
      <c r="D317" s="35" t="n"/>
      <c r="E317" s="35" t="n"/>
      <c r="F317" s="38" t="n"/>
      <c r="G317" s="38" t="n"/>
      <c r="H317" s="33">
        <f>IF(OR(F317="",G317=""),"",G317-F317)</f>
        <v/>
      </c>
      <c r="I317" s="35" t="n"/>
      <c r="J317" s="35" t="n"/>
    </row>
    <row r="318">
      <c r="A318" s="33" t="inlineStr">
        <is>
          <t>D-314</t>
        </is>
      </c>
      <c r="B318" s="35" t="n"/>
      <c r="C318" s="35" t="n"/>
      <c r="D318" s="35" t="n"/>
      <c r="E318" s="35" t="n"/>
      <c r="F318" s="38" t="n"/>
      <c r="G318" s="38" t="n"/>
      <c r="H318" s="33">
        <f>IF(OR(F318="",G318=""),"",G318-F318)</f>
        <v/>
      </c>
      <c r="I318" s="35" t="n"/>
      <c r="J318" s="35" t="n"/>
    </row>
    <row r="319">
      <c r="A319" s="33" t="inlineStr">
        <is>
          <t>D-315</t>
        </is>
      </c>
      <c r="B319" s="35" t="n"/>
      <c r="C319" s="35" t="n"/>
      <c r="D319" s="35" t="n"/>
      <c r="E319" s="35" t="n"/>
      <c r="F319" s="38" t="n"/>
      <c r="G319" s="38" t="n"/>
      <c r="H319" s="33">
        <f>IF(OR(F319="",G319=""),"",G319-F319)</f>
        <v/>
      </c>
      <c r="I319" s="35" t="n"/>
      <c r="J319" s="35" t="n"/>
    </row>
    <row r="320">
      <c r="A320" s="33" t="inlineStr">
        <is>
          <t>D-316</t>
        </is>
      </c>
      <c r="B320" s="35" t="n"/>
      <c r="C320" s="35" t="n"/>
      <c r="D320" s="35" t="n"/>
      <c r="E320" s="35" t="n"/>
      <c r="F320" s="38" t="n"/>
      <c r="G320" s="38" t="n"/>
      <c r="H320" s="33">
        <f>IF(OR(F320="",G320=""),"",G320-F320)</f>
        <v/>
      </c>
      <c r="I320" s="35" t="n"/>
      <c r="J320" s="35" t="n"/>
    </row>
    <row r="321">
      <c r="A321" s="33" t="inlineStr">
        <is>
          <t>D-317</t>
        </is>
      </c>
      <c r="B321" s="35" t="n"/>
      <c r="C321" s="35" t="n"/>
      <c r="D321" s="35" t="n"/>
      <c r="E321" s="35" t="n"/>
      <c r="F321" s="38" t="n"/>
      <c r="G321" s="38" t="n"/>
      <c r="H321" s="33">
        <f>IF(OR(F321="",G321=""),"",G321-F321)</f>
        <v/>
      </c>
      <c r="I321" s="35" t="n"/>
      <c r="J321" s="35" t="n"/>
    </row>
    <row r="322">
      <c r="A322" s="33" t="inlineStr">
        <is>
          <t>D-318</t>
        </is>
      </c>
      <c r="B322" s="35" t="n"/>
      <c r="C322" s="35" t="n"/>
      <c r="D322" s="35" t="n"/>
      <c r="E322" s="35" t="n"/>
      <c r="F322" s="38" t="n"/>
      <c r="G322" s="38" t="n"/>
      <c r="H322" s="33">
        <f>IF(OR(F322="",G322=""),"",G322-F322)</f>
        <v/>
      </c>
      <c r="I322" s="35" t="n"/>
      <c r="J322" s="35" t="n"/>
    </row>
    <row r="323">
      <c r="A323" s="33" t="inlineStr">
        <is>
          <t>D-319</t>
        </is>
      </c>
      <c r="B323" s="35" t="n"/>
      <c r="C323" s="35" t="n"/>
      <c r="D323" s="35" t="n"/>
      <c r="E323" s="35" t="n"/>
      <c r="F323" s="38" t="n"/>
      <c r="G323" s="38" t="n"/>
      <c r="H323" s="33">
        <f>IF(OR(F323="",G323=""),"",G323-F323)</f>
        <v/>
      </c>
      <c r="I323" s="35" t="n"/>
      <c r="J323" s="35" t="n"/>
    </row>
    <row r="324">
      <c r="A324" s="33" t="inlineStr">
        <is>
          <t>D-320</t>
        </is>
      </c>
      <c r="B324" s="35" t="n"/>
      <c r="C324" s="35" t="n"/>
      <c r="D324" s="35" t="n"/>
      <c r="E324" s="35" t="n"/>
      <c r="F324" s="38" t="n"/>
      <c r="G324" s="38" t="n"/>
      <c r="H324" s="33">
        <f>IF(OR(F324="",G324=""),"",G324-F324)</f>
        <v/>
      </c>
      <c r="I324" s="35" t="n"/>
      <c r="J324" s="35" t="n"/>
    </row>
    <row r="325">
      <c r="A325" s="33" t="inlineStr">
        <is>
          <t>D-321</t>
        </is>
      </c>
      <c r="B325" s="35" t="n"/>
      <c r="C325" s="35" t="n"/>
      <c r="D325" s="35" t="n"/>
      <c r="E325" s="35" t="n"/>
      <c r="F325" s="38" t="n"/>
      <c r="G325" s="38" t="n"/>
      <c r="H325" s="33">
        <f>IF(OR(F325="",G325=""),"",G325-F325)</f>
        <v/>
      </c>
      <c r="I325" s="35" t="n"/>
      <c r="J325" s="35" t="n"/>
    </row>
    <row r="326">
      <c r="A326" s="33" t="inlineStr">
        <is>
          <t>D-322</t>
        </is>
      </c>
      <c r="B326" s="35" t="n"/>
      <c r="C326" s="35" t="n"/>
      <c r="D326" s="35" t="n"/>
      <c r="E326" s="35" t="n"/>
      <c r="F326" s="38" t="n"/>
      <c r="G326" s="38" t="n"/>
      <c r="H326" s="33">
        <f>IF(OR(F326="",G326=""),"",G326-F326)</f>
        <v/>
      </c>
      <c r="I326" s="35" t="n"/>
      <c r="J326" s="35" t="n"/>
    </row>
    <row r="327">
      <c r="A327" s="33" t="inlineStr">
        <is>
          <t>D-323</t>
        </is>
      </c>
      <c r="B327" s="35" t="n"/>
      <c r="C327" s="35" t="n"/>
      <c r="D327" s="35" t="n"/>
      <c r="E327" s="35" t="n"/>
      <c r="F327" s="38" t="n"/>
      <c r="G327" s="38" t="n"/>
      <c r="H327" s="33">
        <f>IF(OR(F327="",G327=""),"",G327-F327)</f>
        <v/>
      </c>
      <c r="I327" s="35" t="n"/>
      <c r="J327" s="35" t="n"/>
    </row>
    <row r="328">
      <c r="A328" s="33" t="inlineStr">
        <is>
          <t>D-324</t>
        </is>
      </c>
      <c r="B328" s="35" t="n"/>
      <c r="C328" s="35" t="n"/>
      <c r="D328" s="35" t="n"/>
      <c r="E328" s="35" t="n"/>
      <c r="F328" s="38" t="n"/>
      <c r="G328" s="38" t="n"/>
      <c r="H328" s="33">
        <f>IF(OR(F328="",G328=""),"",G328-F328)</f>
        <v/>
      </c>
      <c r="I328" s="35" t="n"/>
      <c r="J328" s="35" t="n"/>
    </row>
    <row r="329">
      <c r="A329" s="33" t="inlineStr">
        <is>
          <t>D-325</t>
        </is>
      </c>
      <c r="B329" s="35" t="n"/>
      <c r="C329" s="35" t="n"/>
      <c r="D329" s="35" t="n"/>
      <c r="E329" s="35" t="n"/>
      <c r="F329" s="38" t="n"/>
      <c r="G329" s="38" t="n"/>
      <c r="H329" s="33">
        <f>IF(OR(F329="",G329=""),"",G329-F329)</f>
        <v/>
      </c>
      <c r="I329" s="35" t="n"/>
      <c r="J329" s="35" t="n"/>
    </row>
    <row r="330">
      <c r="A330" s="33" t="inlineStr">
        <is>
          <t>D-326</t>
        </is>
      </c>
      <c r="B330" s="35" t="n"/>
      <c r="C330" s="35" t="n"/>
      <c r="D330" s="35" t="n"/>
      <c r="E330" s="35" t="n"/>
      <c r="F330" s="38" t="n"/>
      <c r="G330" s="38" t="n"/>
      <c r="H330" s="33">
        <f>IF(OR(F330="",G330=""),"",G330-F330)</f>
        <v/>
      </c>
      <c r="I330" s="35" t="n"/>
      <c r="J330" s="35" t="n"/>
    </row>
    <row r="331">
      <c r="A331" s="33" t="inlineStr">
        <is>
          <t>D-327</t>
        </is>
      </c>
      <c r="B331" s="35" t="n"/>
      <c r="C331" s="35" t="n"/>
      <c r="D331" s="35" t="n"/>
      <c r="E331" s="35" t="n"/>
      <c r="F331" s="38" t="n"/>
      <c r="G331" s="38" t="n"/>
      <c r="H331" s="33">
        <f>IF(OR(F331="",G331=""),"",G331-F331)</f>
        <v/>
      </c>
      <c r="I331" s="35" t="n"/>
      <c r="J331" s="35" t="n"/>
    </row>
    <row r="332">
      <c r="A332" s="33" t="inlineStr">
        <is>
          <t>D-328</t>
        </is>
      </c>
      <c r="B332" s="35" t="n"/>
      <c r="C332" s="35" t="n"/>
      <c r="D332" s="35" t="n"/>
      <c r="E332" s="35" t="n"/>
      <c r="F332" s="38" t="n"/>
      <c r="G332" s="38" t="n"/>
      <c r="H332" s="33">
        <f>IF(OR(F332="",G332=""),"",G332-F332)</f>
        <v/>
      </c>
      <c r="I332" s="35" t="n"/>
      <c r="J332" s="35" t="n"/>
    </row>
    <row r="333">
      <c r="A333" s="33" t="inlineStr">
        <is>
          <t>D-329</t>
        </is>
      </c>
      <c r="B333" s="35" t="n"/>
      <c r="C333" s="35" t="n"/>
      <c r="D333" s="35" t="n"/>
      <c r="E333" s="35" t="n"/>
      <c r="F333" s="38" t="n"/>
      <c r="G333" s="38" t="n"/>
      <c r="H333" s="33">
        <f>IF(OR(F333="",G333=""),"",G333-F333)</f>
        <v/>
      </c>
      <c r="I333" s="35" t="n"/>
      <c r="J333" s="35" t="n"/>
    </row>
    <row r="334">
      <c r="A334" s="33" t="inlineStr">
        <is>
          <t>D-330</t>
        </is>
      </c>
      <c r="B334" s="35" t="n"/>
      <c r="C334" s="35" t="n"/>
      <c r="D334" s="35" t="n"/>
      <c r="E334" s="35" t="n"/>
      <c r="F334" s="38" t="n"/>
      <c r="G334" s="38" t="n"/>
      <c r="H334" s="33">
        <f>IF(OR(F334="",G334=""),"",G334-F334)</f>
        <v/>
      </c>
      <c r="I334" s="35" t="n"/>
      <c r="J334" s="35" t="n"/>
    </row>
    <row r="335">
      <c r="A335" s="33" t="inlineStr">
        <is>
          <t>D-331</t>
        </is>
      </c>
      <c r="B335" s="35" t="n"/>
      <c r="C335" s="35" t="n"/>
      <c r="D335" s="35" t="n"/>
      <c r="E335" s="35" t="n"/>
      <c r="F335" s="38" t="n"/>
      <c r="G335" s="38" t="n"/>
      <c r="H335" s="33">
        <f>IF(OR(F335="",G335=""),"",G335-F335)</f>
        <v/>
      </c>
      <c r="I335" s="35" t="n"/>
      <c r="J335" s="35" t="n"/>
    </row>
    <row r="336">
      <c r="A336" s="33" t="inlineStr">
        <is>
          <t>D-332</t>
        </is>
      </c>
      <c r="B336" s="35" t="n"/>
      <c r="C336" s="35" t="n"/>
      <c r="D336" s="35" t="n"/>
      <c r="E336" s="35" t="n"/>
      <c r="F336" s="38" t="n"/>
      <c r="G336" s="38" t="n"/>
      <c r="H336" s="33">
        <f>IF(OR(F336="",G336=""),"",G336-F336)</f>
        <v/>
      </c>
      <c r="I336" s="35" t="n"/>
      <c r="J336" s="35" t="n"/>
    </row>
    <row r="337">
      <c r="A337" s="33" t="inlineStr">
        <is>
          <t>D-333</t>
        </is>
      </c>
      <c r="B337" s="35" t="n"/>
      <c r="C337" s="35" t="n"/>
      <c r="D337" s="35" t="n"/>
      <c r="E337" s="35" t="n"/>
      <c r="F337" s="38" t="n"/>
      <c r="G337" s="38" t="n"/>
      <c r="H337" s="33">
        <f>IF(OR(F337="",G337=""),"",G337-F337)</f>
        <v/>
      </c>
      <c r="I337" s="35" t="n"/>
      <c r="J337" s="35" t="n"/>
    </row>
    <row r="338">
      <c r="A338" s="33" t="inlineStr">
        <is>
          <t>D-334</t>
        </is>
      </c>
      <c r="B338" s="35" t="n"/>
      <c r="C338" s="35" t="n"/>
      <c r="D338" s="35" t="n"/>
      <c r="E338" s="35" t="n"/>
      <c r="F338" s="38" t="n"/>
      <c r="G338" s="38" t="n"/>
      <c r="H338" s="33">
        <f>IF(OR(F338="",G338=""),"",G338-F338)</f>
        <v/>
      </c>
      <c r="I338" s="35" t="n"/>
      <c r="J338" s="35" t="n"/>
    </row>
    <row r="339">
      <c r="A339" s="33" t="inlineStr">
        <is>
          <t>D-335</t>
        </is>
      </c>
      <c r="B339" s="35" t="n"/>
      <c r="C339" s="35" t="n"/>
      <c r="D339" s="35" t="n"/>
      <c r="E339" s="35" t="n"/>
      <c r="F339" s="38" t="n"/>
      <c r="G339" s="38" t="n"/>
      <c r="H339" s="33">
        <f>IF(OR(F339="",G339=""),"",G339-F339)</f>
        <v/>
      </c>
      <c r="I339" s="35" t="n"/>
      <c r="J339" s="35" t="n"/>
    </row>
    <row r="340">
      <c r="A340" s="33" t="inlineStr">
        <is>
          <t>D-336</t>
        </is>
      </c>
      <c r="B340" s="35" t="n"/>
      <c r="C340" s="35" t="n"/>
      <c r="D340" s="35" t="n"/>
      <c r="E340" s="35" t="n"/>
      <c r="F340" s="38" t="n"/>
      <c r="G340" s="38" t="n"/>
      <c r="H340" s="33">
        <f>IF(OR(F340="",G340=""),"",G340-F340)</f>
        <v/>
      </c>
      <c r="I340" s="35" t="n"/>
      <c r="J340" s="35" t="n"/>
    </row>
    <row r="341">
      <c r="A341" s="33" t="inlineStr">
        <is>
          <t>D-337</t>
        </is>
      </c>
      <c r="B341" s="35" t="n"/>
      <c r="C341" s="35" t="n"/>
      <c r="D341" s="35" t="n"/>
      <c r="E341" s="35" t="n"/>
      <c r="F341" s="38" t="n"/>
      <c r="G341" s="38" t="n"/>
      <c r="H341" s="33">
        <f>IF(OR(F341="",G341=""),"",G341-F341)</f>
        <v/>
      </c>
      <c r="I341" s="35" t="n"/>
      <c r="J341" s="35" t="n"/>
    </row>
    <row r="342">
      <c r="A342" s="33" t="inlineStr">
        <is>
          <t>D-338</t>
        </is>
      </c>
      <c r="B342" s="35" t="n"/>
      <c r="C342" s="35" t="n"/>
      <c r="D342" s="35" t="n"/>
      <c r="E342" s="35" t="n"/>
      <c r="F342" s="38" t="n"/>
      <c r="G342" s="38" t="n"/>
      <c r="H342" s="33">
        <f>IF(OR(F342="",G342=""),"",G342-F342)</f>
        <v/>
      </c>
      <c r="I342" s="35" t="n"/>
      <c r="J342" s="35" t="n"/>
    </row>
    <row r="343">
      <c r="A343" s="33" t="inlineStr">
        <is>
          <t>D-339</t>
        </is>
      </c>
      <c r="B343" s="35" t="n"/>
      <c r="C343" s="35" t="n"/>
      <c r="D343" s="35" t="n"/>
      <c r="E343" s="35" t="n"/>
      <c r="F343" s="38" t="n"/>
      <c r="G343" s="38" t="n"/>
      <c r="H343" s="33">
        <f>IF(OR(F343="",G343=""),"",G343-F343)</f>
        <v/>
      </c>
      <c r="I343" s="35" t="n"/>
      <c r="J343" s="35" t="n"/>
    </row>
    <row r="344">
      <c r="A344" s="33" t="inlineStr">
        <is>
          <t>D-340</t>
        </is>
      </c>
      <c r="B344" s="35" t="n"/>
      <c r="C344" s="35" t="n"/>
      <c r="D344" s="35" t="n"/>
      <c r="E344" s="35" t="n"/>
      <c r="F344" s="38" t="n"/>
      <c r="G344" s="38" t="n"/>
      <c r="H344" s="33">
        <f>IF(OR(F344="",G344=""),"",G344-F344)</f>
        <v/>
      </c>
      <c r="I344" s="35" t="n"/>
      <c r="J344" s="35" t="n"/>
    </row>
    <row r="345">
      <c r="A345" s="33" t="inlineStr">
        <is>
          <t>D-341</t>
        </is>
      </c>
      <c r="B345" s="35" t="n"/>
      <c r="C345" s="35" t="n"/>
      <c r="D345" s="35" t="n"/>
      <c r="E345" s="35" t="n"/>
      <c r="F345" s="38" t="n"/>
      <c r="G345" s="38" t="n"/>
      <c r="H345" s="33">
        <f>IF(OR(F345="",G345=""),"",G345-F345)</f>
        <v/>
      </c>
      <c r="I345" s="35" t="n"/>
      <c r="J345" s="35" t="n"/>
    </row>
    <row r="346">
      <c r="A346" s="33" t="inlineStr">
        <is>
          <t>D-342</t>
        </is>
      </c>
      <c r="B346" s="35" t="n"/>
      <c r="C346" s="35" t="n"/>
      <c r="D346" s="35" t="n"/>
      <c r="E346" s="35" t="n"/>
      <c r="F346" s="38" t="n"/>
      <c r="G346" s="38" t="n"/>
      <c r="H346" s="33">
        <f>IF(OR(F346="",G346=""),"",G346-F346)</f>
        <v/>
      </c>
      <c r="I346" s="35" t="n"/>
      <c r="J346" s="35" t="n"/>
    </row>
    <row r="347">
      <c r="A347" s="33" t="inlineStr">
        <is>
          <t>D-343</t>
        </is>
      </c>
      <c r="B347" s="35" t="n"/>
      <c r="C347" s="35" t="n"/>
      <c r="D347" s="35" t="n"/>
      <c r="E347" s="35" t="n"/>
      <c r="F347" s="38" t="n"/>
      <c r="G347" s="38" t="n"/>
      <c r="H347" s="33">
        <f>IF(OR(F347="",G347=""),"",G347-F347)</f>
        <v/>
      </c>
      <c r="I347" s="35" t="n"/>
      <c r="J347" s="35" t="n"/>
    </row>
    <row r="348">
      <c r="A348" s="33" t="inlineStr">
        <is>
          <t>D-344</t>
        </is>
      </c>
      <c r="B348" s="35" t="n"/>
      <c r="C348" s="35" t="n"/>
      <c r="D348" s="35" t="n"/>
      <c r="E348" s="35" t="n"/>
      <c r="F348" s="38" t="n"/>
      <c r="G348" s="38" t="n"/>
      <c r="H348" s="33">
        <f>IF(OR(F348="",G348=""),"",G348-F348)</f>
        <v/>
      </c>
      <c r="I348" s="35" t="n"/>
      <c r="J348" s="35" t="n"/>
    </row>
    <row r="349">
      <c r="A349" s="33" t="inlineStr">
        <is>
          <t>D-345</t>
        </is>
      </c>
      <c r="B349" s="35" t="n"/>
      <c r="C349" s="35" t="n"/>
      <c r="D349" s="35" t="n"/>
      <c r="E349" s="35" t="n"/>
      <c r="F349" s="38" t="n"/>
      <c r="G349" s="38" t="n"/>
      <c r="H349" s="33">
        <f>IF(OR(F349="",G349=""),"",G349-F349)</f>
        <v/>
      </c>
      <c r="I349" s="35" t="n"/>
      <c r="J349" s="35" t="n"/>
    </row>
    <row r="350">
      <c r="A350" s="33" t="inlineStr">
        <is>
          <t>D-346</t>
        </is>
      </c>
      <c r="B350" s="35" t="n"/>
      <c r="C350" s="35" t="n"/>
      <c r="D350" s="35" t="n"/>
      <c r="E350" s="35" t="n"/>
      <c r="F350" s="38" t="n"/>
      <c r="G350" s="38" t="n"/>
      <c r="H350" s="33">
        <f>IF(OR(F350="",G350=""),"",G350-F350)</f>
        <v/>
      </c>
      <c r="I350" s="35" t="n"/>
      <c r="J350" s="35" t="n"/>
    </row>
    <row r="351">
      <c r="A351" s="33" t="inlineStr">
        <is>
          <t>D-347</t>
        </is>
      </c>
      <c r="B351" s="35" t="n"/>
      <c r="C351" s="35" t="n"/>
      <c r="D351" s="35" t="n"/>
      <c r="E351" s="35" t="n"/>
      <c r="F351" s="38" t="n"/>
      <c r="G351" s="38" t="n"/>
      <c r="H351" s="33">
        <f>IF(OR(F351="",G351=""),"",G351-F351)</f>
        <v/>
      </c>
      <c r="I351" s="35" t="n"/>
      <c r="J351" s="35" t="n"/>
    </row>
    <row r="352">
      <c r="A352" s="33" t="inlineStr">
        <is>
          <t>D-348</t>
        </is>
      </c>
      <c r="B352" s="35" t="n"/>
      <c r="C352" s="35" t="n"/>
      <c r="D352" s="35" t="n"/>
      <c r="E352" s="35" t="n"/>
      <c r="F352" s="38" t="n"/>
      <c r="G352" s="38" t="n"/>
      <c r="H352" s="33">
        <f>IF(OR(F352="",G352=""),"",G352-F352)</f>
        <v/>
      </c>
      <c r="I352" s="35" t="n"/>
      <c r="J352" s="35" t="n"/>
    </row>
    <row r="353">
      <c r="A353" s="33" t="inlineStr">
        <is>
          <t>D-349</t>
        </is>
      </c>
      <c r="B353" s="35" t="n"/>
      <c r="C353" s="35" t="n"/>
      <c r="D353" s="35" t="n"/>
      <c r="E353" s="35" t="n"/>
      <c r="F353" s="38" t="n"/>
      <c r="G353" s="38" t="n"/>
      <c r="H353" s="33">
        <f>IF(OR(F353="",G353=""),"",G353-F353)</f>
        <v/>
      </c>
      <c r="I353" s="35" t="n"/>
      <c r="J353" s="35" t="n"/>
    </row>
    <row r="354">
      <c r="A354" s="33" t="inlineStr">
        <is>
          <t>D-350</t>
        </is>
      </c>
      <c r="B354" s="35" t="n"/>
      <c r="C354" s="35" t="n"/>
      <c r="D354" s="35" t="n"/>
      <c r="E354" s="35" t="n"/>
      <c r="F354" s="38" t="n"/>
      <c r="G354" s="38" t="n"/>
      <c r="H354" s="33">
        <f>IF(OR(F354="",G354=""),"",G354-F354)</f>
        <v/>
      </c>
      <c r="I354" s="35" t="n"/>
      <c r="J354" s="35" t="n"/>
    </row>
    <row r="355">
      <c r="A355" s="33" t="inlineStr">
        <is>
          <t>D-351</t>
        </is>
      </c>
      <c r="B355" s="35" t="n"/>
      <c r="C355" s="35" t="n"/>
      <c r="D355" s="35" t="n"/>
      <c r="E355" s="35" t="n"/>
      <c r="F355" s="38" t="n"/>
      <c r="G355" s="38" t="n"/>
      <c r="H355" s="33">
        <f>IF(OR(F355="",G355=""),"",G355-F355)</f>
        <v/>
      </c>
      <c r="I355" s="35" t="n"/>
      <c r="J355" s="35" t="n"/>
    </row>
    <row r="356">
      <c r="A356" s="33" t="inlineStr">
        <is>
          <t>D-352</t>
        </is>
      </c>
      <c r="B356" s="35" t="n"/>
      <c r="C356" s="35" t="n"/>
      <c r="D356" s="35" t="n"/>
      <c r="E356" s="35" t="n"/>
      <c r="F356" s="38" t="n"/>
      <c r="G356" s="38" t="n"/>
      <c r="H356" s="33">
        <f>IF(OR(F356="",G356=""),"",G356-F356)</f>
        <v/>
      </c>
      <c r="I356" s="35" t="n"/>
      <c r="J356" s="35" t="n"/>
    </row>
    <row r="357">
      <c r="A357" s="33" t="inlineStr">
        <is>
          <t>D-353</t>
        </is>
      </c>
      <c r="B357" s="35" t="n"/>
      <c r="C357" s="35" t="n"/>
      <c r="D357" s="35" t="n"/>
      <c r="E357" s="35" t="n"/>
      <c r="F357" s="38" t="n"/>
      <c r="G357" s="38" t="n"/>
      <c r="H357" s="33">
        <f>IF(OR(F357="",G357=""),"",G357-F357)</f>
        <v/>
      </c>
      <c r="I357" s="35" t="n"/>
      <c r="J357" s="35" t="n"/>
    </row>
    <row r="358">
      <c r="A358" s="33" t="inlineStr">
        <is>
          <t>D-354</t>
        </is>
      </c>
      <c r="B358" s="35" t="n"/>
      <c r="C358" s="35" t="n"/>
      <c r="D358" s="35" t="n"/>
      <c r="E358" s="35" t="n"/>
      <c r="F358" s="38" t="n"/>
      <c r="G358" s="38" t="n"/>
      <c r="H358" s="33">
        <f>IF(OR(F358="",G358=""),"",G358-F358)</f>
        <v/>
      </c>
      <c r="I358" s="35" t="n"/>
      <c r="J358" s="35" t="n"/>
    </row>
    <row r="359">
      <c r="A359" s="33" t="inlineStr">
        <is>
          <t>D-355</t>
        </is>
      </c>
      <c r="B359" s="35" t="n"/>
      <c r="C359" s="35" t="n"/>
      <c r="D359" s="35" t="n"/>
      <c r="E359" s="35" t="n"/>
      <c r="F359" s="38" t="n"/>
      <c r="G359" s="38" t="n"/>
      <c r="H359" s="33">
        <f>IF(OR(F359="",G359=""),"",G359-F359)</f>
        <v/>
      </c>
      <c r="I359" s="35" t="n"/>
      <c r="J359" s="35" t="n"/>
    </row>
    <row r="360">
      <c r="A360" s="33" t="inlineStr">
        <is>
          <t>D-356</t>
        </is>
      </c>
      <c r="B360" s="35" t="n"/>
      <c r="C360" s="35" t="n"/>
      <c r="D360" s="35" t="n"/>
      <c r="E360" s="35" t="n"/>
      <c r="F360" s="38" t="n"/>
      <c r="G360" s="38" t="n"/>
      <c r="H360" s="33">
        <f>IF(OR(F360="",G360=""),"",G360-F360)</f>
        <v/>
      </c>
      <c r="I360" s="35" t="n"/>
      <c r="J360" s="35" t="n"/>
    </row>
    <row r="361">
      <c r="A361" s="33" t="inlineStr">
        <is>
          <t>D-357</t>
        </is>
      </c>
      <c r="B361" s="35" t="n"/>
      <c r="C361" s="35" t="n"/>
      <c r="D361" s="35" t="n"/>
      <c r="E361" s="35" t="n"/>
      <c r="F361" s="38" t="n"/>
      <c r="G361" s="38" t="n"/>
      <c r="H361" s="33">
        <f>IF(OR(F361="",G361=""),"",G361-F361)</f>
        <v/>
      </c>
      <c r="I361" s="35" t="n"/>
      <c r="J361" s="35" t="n"/>
    </row>
    <row r="362">
      <c r="A362" s="33" t="inlineStr">
        <is>
          <t>D-358</t>
        </is>
      </c>
      <c r="B362" s="35" t="n"/>
      <c r="C362" s="35" t="n"/>
      <c r="D362" s="35" t="n"/>
      <c r="E362" s="35" t="n"/>
      <c r="F362" s="38" t="n"/>
      <c r="G362" s="38" t="n"/>
      <c r="H362" s="33">
        <f>IF(OR(F362="",G362=""),"",G362-F362)</f>
        <v/>
      </c>
      <c r="I362" s="35" t="n"/>
      <c r="J362" s="35" t="n"/>
    </row>
    <row r="363">
      <c r="A363" s="33" t="inlineStr">
        <is>
          <t>D-359</t>
        </is>
      </c>
      <c r="B363" s="35" t="n"/>
      <c r="C363" s="35" t="n"/>
      <c r="D363" s="35" t="n"/>
      <c r="E363" s="35" t="n"/>
      <c r="F363" s="38" t="n"/>
      <c r="G363" s="38" t="n"/>
      <c r="H363" s="33">
        <f>IF(OR(F363="",G363=""),"",G363-F363)</f>
        <v/>
      </c>
      <c r="I363" s="35" t="n"/>
      <c r="J363" s="35" t="n"/>
    </row>
    <row r="364">
      <c r="A364" s="33" t="inlineStr">
        <is>
          <t>D-360</t>
        </is>
      </c>
      <c r="B364" s="35" t="n"/>
      <c r="C364" s="35" t="n"/>
      <c r="D364" s="35" t="n"/>
      <c r="E364" s="35" t="n"/>
      <c r="F364" s="38" t="n"/>
      <c r="G364" s="38" t="n"/>
      <c r="H364" s="33">
        <f>IF(OR(F364="",G364=""),"",G364-F364)</f>
        <v/>
      </c>
      <c r="I364" s="35" t="n"/>
      <c r="J364" s="35" t="n"/>
    </row>
    <row r="365">
      <c r="A365" s="33" t="inlineStr">
        <is>
          <t>D-361</t>
        </is>
      </c>
      <c r="B365" s="35" t="n"/>
      <c r="C365" s="35" t="n"/>
      <c r="D365" s="35" t="n"/>
      <c r="E365" s="35" t="n"/>
      <c r="F365" s="38" t="n"/>
      <c r="G365" s="38" t="n"/>
      <c r="H365" s="33">
        <f>IF(OR(F365="",G365=""),"",G365-F365)</f>
        <v/>
      </c>
      <c r="I365" s="35" t="n"/>
      <c r="J365" s="35" t="n"/>
    </row>
    <row r="366">
      <c r="A366" s="33" t="inlineStr">
        <is>
          <t>D-362</t>
        </is>
      </c>
      <c r="B366" s="35" t="n"/>
      <c r="C366" s="35" t="n"/>
      <c r="D366" s="35" t="n"/>
      <c r="E366" s="35" t="n"/>
      <c r="F366" s="38" t="n"/>
      <c r="G366" s="38" t="n"/>
      <c r="H366" s="33">
        <f>IF(OR(F366="",G366=""),"",G366-F366)</f>
        <v/>
      </c>
      <c r="I366" s="35" t="n"/>
      <c r="J366" s="35" t="n"/>
    </row>
    <row r="367">
      <c r="A367" s="33" t="inlineStr">
        <is>
          <t>D-363</t>
        </is>
      </c>
      <c r="B367" s="35" t="n"/>
      <c r="C367" s="35" t="n"/>
      <c r="D367" s="35" t="n"/>
      <c r="E367" s="35" t="n"/>
      <c r="F367" s="38" t="n"/>
      <c r="G367" s="38" t="n"/>
      <c r="H367" s="33">
        <f>IF(OR(F367="",G367=""),"",G367-F367)</f>
        <v/>
      </c>
      <c r="I367" s="35" t="n"/>
      <c r="J367" s="35" t="n"/>
    </row>
    <row r="368">
      <c r="A368" s="33" t="inlineStr">
        <is>
          <t>D-364</t>
        </is>
      </c>
      <c r="B368" s="35" t="n"/>
      <c r="C368" s="35" t="n"/>
      <c r="D368" s="35" t="n"/>
      <c r="E368" s="35" t="n"/>
      <c r="F368" s="38" t="n"/>
      <c r="G368" s="38" t="n"/>
      <c r="H368" s="33">
        <f>IF(OR(F368="",G368=""),"",G368-F368)</f>
        <v/>
      </c>
      <c r="I368" s="35" t="n"/>
      <c r="J368" s="35" t="n"/>
    </row>
    <row r="369">
      <c r="A369" s="33" t="inlineStr">
        <is>
          <t>D-365</t>
        </is>
      </c>
      <c r="B369" s="35" t="n"/>
      <c r="C369" s="35" t="n"/>
      <c r="D369" s="35" t="n"/>
      <c r="E369" s="35" t="n"/>
      <c r="F369" s="38" t="n"/>
      <c r="G369" s="38" t="n"/>
      <c r="H369" s="33">
        <f>IF(OR(F369="",G369=""),"",G369-F369)</f>
        <v/>
      </c>
      <c r="I369" s="35" t="n"/>
      <c r="J369" s="35" t="n"/>
    </row>
    <row r="370">
      <c r="A370" s="33" t="inlineStr">
        <is>
          <t>D-366</t>
        </is>
      </c>
      <c r="B370" s="35" t="n"/>
      <c r="C370" s="35" t="n"/>
      <c r="D370" s="35" t="n"/>
      <c r="E370" s="35" t="n"/>
      <c r="F370" s="38" t="n"/>
      <c r="G370" s="38" t="n"/>
      <c r="H370" s="33">
        <f>IF(OR(F370="",G370=""),"",G370-F370)</f>
        <v/>
      </c>
      <c r="I370" s="35" t="n"/>
      <c r="J370" s="35" t="n"/>
    </row>
    <row r="371">
      <c r="A371" s="33" t="inlineStr">
        <is>
          <t>D-367</t>
        </is>
      </c>
      <c r="B371" s="35" t="n"/>
      <c r="C371" s="35" t="n"/>
      <c r="D371" s="35" t="n"/>
      <c r="E371" s="35" t="n"/>
      <c r="F371" s="38" t="n"/>
      <c r="G371" s="38" t="n"/>
      <c r="H371" s="33">
        <f>IF(OR(F371="",G371=""),"",G371-F371)</f>
        <v/>
      </c>
      <c r="I371" s="35" t="n"/>
      <c r="J371" s="35" t="n"/>
    </row>
    <row r="372">
      <c r="A372" s="33" t="inlineStr">
        <is>
          <t>D-368</t>
        </is>
      </c>
      <c r="B372" s="35" t="n"/>
      <c r="C372" s="35" t="n"/>
      <c r="D372" s="35" t="n"/>
      <c r="E372" s="35" t="n"/>
      <c r="F372" s="38" t="n"/>
      <c r="G372" s="38" t="n"/>
      <c r="H372" s="33">
        <f>IF(OR(F372="",G372=""),"",G372-F372)</f>
        <v/>
      </c>
      <c r="I372" s="35" t="n"/>
      <c r="J372" s="35" t="n"/>
    </row>
    <row r="373">
      <c r="A373" s="33" t="inlineStr">
        <is>
          <t>D-369</t>
        </is>
      </c>
      <c r="B373" s="35" t="n"/>
      <c r="C373" s="35" t="n"/>
      <c r="D373" s="35" t="n"/>
      <c r="E373" s="35" t="n"/>
      <c r="F373" s="38" t="n"/>
      <c r="G373" s="38" t="n"/>
      <c r="H373" s="33">
        <f>IF(OR(F373="",G373=""),"",G373-F373)</f>
        <v/>
      </c>
      <c r="I373" s="35" t="n"/>
      <c r="J373" s="35" t="n"/>
    </row>
    <row r="374">
      <c r="A374" s="33" t="inlineStr">
        <is>
          <t>D-370</t>
        </is>
      </c>
      <c r="B374" s="35" t="n"/>
      <c r="C374" s="35" t="n"/>
      <c r="D374" s="35" t="n"/>
      <c r="E374" s="35" t="n"/>
      <c r="F374" s="38" t="n"/>
      <c r="G374" s="38" t="n"/>
      <c r="H374" s="33">
        <f>IF(OR(F374="",G374=""),"",G374-F374)</f>
        <v/>
      </c>
      <c r="I374" s="35" t="n"/>
      <c r="J374" s="35" t="n"/>
    </row>
    <row r="375">
      <c r="A375" s="33" t="inlineStr">
        <is>
          <t>D-371</t>
        </is>
      </c>
      <c r="B375" s="35" t="n"/>
      <c r="C375" s="35" t="n"/>
      <c r="D375" s="35" t="n"/>
      <c r="E375" s="35" t="n"/>
      <c r="F375" s="38" t="n"/>
      <c r="G375" s="38" t="n"/>
      <c r="H375" s="33">
        <f>IF(OR(F375="",G375=""),"",G375-F375)</f>
        <v/>
      </c>
      <c r="I375" s="35" t="n"/>
      <c r="J375" s="35" t="n"/>
    </row>
    <row r="376">
      <c r="A376" s="33" t="inlineStr">
        <is>
          <t>D-372</t>
        </is>
      </c>
      <c r="B376" s="35" t="n"/>
      <c r="C376" s="35" t="n"/>
      <c r="D376" s="35" t="n"/>
      <c r="E376" s="35" t="n"/>
      <c r="F376" s="38" t="n"/>
      <c r="G376" s="38" t="n"/>
      <c r="H376" s="33">
        <f>IF(OR(F376="",G376=""),"",G376-F376)</f>
        <v/>
      </c>
      <c r="I376" s="35" t="n"/>
      <c r="J376" s="35" t="n"/>
    </row>
    <row r="377">
      <c r="A377" s="33" t="inlineStr">
        <is>
          <t>D-373</t>
        </is>
      </c>
      <c r="B377" s="35" t="n"/>
      <c r="C377" s="35" t="n"/>
      <c r="D377" s="35" t="n"/>
      <c r="E377" s="35" t="n"/>
      <c r="F377" s="38" t="n"/>
      <c r="G377" s="38" t="n"/>
      <c r="H377" s="33">
        <f>IF(OR(F377="",G377=""),"",G377-F377)</f>
        <v/>
      </c>
      <c r="I377" s="35" t="n"/>
      <c r="J377" s="35" t="n"/>
    </row>
    <row r="378">
      <c r="A378" s="33" t="inlineStr">
        <is>
          <t>D-374</t>
        </is>
      </c>
      <c r="B378" s="35" t="n"/>
      <c r="C378" s="35" t="n"/>
      <c r="D378" s="35" t="n"/>
      <c r="E378" s="35" t="n"/>
      <c r="F378" s="38" t="n"/>
      <c r="G378" s="38" t="n"/>
      <c r="H378" s="33">
        <f>IF(OR(F378="",G378=""),"",G378-F378)</f>
        <v/>
      </c>
      <c r="I378" s="35" t="n"/>
      <c r="J378" s="35" t="n"/>
    </row>
    <row r="379">
      <c r="A379" s="33" t="inlineStr">
        <is>
          <t>D-375</t>
        </is>
      </c>
      <c r="B379" s="35" t="n"/>
      <c r="C379" s="35" t="n"/>
      <c r="D379" s="35" t="n"/>
      <c r="E379" s="35" t="n"/>
      <c r="F379" s="38" t="n"/>
      <c r="G379" s="38" t="n"/>
      <c r="H379" s="33">
        <f>IF(OR(F379="",G379=""),"",G379-F379)</f>
        <v/>
      </c>
      <c r="I379" s="35" t="n"/>
      <c r="J379" s="35" t="n"/>
    </row>
    <row r="380">
      <c r="A380" s="33" t="inlineStr">
        <is>
          <t>D-376</t>
        </is>
      </c>
      <c r="B380" s="35" t="n"/>
      <c r="C380" s="35" t="n"/>
      <c r="D380" s="35" t="n"/>
      <c r="E380" s="35" t="n"/>
      <c r="F380" s="38" t="n"/>
      <c r="G380" s="38" t="n"/>
      <c r="H380" s="33">
        <f>IF(OR(F380="",G380=""),"",G380-F380)</f>
        <v/>
      </c>
      <c r="I380" s="35" t="n"/>
      <c r="J380" s="35" t="n"/>
    </row>
    <row r="381">
      <c r="A381" s="33" t="inlineStr">
        <is>
          <t>D-377</t>
        </is>
      </c>
      <c r="B381" s="35" t="n"/>
      <c r="C381" s="35" t="n"/>
      <c r="D381" s="35" t="n"/>
      <c r="E381" s="35" t="n"/>
      <c r="F381" s="38" t="n"/>
      <c r="G381" s="38" t="n"/>
      <c r="H381" s="33">
        <f>IF(OR(F381="",G381=""),"",G381-F381)</f>
        <v/>
      </c>
      <c r="I381" s="35" t="n"/>
      <c r="J381" s="35" t="n"/>
    </row>
    <row r="382">
      <c r="A382" s="33" t="inlineStr">
        <is>
          <t>D-378</t>
        </is>
      </c>
      <c r="B382" s="35" t="n"/>
      <c r="C382" s="35" t="n"/>
      <c r="D382" s="35" t="n"/>
      <c r="E382" s="35" t="n"/>
      <c r="F382" s="38" t="n"/>
      <c r="G382" s="38" t="n"/>
      <c r="H382" s="33">
        <f>IF(OR(F382="",G382=""),"",G382-F382)</f>
        <v/>
      </c>
      <c r="I382" s="35" t="n"/>
      <c r="J382" s="35" t="n"/>
    </row>
    <row r="383">
      <c r="A383" s="33" t="inlineStr">
        <is>
          <t>D-379</t>
        </is>
      </c>
      <c r="B383" s="35" t="n"/>
      <c r="C383" s="35" t="n"/>
      <c r="D383" s="35" t="n"/>
      <c r="E383" s="35" t="n"/>
      <c r="F383" s="38" t="n"/>
      <c r="G383" s="38" t="n"/>
      <c r="H383" s="33">
        <f>IF(OR(F383="",G383=""),"",G383-F383)</f>
        <v/>
      </c>
      <c r="I383" s="35" t="n"/>
      <c r="J383" s="35" t="n"/>
    </row>
    <row r="384">
      <c r="A384" s="33" t="inlineStr">
        <is>
          <t>D-380</t>
        </is>
      </c>
      <c r="B384" s="35" t="n"/>
      <c r="C384" s="35" t="n"/>
      <c r="D384" s="35" t="n"/>
      <c r="E384" s="35" t="n"/>
      <c r="F384" s="38" t="n"/>
      <c r="G384" s="38" t="n"/>
      <c r="H384" s="33">
        <f>IF(OR(F384="",G384=""),"",G384-F384)</f>
        <v/>
      </c>
      <c r="I384" s="35" t="n"/>
      <c r="J384" s="35" t="n"/>
    </row>
    <row r="385">
      <c r="A385" s="33" t="inlineStr">
        <is>
          <t>D-381</t>
        </is>
      </c>
      <c r="B385" s="35" t="n"/>
      <c r="C385" s="35" t="n"/>
      <c r="D385" s="35" t="n"/>
      <c r="E385" s="35" t="n"/>
      <c r="F385" s="38" t="n"/>
      <c r="G385" s="38" t="n"/>
      <c r="H385" s="33">
        <f>IF(OR(F385="",G385=""),"",G385-F385)</f>
        <v/>
      </c>
      <c r="I385" s="35" t="n"/>
      <c r="J385" s="35" t="n"/>
    </row>
    <row r="386">
      <c r="A386" s="33" t="inlineStr">
        <is>
          <t>D-382</t>
        </is>
      </c>
      <c r="B386" s="35" t="n"/>
      <c r="C386" s="35" t="n"/>
      <c r="D386" s="35" t="n"/>
      <c r="E386" s="35" t="n"/>
      <c r="F386" s="38" t="n"/>
      <c r="G386" s="38" t="n"/>
      <c r="H386" s="33">
        <f>IF(OR(F386="",G386=""),"",G386-F386)</f>
        <v/>
      </c>
      <c r="I386" s="35" t="n"/>
      <c r="J386" s="35" t="n"/>
    </row>
    <row r="387">
      <c r="A387" s="33" t="inlineStr">
        <is>
          <t>D-383</t>
        </is>
      </c>
      <c r="B387" s="35" t="n"/>
      <c r="C387" s="35" t="n"/>
      <c r="D387" s="35" t="n"/>
      <c r="E387" s="35" t="n"/>
      <c r="F387" s="38" t="n"/>
      <c r="G387" s="38" t="n"/>
      <c r="H387" s="33">
        <f>IF(OR(F387="",G387=""),"",G387-F387)</f>
        <v/>
      </c>
      <c r="I387" s="35" t="n"/>
      <c r="J387" s="35" t="n"/>
    </row>
    <row r="388">
      <c r="A388" s="33" t="inlineStr">
        <is>
          <t>D-384</t>
        </is>
      </c>
      <c r="B388" s="35" t="n"/>
      <c r="C388" s="35" t="n"/>
      <c r="D388" s="35" t="n"/>
      <c r="E388" s="35" t="n"/>
      <c r="F388" s="38" t="n"/>
      <c r="G388" s="38" t="n"/>
      <c r="H388" s="33">
        <f>IF(OR(F388="",G388=""),"",G388-F388)</f>
        <v/>
      </c>
      <c r="I388" s="35" t="n"/>
      <c r="J388" s="35" t="n"/>
    </row>
    <row r="389">
      <c r="A389" s="33" t="inlineStr">
        <is>
          <t>D-385</t>
        </is>
      </c>
      <c r="B389" s="35" t="n"/>
      <c r="C389" s="35" t="n"/>
      <c r="D389" s="35" t="n"/>
      <c r="E389" s="35" t="n"/>
      <c r="F389" s="38" t="n"/>
      <c r="G389" s="38" t="n"/>
      <c r="H389" s="33">
        <f>IF(OR(F389="",G389=""),"",G389-F389)</f>
        <v/>
      </c>
      <c r="I389" s="35" t="n"/>
      <c r="J389" s="35" t="n"/>
    </row>
    <row r="390">
      <c r="A390" s="33" t="inlineStr">
        <is>
          <t>D-386</t>
        </is>
      </c>
      <c r="B390" s="35" t="n"/>
      <c r="C390" s="35" t="n"/>
      <c r="D390" s="35" t="n"/>
      <c r="E390" s="35" t="n"/>
      <c r="F390" s="38" t="n"/>
      <c r="G390" s="38" t="n"/>
      <c r="H390" s="33">
        <f>IF(OR(F390="",G390=""),"",G390-F390)</f>
        <v/>
      </c>
      <c r="I390" s="35" t="n"/>
      <c r="J390" s="35" t="n"/>
    </row>
    <row r="391">
      <c r="A391" s="33" t="inlineStr">
        <is>
          <t>D-387</t>
        </is>
      </c>
      <c r="B391" s="35" t="n"/>
      <c r="C391" s="35" t="n"/>
      <c r="D391" s="35" t="n"/>
      <c r="E391" s="35" t="n"/>
      <c r="F391" s="38" t="n"/>
      <c r="G391" s="38" t="n"/>
      <c r="H391" s="33">
        <f>IF(OR(F391="",G391=""),"",G391-F391)</f>
        <v/>
      </c>
      <c r="I391" s="35" t="n"/>
      <c r="J391" s="35" t="n"/>
    </row>
    <row r="392">
      <c r="A392" s="33" t="inlineStr">
        <is>
          <t>D-388</t>
        </is>
      </c>
      <c r="B392" s="35" t="n"/>
      <c r="C392" s="35" t="n"/>
      <c r="D392" s="35" t="n"/>
      <c r="E392" s="35" t="n"/>
      <c r="F392" s="38" t="n"/>
      <c r="G392" s="38" t="n"/>
      <c r="H392" s="33">
        <f>IF(OR(F392="",G392=""),"",G392-F392)</f>
        <v/>
      </c>
      <c r="I392" s="35" t="n"/>
      <c r="J392" s="35" t="n"/>
    </row>
    <row r="393">
      <c r="A393" s="33" t="inlineStr">
        <is>
          <t>D-389</t>
        </is>
      </c>
      <c r="B393" s="35" t="n"/>
      <c r="C393" s="35" t="n"/>
      <c r="D393" s="35" t="n"/>
      <c r="E393" s="35" t="n"/>
      <c r="F393" s="38" t="n"/>
      <c r="G393" s="38" t="n"/>
      <c r="H393" s="33">
        <f>IF(OR(F393="",G393=""),"",G393-F393)</f>
        <v/>
      </c>
      <c r="I393" s="35" t="n"/>
      <c r="J393" s="35" t="n"/>
    </row>
    <row r="394">
      <c r="A394" s="33" t="inlineStr">
        <is>
          <t>D-390</t>
        </is>
      </c>
      <c r="B394" s="35" t="n"/>
      <c r="C394" s="35" t="n"/>
      <c r="D394" s="35" t="n"/>
      <c r="E394" s="35" t="n"/>
      <c r="F394" s="38" t="n"/>
      <c r="G394" s="38" t="n"/>
      <c r="H394" s="33">
        <f>IF(OR(F394="",G394=""),"",G394-F394)</f>
        <v/>
      </c>
      <c r="I394" s="35" t="n"/>
      <c r="J394" s="35" t="n"/>
    </row>
    <row r="395">
      <c r="A395" s="33" t="inlineStr">
        <is>
          <t>D-391</t>
        </is>
      </c>
      <c r="B395" s="35" t="n"/>
      <c r="C395" s="35" t="n"/>
      <c r="D395" s="35" t="n"/>
      <c r="E395" s="35" t="n"/>
      <c r="F395" s="38" t="n"/>
      <c r="G395" s="38" t="n"/>
      <c r="H395" s="33">
        <f>IF(OR(F395="",G395=""),"",G395-F395)</f>
        <v/>
      </c>
      <c r="I395" s="35" t="n"/>
      <c r="J395" s="35" t="n"/>
    </row>
    <row r="396">
      <c r="A396" s="33" t="inlineStr">
        <is>
          <t>D-392</t>
        </is>
      </c>
      <c r="B396" s="35" t="n"/>
      <c r="C396" s="35" t="n"/>
      <c r="D396" s="35" t="n"/>
      <c r="E396" s="35" t="n"/>
      <c r="F396" s="38" t="n"/>
      <c r="G396" s="38" t="n"/>
      <c r="H396" s="33">
        <f>IF(OR(F396="",G396=""),"",G396-F396)</f>
        <v/>
      </c>
      <c r="I396" s="35" t="n"/>
      <c r="J396" s="35" t="n"/>
    </row>
    <row r="397">
      <c r="A397" s="33" t="inlineStr">
        <is>
          <t>D-393</t>
        </is>
      </c>
      <c r="B397" s="35" t="n"/>
      <c r="C397" s="35" t="n"/>
      <c r="D397" s="35" t="n"/>
      <c r="E397" s="35" t="n"/>
      <c r="F397" s="38" t="n"/>
      <c r="G397" s="38" t="n"/>
      <c r="H397" s="33">
        <f>IF(OR(F397="",G397=""),"",G397-F397)</f>
        <v/>
      </c>
      <c r="I397" s="35" t="n"/>
      <c r="J397" s="35" t="n"/>
    </row>
    <row r="398">
      <c r="A398" s="33" t="inlineStr">
        <is>
          <t>D-394</t>
        </is>
      </c>
      <c r="B398" s="35" t="n"/>
      <c r="C398" s="35" t="n"/>
      <c r="D398" s="35" t="n"/>
      <c r="E398" s="35" t="n"/>
      <c r="F398" s="38" t="n"/>
      <c r="G398" s="38" t="n"/>
      <c r="H398" s="33">
        <f>IF(OR(F398="",G398=""),"",G398-F398)</f>
        <v/>
      </c>
      <c r="I398" s="35" t="n"/>
      <c r="J398" s="35" t="n"/>
    </row>
    <row r="399">
      <c r="A399" s="33" t="inlineStr">
        <is>
          <t>D-395</t>
        </is>
      </c>
      <c r="B399" s="35" t="n"/>
      <c r="C399" s="35" t="n"/>
      <c r="D399" s="35" t="n"/>
      <c r="E399" s="35" t="n"/>
      <c r="F399" s="38" t="n"/>
      <c r="G399" s="38" t="n"/>
      <c r="H399" s="33">
        <f>IF(OR(F399="",G399=""),"",G399-F399)</f>
        <v/>
      </c>
      <c r="I399" s="35" t="n"/>
      <c r="J399" s="35" t="n"/>
    </row>
    <row r="400">
      <c r="A400" s="33" t="inlineStr">
        <is>
          <t>D-396</t>
        </is>
      </c>
      <c r="B400" s="35" t="n"/>
      <c r="C400" s="35" t="n"/>
      <c r="D400" s="35" t="n"/>
      <c r="E400" s="35" t="n"/>
      <c r="F400" s="38" t="n"/>
      <c r="G400" s="38" t="n"/>
      <c r="H400" s="33">
        <f>IF(OR(F400="",G400=""),"",G400-F400)</f>
        <v/>
      </c>
      <c r="I400" s="35" t="n"/>
      <c r="J400" s="35" t="n"/>
    </row>
    <row r="401">
      <c r="A401" s="33" t="inlineStr">
        <is>
          <t>D-397</t>
        </is>
      </c>
      <c r="B401" s="35" t="n"/>
      <c r="C401" s="35" t="n"/>
      <c r="D401" s="35" t="n"/>
      <c r="E401" s="35" t="n"/>
      <c r="F401" s="38" t="n"/>
      <c r="G401" s="38" t="n"/>
      <c r="H401" s="33">
        <f>IF(OR(F401="",G401=""),"",G401-F401)</f>
        <v/>
      </c>
      <c r="I401" s="35" t="n"/>
      <c r="J401" s="35" t="n"/>
    </row>
    <row r="402">
      <c r="A402" s="33" t="inlineStr">
        <is>
          <t>D-398</t>
        </is>
      </c>
      <c r="B402" s="35" t="n"/>
      <c r="C402" s="35" t="n"/>
      <c r="D402" s="35" t="n"/>
      <c r="E402" s="35" t="n"/>
      <c r="F402" s="38" t="n"/>
      <c r="G402" s="38" t="n"/>
      <c r="H402" s="33">
        <f>IF(OR(F402="",G402=""),"",G402-F402)</f>
        <v/>
      </c>
      <c r="I402" s="35" t="n"/>
      <c r="J402" s="35" t="n"/>
    </row>
    <row r="403">
      <c r="A403" s="33" t="inlineStr">
        <is>
          <t>D-399</t>
        </is>
      </c>
      <c r="B403" s="35" t="n"/>
      <c r="C403" s="35" t="n"/>
      <c r="D403" s="35" t="n"/>
      <c r="E403" s="35" t="n"/>
      <c r="F403" s="38" t="n"/>
      <c r="G403" s="38" t="n"/>
      <c r="H403" s="33">
        <f>IF(OR(F403="",G403=""),"",G403-F403)</f>
        <v/>
      </c>
      <c r="I403" s="35" t="n"/>
      <c r="J403" s="35" t="n"/>
    </row>
    <row r="404">
      <c r="A404" s="33" t="inlineStr">
        <is>
          <t>D-400</t>
        </is>
      </c>
      <c r="B404" s="35" t="n"/>
      <c r="C404" s="35" t="n"/>
      <c r="D404" s="35" t="n"/>
      <c r="E404" s="35" t="n"/>
      <c r="F404" s="38" t="n"/>
      <c r="G404" s="38" t="n"/>
      <c r="H404" s="33">
        <f>IF(OR(F404="",G404=""),"",G404-F404)</f>
        <v/>
      </c>
      <c r="I404" s="35" t="n"/>
      <c r="J404" s="35" t="n"/>
    </row>
  </sheetData>
  <conditionalFormatting sqref="H5:H404">
    <cfRule type="expression" priority="1" dxfId="0">
      <formula>AND(ISNUMBER(H5),H5&lt;0)</formula>
    </cfRule>
  </conditionalFormatting>
  <dataValidations count="7">
    <dataValidation sqref="B5:B404" showDropDown="0" showInputMessage="0" showErrorMessage="0" allowBlank="1" type="list">
      <formula1>=Patients!$A$6:$A$205</formula1>
    </dataValidation>
    <dataValidation sqref="C5:C404" showDropDown="0" showInputMessage="0" showErrorMessage="1" allowBlank="1" errorTitle="ערך לא תקין" error="בחר ערך מהרשימה" type="list">
      <formula1>=L_dphase</formula1>
    </dataValidation>
    <dataValidation sqref="D5:D404" showDropDown="0" showInputMessage="0" showErrorMessage="1" allowBlank="1" errorTitle="ערך לא תקין" error="בחר ערך מהרשימה" type="list">
      <formula1>=L_dreason</formula1>
    </dataValidation>
    <dataValidation sqref="E5:E404" showDropDown="0" showInputMessage="0" showErrorMessage="1" allowBlank="1" errorTitle="ערך לא תקין" error="בחר ערך מהרשימה" type="list">
      <formula1>=L_dsrc</formula1>
    </dataValidation>
    <dataValidation sqref="F5:F404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G5:G404" showDropDown="0" showInputMessage="0" showErrorMessage="1" allowBlank="1" error="תאריך בפורמט dd/mm/yyyy" type="date" operator="between">
      <formula1>DATE(2015,1,1)</formula1>
      <formula2>DATE(2030,12,31)</formula2>
    </dataValidation>
    <dataValidation sqref="I5:I404" showDropDown="0" showInputMessage="0" showErrorMessage="1" allowBlank="1" errorTitle="ערך לא תקין" error="בחר ערך מהרשימה" type="list">
      <formula1>=L_ynu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22" customWidth="1" min="3" max="3"/>
    <col width="10" customWidth="1" min="4" max="4"/>
    <col width="13" customWidth="1" min="5" max="5"/>
    <col width="22" customWidth="1" min="6" max="6"/>
    <col width="24" customWidth="1" min="7" max="7"/>
    <col width="34" customWidth="1" min="8" max="8"/>
    <col width="48" customWidth="1" min="9" max="9"/>
    <col width="24" customWidth="1" min="10" max="10"/>
    <col width="30" customWidth="1" min="11" max="11"/>
    <col width="44" customWidth="1" min="12" max="12"/>
    <col width="36" customWidth="1" min="13" max="13"/>
    <col width="30" customWidth="1" min="14" max="14"/>
  </cols>
  <sheetData>
    <row r="1">
      <c r="A1" s="11" t="inlineStr">
        <is>
          <t>הפרמטרים שנמדדו במחקרים המובילים — ומה נאסף אצלנו</t>
        </is>
      </c>
    </row>
    <row r="2">
      <c r="A2" s="12" t="inlineStr">
        <is>
          <t>כל שורה: מחקר אחד. כל מספר בטבלה נקרא מהמקור עצמו; היכן שהנתון לא היה בטקסט הנגיש — נכתב ״לא אומת״.</t>
        </is>
      </c>
    </row>
    <row r="4" ht="34" customHeight="1">
      <c r="A4" s="26" t="inlineStr">
        <is>
          <t>המחקר</t>
        </is>
      </c>
      <c r="B4" s="26" t="inlineStr">
        <is>
          <t>שנה</t>
        </is>
      </c>
      <c r="C4" s="26" t="inlineStr">
        <is>
          <t>מדינה / מקור נתונים</t>
        </is>
      </c>
      <c r="D4" s="26" t="inlineStr">
        <is>
          <t>n</t>
        </is>
      </c>
      <c r="E4" s="26" t="inlineStr">
        <is>
          <t>תקופה</t>
        </is>
      </c>
      <c r="F4" s="26" t="inlineStr">
        <is>
          <t>עוגן ההתחלה</t>
        </is>
      </c>
      <c r="G4" s="26" t="inlineStr">
        <is>
          <t>עוגן הסיום</t>
        </is>
      </c>
      <c r="H4" s="26" t="inlineStr">
        <is>
          <t>מקטעי משנה שנמדדו</t>
        </is>
      </c>
      <c r="I4" s="26" t="inlineStr">
        <is>
          <t>משתנים מסבירים</t>
        </is>
      </c>
      <c r="J4" s="26" t="inlineStr">
        <is>
          <t>תוצאים</t>
        </is>
      </c>
      <c r="K4" s="26" t="inlineStr">
        <is>
          <t>סף ושיטת הפקתו</t>
        </is>
      </c>
      <c r="L4" s="26" t="inlineStr">
        <is>
          <t>התוצאה המרכזית</t>
        </is>
      </c>
      <c r="M4" s="26" t="inlineStr">
        <is>
          <t>ממצאי אפס</t>
        </is>
      </c>
      <c r="N4" s="26" t="inlineStr">
        <is>
          <t>מזהה</t>
        </is>
      </c>
    </row>
    <row r="5" ht="96" customHeight="1">
      <c r="A5" s="40" t="inlineStr">
        <is>
          <t>Amarillo D, et al.</t>
        </is>
      </c>
      <c r="B5" s="41" t="inlineStr">
        <is>
          <t>2024</t>
        </is>
      </c>
      <c r="C5" s="41" t="inlineStr">
        <is>
          <t>אורוגוואי · Hospital de Clínicas, מונטווידאו</t>
        </is>
      </c>
      <c r="D5" s="41" t="inlineStr">
        <is>
          <t>377</t>
        </is>
      </c>
      <c r="E5" s="41" t="inlineStr">
        <is>
          <t>2005–2015</t>
        </is>
      </c>
      <c r="F5" s="41" t="inlineStr">
        <is>
          <t>אבחנה</t>
        </is>
      </c>
      <c r="G5" s="41" t="inlineStr">
        <is>
          <t>תחילת הטיפול</t>
        </is>
      </c>
      <c r="H5" s="41" t="inlineStr">
        <is>
          <t>אין — מרווח יחיד</t>
        </is>
      </c>
      <c r="I5" s="41" t="inlineStr">
        <is>
          <t>מין · אתר הגידול · שלב (מקומי מול מתקדם) · סוג הטיפול (ניתוח 57.8% / הקרנות 42.2%)</t>
        </is>
      </c>
      <c r="J5" s="41" t="inlineStr">
        <is>
          <t>הישרדות כוללת</t>
        </is>
      </c>
      <c r="K5" s="41" t="inlineStr">
        <is>
          <t>40.5 יום · Recursive partitioning</t>
        </is>
      </c>
      <c r="L5" s="41" t="inlineStr">
        <is>
          <t>חציון OS‏ 36.16 מול 23.14 חודשים (p=0.006) · מחלה מקומית 116.3 מול 55 (p=0.009) · גרון 70.58 מול 27.75 · חציון המרווח בפועל 32 יום</t>
        </is>
      </c>
      <c r="M5" s="41" t="inlineStr">
        <is>
          <t>לא דווחו ממצאי אפס</t>
        </is>
      </c>
      <c r="N5" s="41" t="inlineStr">
        <is>
          <t>Am J Otolaryngol Head Neck Surg 2024;7(1) · תקציר כנס: Oral Oncol 2021;118 suppl, doi:10.1016/S1368-8375(21)00499-1</t>
        </is>
      </c>
    </row>
    <row r="6" ht="96" customHeight="1">
      <c r="A6" s="40" t="inlineStr">
        <is>
          <t>Murphy CT, et al.</t>
        </is>
      </c>
      <c r="B6" s="41" t="inlineStr">
        <is>
          <t>2016</t>
        </is>
      </c>
      <c r="C6" s="41" t="inlineStr">
        <is>
          <t>ארה״ב · NCDB</t>
        </is>
      </c>
      <c r="D6" s="41" t="inlineStr">
        <is>
          <t>51,655</t>
        </is>
      </c>
      <c r="E6" s="41" t="inlineStr">
        <is>
          <t>לא אומת</t>
        </is>
      </c>
      <c r="F6" s="41" t="inlineStr">
        <is>
          <t>אבחנה</t>
        </is>
      </c>
      <c r="G6" s="41" t="inlineStr">
        <is>
          <t>תחילת טיפול מרפא</t>
        </is>
      </c>
      <c r="H6" s="41" t="inlineStr">
        <is>
          <t>אין</t>
        </is>
      </c>
      <c r="I6" s="41" t="inlineStr">
        <is>
          <t>לא אומת מהטקסט הנגיש</t>
        </is>
      </c>
      <c r="J6" s="41" t="inlineStr">
        <is>
          <t>הישרדות כוללת</t>
        </is>
      </c>
      <c r="K6" s="41" t="inlineStr">
        <is>
          <t>67 יום (וגם 46–52) · RPA עם conditional inference trees, 1,000 חזרות</t>
        </is>
      </c>
      <c r="L6" s="41" t="inlineStr">
        <is>
          <t>TTI 61–90 מול &lt;30 יום: HR 1.13 (1.08–1.19) · חציון OS‏ 71.9 / 61 / 46.6 חודשים</t>
        </is>
      </c>
      <c r="M6" s="41" t="inlineStr">
        <is>
          <t>—</t>
        </is>
      </c>
      <c r="N6" s="41" t="inlineStr">
        <is>
          <t>PMID 26628469 · doi:10.1200/JCO.2015.61.5906</t>
        </is>
      </c>
    </row>
    <row r="7" ht="96" customHeight="1">
      <c r="A7" s="40" t="inlineStr">
        <is>
          <t>Murphy CT, et al.</t>
        </is>
      </c>
      <c r="B7" s="41" t="inlineStr">
        <is>
          <t>2015</t>
        </is>
      </c>
      <c r="C7" s="41" t="inlineStr">
        <is>
          <t>ארה״ב · NCDB</t>
        </is>
      </c>
      <c r="D7" s="41" t="inlineStr">
        <is>
          <t>274,630</t>
        </is>
      </c>
      <c r="E7" s="41" t="inlineStr">
        <is>
          <t>1998–2011</t>
        </is>
      </c>
      <c r="F7" s="41" t="inlineStr">
        <is>
          <t>אבחנה</t>
        </is>
      </c>
      <c r="G7" s="41" t="inlineStr">
        <is>
          <t>תחילת טיפול מכריע</t>
        </is>
      </c>
      <c r="H7" s="41" t="inlineStr">
        <is>
          <t>אין</t>
        </is>
      </c>
      <c r="I7" s="41" t="inlineStr">
        <is>
          <t>מודאליות · סוג המוסד (אקדמי) · שלב · שנה · מעבר בין מוסדות אחרי האבחנה</t>
        </is>
      </c>
      <c r="J7" s="41" t="inlineStr">
        <is>
          <t>ה-TTI עצמו (מגמה ומנבאים)</t>
        </is>
      </c>
      <c r="K7" s="41" t="inlineStr">
        <is>
          <t>אין — רגרסיה שלילית-בינומית מנופחת-אפסים</t>
        </is>
      </c>
      <c r="L7" s="41" t="inlineStr">
        <is>
          <t>חציון TTI‏ 26 יום; עלה מ-19 ל-30 יום (p&lt;0.0001) · מוסד אקדמי 33 · מעבר מוסדות 37 · כימו-הקרנות 39</t>
        </is>
      </c>
      <c r="M7" s="41" t="inlineStr">
        <is>
          <t>—</t>
        </is>
      </c>
      <c r="N7" s="41" t="inlineStr">
        <is>
          <t>PMID 25490875 · doi:10.1002/cncr.29191</t>
        </is>
      </c>
    </row>
    <row r="8" ht="96" customHeight="1">
      <c r="A8" s="40" t="inlineStr">
        <is>
          <t>Liao DZ, et al.</t>
        </is>
      </c>
      <c r="B8" s="41" t="inlineStr">
        <is>
          <t>2019</t>
        </is>
      </c>
      <c r="C8" s="41" t="inlineStr">
        <is>
          <t>ארה״ב · Montefiore, ברונקס</t>
        </is>
      </c>
      <c r="D8" s="41" t="inlineStr">
        <is>
          <t>956</t>
        </is>
      </c>
      <c r="E8" s="41" t="inlineStr">
        <is>
          <t>2005–2017</t>
        </is>
      </c>
      <c r="F8" s="41" t="inlineStr">
        <is>
          <t>אבחנה היסטופתולוגית</t>
        </is>
      </c>
      <c r="G8" s="41" t="inlineStr">
        <is>
          <t>תחילת הטיפול</t>
        </is>
      </c>
      <c r="H8" s="41" t="inlineStr">
        <is>
          <t>אין</t>
        </is>
      </c>
      <c r="I8" s="41" t="inlineStr">
        <is>
          <t>מוצא · ביטוח (Medicaid) · BMI · האם האבחנה נעשתה במוסד אחר · גיל · מין</t>
        </is>
      </c>
      <c r="J8" s="41" t="inlineStr">
        <is>
          <t>הישרדות כוללת · הישנות · סיבות העיכוב</t>
        </is>
      </c>
      <c r="K8" s="41" t="inlineStr">
        <is>
          <t>&gt;60 יום · Recursive partitioning</t>
        </is>
      </c>
      <c r="L8" s="41" t="inlineStr">
        <is>
          <t>חציון TTI‏ 40 יום (IQR 28–56) · מעל 60 יום: HR 1.69 (1.32–2.18) לתמותה, OR 1.77 (1.07–2.93) להישנות</t>
        </is>
      </c>
      <c r="M8" s="41" t="inlineStr">
        <is>
          <t>—</t>
        </is>
      </c>
      <c r="N8" s="41" t="inlineStr">
        <is>
          <t>PMID 31513264 · doi:10.1001/jamaoto.2019.2414</t>
        </is>
      </c>
    </row>
    <row r="9" ht="96" customHeight="1">
      <c r="A9" s="40" t="inlineStr">
        <is>
          <t>Tsai WC, et al.</t>
        </is>
      </c>
      <c r="B9" s="41" t="inlineStr">
        <is>
          <t>2017</t>
        </is>
      </c>
      <c r="C9" s="41" t="inlineStr">
        <is>
          <t>טאיוואן · מרשם הסרטן + ביטוח לאומי · חלל הפה בלבד</t>
        </is>
      </c>
      <c r="D9" s="41" t="inlineStr">
        <is>
          <t>21,263</t>
        </is>
      </c>
      <c r="E9" s="41" t="inlineStr">
        <is>
          <t>2004–2010</t>
        </is>
      </c>
      <c r="F9" s="41" t="inlineStr">
        <is>
          <t>ביופסיה מאשרת</t>
        </is>
      </c>
      <c r="G9" s="41" t="inlineStr">
        <is>
          <t>טיפול ראשון (ניתוח / הקרנות / כימו)</t>
        </is>
      </c>
      <c r="H9" s="41" t="inlineStr">
        <is>
          <t>אין</t>
        </is>
      </c>
      <c r="I9" s="41" t="inlineStr">
        <is>
          <t>מין · גיל · תת-אתר · מחלה קשה נלווית · שלב (AJCC 6/7) · שכר · עיור · מודאליות · דיון רב-תחומי תוך 180 יום · Charlson-Deyo · דרג בית החולים · בעלות · נפח פעילות</t>
        </is>
      </c>
      <c r="J9" s="41" t="inlineStr">
        <is>
          <t>הישרדות כוללת</t>
        </is>
      </c>
      <c r="K9" s="41" t="inlineStr">
        <is>
          <t>≤30 / 31–120 / &gt;120 יום · חלוקה מוגדרת מראש</t>
        </is>
      </c>
      <c r="L9" s="41" t="inlineStr">
        <is>
          <t>31–120 יום: aHR 1.18 (1.11–1.25) · &gt;120 יום: aHR 1.32 (1.19–1.47) · דיון רב-תחומי: aHR 0.93 (0.87–0.98)</t>
        </is>
      </c>
      <c r="M9" s="41" t="inlineStr">
        <is>
          <t>רמת העיור לא מובהקת ברב-משתני · הדיון הרב-תחומי לא מובהק בחד-משתני</t>
        </is>
      </c>
      <c r="N9" s="41" t="inlineStr">
        <is>
          <t>PMID 28388649 · doi:10.1371/journal.pone.0175148</t>
        </is>
      </c>
    </row>
    <row r="10" ht="96" customHeight="1">
      <c r="A10" s="40" t="inlineStr">
        <is>
          <t>Rygalski CJ, et al.</t>
        </is>
      </c>
      <c r="B10" s="41" t="inlineStr">
        <is>
          <t>2021</t>
        </is>
      </c>
      <c r="C10" s="41" t="inlineStr">
        <is>
          <t>ארה״ב · NCDB · מנותחים בלבד</t>
        </is>
      </c>
      <c r="D10" s="41" t="inlineStr">
        <is>
          <t>37,730</t>
        </is>
      </c>
      <c r="E10" s="41" t="inlineStr">
        <is>
          <t>2004–2016</t>
        </is>
      </c>
      <c r="F10" s="41" t="inlineStr">
        <is>
          <t>אבחנה</t>
        </is>
      </c>
      <c r="G10" s="41" t="inlineStr">
        <is>
          <t>הניתוח המכריע בגידול הראשוני</t>
        </is>
      </c>
      <c r="H10" s="41" t="inlineStr">
        <is>
          <t>אין</t>
        </is>
      </c>
      <c r="I10" s="41" t="inlineStr">
        <is>
          <t>גיל · מין · מוצא · ביטוח · מגורים עירוניים · סוג מוסד · Charlson-Deyo · הכנסה · השכלה · שוליים · שלב פתולוגי · טיפול משלים · אתר</t>
        </is>
      </c>
      <c r="J10" s="41" t="inlineStr">
        <is>
          <t>הישרדות כוללת (מיום הניתוח)</t>
        </is>
      </c>
      <c r="K10" s="41" t="inlineStr">
        <is>
          <t>67 יום · 100 דגימות bootstrap + LOESS + restricted cubic splines</t>
        </is>
      </c>
      <c r="L10" s="41" t="inlineStr">
        <is>
          <t>חציון 33 יום (IQR 21–49) · מעל 67 יום: HR 1.189 (1.122–1.261) · ‎+4.6% סיכון לכל 30 יום</t>
        </is>
      </c>
      <c r="M10" s="41" t="inlineStr">
        <is>
          <t>חלל הפה מעל 90 יום: HR 1.10 (0.98–1.23) — לא מובהק · גרון/היפופרינקס הקשר החלש ביותר</t>
        </is>
      </c>
      <c r="N10" s="41" t="inlineStr">
        <is>
          <t>PMID 33188461 · doi:10.1245/s10434-020-09326-4</t>
        </is>
      </c>
    </row>
    <row r="11" ht="96" customHeight="1">
      <c r="A11" s="40" t="inlineStr">
        <is>
          <t>Vasudev M, et al.</t>
        </is>
      </c>
      <c r="B11" s="41" t="inlineStr">
        <is>
          <t>2024</t>
        </is>
      </c>
      <c r="C11" s="41" t="inlineStr">
        <is>
          <t>ארה״ב · NCDB · לוע הפה, ניתוח ראשוני</t>
        </is>
      </c>
      <c r="D11" s="41" t="inlineStr">
        <is>
          <t>1,643 חיובי HPV · 391 שלילי</t>
        </is>
      </c>
      <c r="E11" s="41" t="inlineStr">
        <is>
          <t>2010–2017</t>
        </is>
      </c>
      <c r="F11" s="41" t="inlineStr">
        <is>
          <t>אבחנה</t>
        </is>
      </c>
      <c r="G11" s="41" t="inlineStr">
        <is>
          <t>תחילת הטיפול</t>
        </is>
      </c>
      <c r="H11" s="41" t="inlineStr">
        <is>
          <t>ניתוח ← הקרנות משלימות</t>
        </is>
      </c>
      <c r="I11" s="41" t="inlineStr">
        <is>
          <t>מצב HPV · מין · גיל · מוצא · ביטוח · משך ההקרנה · גודל הגידול · פלישה לימפו-וסקולרית · מספר קשריות · גישה רובוטית</t>
        </is>
      </c>
      <c r="J11" s="41" t="inlineStr">
        <is>
          <t>הישרדות כוללת</t>
        </is>
      </c>
      <c r="K11" s="41" t="inlineStr">
        <is>
          <t>TTI ≤30 / 31–60 / ≥61 · ניתוח←הקרנות ≤42 / 43–66 / ≥67 · חלוקה מוגדרת מראש</t>
        </is>
      </c>
      <c r="L11" s="41" t="inlineStr">
        <is>
          <t>שליליי HPV: 43–66 יום HR 1.63 (p=0.049) · ≥67 יום HR 2.10 (p=0.032) · רובוטי בחיוביי HPV HR 0.41 (p&lt;0.001)</t>
        </is>
      </c>
      <c r="M11" s="41" t="inlineStr">
        <is>
          <t>בחיוביי HPV העיכוב לא היה מובהק ברב-משתני · מין, גיל, מוצא, ביטוח ומשך ההקרנה — כולם לא מובהקים</t>
        </is>
      </c>
      <c r="N11" s="41" t="inlineStr">
        <is>
          <t>PMID 38532532 · doi:10.1002/ohn.699</t>
        </is>
      </c>
    </row>
    <row r="12" ht="96" customHeight="1">
      <c r="A12" s="40" t="inlineStr">
        <is>
          <t>Guo LF, et al.</t>
        </is>
      </c>
      <c r="B12" s="41" t="inlineStr">
        <is>
          <t>2026</t>
        </is>
      </c>
      <c r="C12" s="41" t="inlineStr">
        <is>
          <t>ארה״ב · SEER · הקרנות מכריעות במחלה מתקדמת</t>
        </is>
      </c>
      <c r="D12" s="41" t="inlineStr">
        <is>
          <t>18,657</t>
        </is>
      </c>
      <c r="E12" s="41" t="inlineStr">
        <is>
          <t>2005–2015</t>
        </is>
      </c>
      <c r="F12" s="41" t="inlineStr">
        <is>
          <t>אבחנה</t>
        </is>
      </c>
      <c r="G12" s="41" t="inlineStr">
        <is>
          <t>תחילת ההקרנות</t>
        </is>
      </c>
      <c r="H12" s="41" t="inlineStr">
        <is>
          <t>אין</t>
        </is>
      </c>
      <c r="I12" s="41" t="inlineStr">
        <is>
          <t>מין · גיל · שנת אבחנה · כימותרפיה · שלב קליני AJCC · אתר ראשוני. ‎HPV לא היה זמין</t>
        </is>
      </c>
      <c r="J12" s="41" t="inlineStr">
        <is>
          <t>הישרדות כוללת · הישרדות ייעודית למחלה</t>
        </is>
      </c>
      <c r="K12" s="41" t="inlineStr">
        <is>
          <t>61 יום · שתי RPA (מתוכן אחת עם 1,000 חלוקות) + penalized spline</t>
        </is>
      </c>
      <c r="L12" s="41" t="inlineStr">
        <is>
          <t>חציון 39 יום (IQR 27–55) · מעל 61 יום: CSS HR 1.209 (1.143–1.278), OS HR 1.199 (1.146–1.256)</t>
        </is>
      </c>
      <c r="M12" s="41" t="inlineStr">
        <is>
          <t>המרווח כמשתנה רציף — לא מובהק · היפופרינקס 1.015 (0.884–1.166) · קבוצת הביניים ב-OS‏ 0.972 (0.935–1.011)</t>
        </is>
      </c>
      <c r="N12" s="41" t="inlineStr">
        <is>
          <t>PMID 42627284 · doi:10.1177/10732748261481970</t>
        </is>
      </c>
    </row>
    <row r="13" ht="96" customHeight="1">
      <c r="A13" s="40" t="inlineStr">
        <is>
          <t>Schoonbeek RC, et al.</t>
        </is>
      </c>
      <c r="B13" s="41" t="inlineStr">
        <is>
          <t>2021</t>
        </is>
      </c>
      <c r="C13" s="41" t="inlineStr">
        <is>
          <t>הולנד · UMCG, מרכז שלישוני</t>
        </is>
      </c>
      <c r="D13" s="41" t="inlineStr">
        <is>
          <t>192</t>
        </is>
      </c>
      <c r="E13" s="41" t="inlineStr">
        <is>
          <t>2014–2016</t>
        </is>
      </c>
      <c r="F13" s="41" t="inlineStr">
        <is>
          <t>שני עוגנים: ייעוץ ראשון (CPI) וגם אבחנה היסטולוגית (TTI)</t>
        </is>
      </c>
      <c r="G13" s="41" t="inlineStr">
        <is>
          <t>תחילת הטיפול</t>
        </is>
      </c>
      <c r="H13" s="41" t="inlineStr">
        <is>
          <t>CPI מול TTI באותה קוהורטה</t>
        </is>
      </c>
      <c r="I13" s="41" t="inlineStr">
        <is>
          <t>גיל · מין · עישון · אלכוהול · ACE-27 · ריבוי תרופות · BMI · אתר · היכן נלקחה הביופסיה · דרגה · שלב · מודאליות · שחזור · ניתוח לייזר · והערכה גריאטרית מלאה (MUST, Katz-ADL, IADL, TUG, נפילות, השכלה, מצב משפחתי, MMSE, דליריום, GDS-15, G8, GFI)</t>
        </is>
      </c>
      <c r="J13" s="41" t="inlineStr">
        <is>
          <t>שיעור העומדים ב-30 יום</t>
        </is>
      </c>
      <c r="K13" s="41" t="inlineStr">
        <is>
          <t>30 יום · התקן ההולנדי</t>
        </is>
      </c>
      <c r="L13" s="41" t="inlineStr">
        <is>
          <t>חציון CPI‏ 39 יום · חציון TTI‏ 40 יום · רק 37% תוך 30 יום · שלב IV: OR 7.97 (1.99–31.97) · הקרנות ראשוניות: OR 9.93 (2.75–35.92)</t>
        </is>
      </c>
      <c r="M13" s="41" t="inlineStr">
        <is>
          <t>כל מרכיבי ההערכה הגריאטרית — ללא קשר לעיכוב · שחזור ניתוחי — לא מובהק · בתת-קבוצת ההקרנות אף מנבא לא שרד</t>
        </is>
      </c>
      <c r="N13" s="41" t="inlineStr">
        <is>
          <t>PMID 33555121 · doi:10.1111/ecc.13419</t>
        </is>
      </c>
    </row>
    <row r="14" ht="96" customHeight="1">
      <c r="A14" s="40" t="inlineStr">
        <is>
          <t>Schoonbeek RC, et al.</t>
        </is>
      </c>
      <c r="B14" s="41" t="inlineStr">
        <is>
          <t>2022</t>
        </is>
      </c>
      <c r="C14" s="41" t="inlineStr">
        <is>
          <t>הולנד · שני מרכזים · גיל 60+</t>
        </is>
      </c>
      <c r="D14" s="41" t="inlineStr">
        <is>
          <t>525</t>
        </is>
      </c>
      <c r="E14" s="41" t="inlineStr">
        <is>
          <t>2015–2017</t>
        </is>
      </c>
      <c r="F14" s="41" t="inlineStr">
        <is>
          <t>ייעוץ ראשון</t>
        </is>
      </c>
      <c r="G14" s="41" t="inlineStr">
        <is>
          <t>תחילת הטיפול</t>
        </is>
      </c>
      <c r="H14" s="41" t="inlineStr">
        <is>
          <t>אין</t>
        </is>
      </c>
      <c r="I14" s="41" t="inlineStr">
        <is>
          <t>עישון · שלב · מודאליות · גיל · מין</t>
        </is>
      </c>
      <c r="J14" s="41" t="inlineStr">
        <is>
          <t>אשפוז מעל 14 יום בשנה הראשונה · הישרדות · הישנות</t>
        </is>
      </c>
      <c r="K14" s="41" t="inlineStr">
        <is>
          <t>30 יום</t>
        </is>
      </c>
      <c r="L14" s="41" t="inlineStr">
        <is>
          <t>חציון 34 יום · 36.3% תוך 30 יום · עיכוב ≥30 יום ← אשפוז ממושך OR 4.66 (2.59–8.37)</t>
        </is>
      </c>
      <c r="M14" s="41" t="inlineStr">
        <is>
          <t>העיכוב לא נקשר להישרדות כוללת ולא להישנות</t>
        </is>
      </c>
      <c r="N14" s="41" t="inlineStr">
        <is>
          <t>PMID 35043734 · doi:10.1177/01945998211072828</t>
        </is>
      </c>
    </row>
    <row r="15" ht="96" customHeight="1">
      <c r="A15" s="40" t="inlineStr">
        <is>
          <t>Schoonbeek RC, et al.</t>
        </is>
      </c>
      <c r="B15" s="41" t="inlineStr">
        <is>
          <t>2021</t>
        </is>
      </c>
      <c r="C15" s="41" t="inlineStr">
        <is>
          <t>הולנד · UMCG · ממצאים אקראיים בבירור</t>
        </is>
      </c>
      <c r="D15" s="41" t="inlineStr">
        <is>
          <t>592</t>
        </is>
      </c>
      <c r="E15" s="41" t="inlineStr">
        <is>
          <t>2010–2011 מול 2016–2017</t>
        </is>
      </c>
      <c r="F15" s="41" t="inlineStr">
        <is>
          <t>ייעוץ ראשון</t>
        </is>
      </c>
      <c r="G15" s="41" t="inlineStr">
        <is>
          <t>תחילת הטיפול</t>
        </is>
      </c>
      <c r="H15" s="41" t="inlineStr">
        <is>
          <t>אין</t>
        </is>
      </c>
      <c r="I15" s="41" t="inlineStr">
        <is>
          <t>נוכחות ממצא אקראי משמעותי בהדמיה</t>
        </is>
      </c>
      <c r="J15" s="41" t="inlineStr">
        <is>
          <t>עיכוב בתחילת הטיפול · הישרדות</t>
        </is>
      </c>
      <c r="K15" s="41" t="inlineStr">
        <is>
          <t>—</t>
        </is>
      </c>
      <c r="L15" s="41" t="inlineStr">
        <is>
          <t>ממצא אקראי ב-61.5%; משמעותי ב-128 (21.6%) · ממצא משמעותי — גורם עצמאי לעיכוב</t>
        </is>
      </c>
      <c r="M15" s="41" t="inlineStr">
        <is>
          <t>הסיכון המוגבר לתמותה לא היה מובהק: HR 1.46 (p=0.079)</t>
        </is>
      </c>
      <c r="N15" s="41" t="inlineStr">
        <is>
          <t>PMID 34030108 · doi:10.1016/j.oraloncology.2021.105350</t>
        </is>
      </c>
    </row>
    <row r="16" ht="96" customHeight="1">
      <c r="A16" s="40" t="inlineStr">
        <is>
          <t>van Huizen LS, et al.</t>
        </is>
      </c>
      <c r="B16" s="41" t="inlineStr">
        <is>
          <t>2018</t>
        </is>
      </c>
      <c r="C16" s="41" t="inlineStr">
        <is>
          <t>הולנד · UMCG · מרפאה רב-תחומית ביום אחד</t>
        </is>
      </c>
      <c r="D16" s="41" t="inlineStr">
        <is>
          <t>89</t>
        </is>
      </c>
      <c r="E16" s="41" t="inlineStr">
        <is>
          <t>2007–2013</t>
        </is>
      </c>
      <c r="F16" s="41" t="inlineStr">
        <is>
          <t>ייעוץ אונקולוגי ראשון</t>
        </is>
      </c>
      <c r="G16" s="41" t="inlineStr">
        <is>
          <t>תחילת הטיפול</t>
        </is>
      </c>
      <c r="H16" s="41" t="inlineStr">
        <is>
          <t>זמן לקבלת התור הראשון · זמן להשלמת הבירור ותוכנית הטיפול · זמן לתחילת הטיפול · מספר ביקורים</t>
        </is>
      </c>
      <c r="I16" s="41" t="inlineStr">
        <is>
          <t>ההתערבות עצמה (לפני / אחרי) · מספר ביקורים בבית החולים</t>
        </is>
      </c>
      <c r="J16" s="41" t="inlineStr">
        <is>
          <t>עמידה בתקן 30 יום · מספר ביקורים</t>
        </is>
      </c>
      <c r="K16" s="41" t="inlineStr">
        <is>
          <t>30 יום · התקן ההולנדי</t>
        </is>
      </c>
      <c r="L16" s="41" t="inlineStr">
        <is>
          <t>עמידה בתקן עלתה מ-52% ל-83% (p=0.040) · ממוצע הימים 32.6 ← 22.2 ← 23.7 ← 29.3 · ביקור אחד פחות בבירור (p=0.032)</t>
        </is>
      </c>
      <c r="M16" s="41" t="inlineStr">
        <is>
          <t>הזמן עד התור הראשון לא השתנה · השיפור בזמן לתחילת הטיפול לא נשמר לאורך זמן</t>
        </is>
      </c>
      <c r="N16" s="41" t="inlineStr">
        <is>
          <t>PMID 30373578 · doi:10.1186/s12913-018-3637-1</t>
        </is>
      </c>
    </row>
    <row r="17" ht="96" customHeight="1">
      <c r="A17" s="40" t="inlineStr">
        <is>
          <t>Cook L, et al.</t>
        </is>
      </c>
      <c r="B17" s="41" t="inlineStr">
        <is>
          <t>2022</t>
        </is>
      </c>
      <c r="C17" s="41" t="inlineStr">
        <is>
          <t>אוסטרליה · Flinders, אדלייד</t>
        </is>
      </c>
      <c r="D17" s="41" t="inlineStr">
        <is>
          <t>72</t>
        </is>
      </c>
      <c r="E17" s="41" t="inlineStr">
        <is>
          <t>2018–2019</t>
        </is>
      </c>
      <c r="F17" s="41" t="inlineStr">
        <is>
          <t>קבלת ההפניה</t>
        </is>
      </c>
      <c r="G17" s="41" t="inlineStr">
        <is>
          <t>תחילת הטיפול</t>
        </is>
      </c>
      <c r="H17" s="41" t="inlineStr">
        <is>
          <t>הפניה←ייעוץ · ייעוץ←ועדה · החלטה←טיפול · הפניה←טיפול · הפניה←סיום · ניתוח←הקרנות</t>
        </is>
      </c>
      <c r="I17" s="41" t="inlineStr">
        <is>
          <t>גיל · מין · מרחק (עירוני/פריפריאלי) · אתר · היסטולוגיה · שלב AJCC 8 · מודאליות · הערכה דנטלית · PEG מניעתי · PET לפני הטיפול</t>
        </is>
      </c>
      <c r="J17" s="41" t="inlineStr">
        <is>
          <t>עמידה ביעדים 14 / 14 / 28 / 56 / 42 יום · DFS ו-OS לשנה</t>
        </is>
      </c>
      <c r="K17" s="41" t="inlineStr">
        <is>
          <t>יעדים לאומיים מוגדרים מראש</t>
        </is>
      </c>
      <c r="L17" s="41" t="inlineStr">
        <is>
          <t>חציון הפניה←טיפול 45.5 יום (IQR 29–61) · 72% עמדו ב-56 יום · 67% עמדו ב-28 יום · PEG: OR 3.1 (1.1–9.0) · הקרנות ראשוניות: OR 8.8 (2.6–28.9)</t>
        </is>
      </c>
      <c r="M17" s="41" t="inlineStr">
        <is>
          <t>הצורך ב-PET לא ניבא חריגה · ההערכה הדנטלית לא ניבאה חריגה · המודל הרב-משתני כולו לא מובהק (p=0.085) · אין הבדל ב-DFS/OS לשנה</t>
        </is>
      </c>
      <c r="N17" s="41" t="inlineStr">
        <is>
          <t>PMID 35208469 · doi:10.3390/medicina58020145</t>
        </is>
      </c>
    </row>
    <row r="18" ht="96" customHeight="1">
      <c r="A18" s="40" t="inlineStr">
        <is>
          <t>Connell JT, et al.</t>
        </is>
      </c>
      <c r="B18" s="41" t="inlineStr">
        <is>
          <t>2020</t>
        </is>
      </c>
      <c r="C18" s="41" t="inlineStr">
        <is>
          <t>אוסטרליה · Royal Adelaide</t>
        </is>
      </c>
      <c r="D18" s="41" t="inlineStr">
        <is>
          <t>91</t>
        </is>
      </c>
      <c r="E18" s="41" t="inlineStr">
        <is>
          <t>2015</t>
        </is>
      </c>
      <c r="F18" s="41" t="inlineStr">
        <is>
          <t>ייעוץ אא״ג ראשון</t>
        </is>
      </c>
      <c r="G18" s="41" t="inlineStr">
        <is>
          <t>תחילת טיפול מכריע</t>
        </is>
      </c>
      <c r="H18" s="41" t="inlineStr">
        <is>
          <t>בירור · אבחנה←טיפול · ועדה←טיפול</t>
        </is>
      </c>
      <c r="I18" s="41" t="inlineStr">
        <is>
          <t>מודאליות · זמינות הדמיה בייעוץ · פעולות אבחון פולשניות · הרדמות · ייעוצים נלווים · מחלה נלווית · היענות · מספר הצגות בוועדה</t>
        </is>
      </c>
      <c r="J18" s="41" t="inlineStr">
        <is>
          <t>TTI ממוצע · חריגה מ-60 יום</t>
        </is>
      </c>
      <c r="K18" s="41" t="inlineStr">
        <is>
          <t>62 יום · תקן ה-NHS</t>
        </is>
      </c>
      <c r="L18" s="41" t="inlineStr">
        <is>
          <t>TTI ממוצע 39.43 יום · ניתוחי 34.41 מול לא-ניתוחי 65.44 (p&lt;0.001) · ועדה←טיפול ממוצע 23 יום · שתי הצגות בוועדה ← 61.4 יום · 64% מהמנותחים נזקקו לשתי הרדמות</t>
        </is>
      </c>
      <c r="M18" s="41" t="inlineStr">
        <is>
          <t>לא דווחו ממצאי אפס; חלק מההשוואות ללא ערכי p</t>
        </is>
      </c>
      <c r="N18" s="41" t="inlineStr">
        <is>
          <t>doi:10.21037/ajo.2020.02.01 · אינו מאונדקס ב-PubMed</t>
        </is>
      </c>
    </row>
    <row r="19" ht="96" customHeight="1">
      <c r="A19" s="40" t="inlineStr">
        <is>
          <t>Sethi HK, et al.</t>
        </is>
      </c>
      <c r="B19" s="41" t="inlineStr">
        <is>
          <t>2022</t>
        </is>
      </c>
      <c r="C19" s="41" t="inlineStr">
        <is>
          <t>ארה״ב · מרכז קהילתי, פנסילבניה</t>
        </is>
      </c>
      <c r="D19" s="41" t="inlineStr">
        <is>
          <t>105</t>
        </is>
      </c>
      <c r="E19" s="41" t="inlineStr">
        <is>
          <t>2018–2020</t>
        </is>
      </c>
      <c r="F19" s="41" t="inlineStr">
        <is>
          <t>ייעוץ כירורג ראש-צוואר</t>
        </is>
      </c>
      <c r="G19" s="41" t="inlineStr">
        <is>
          <t>תחילת הטיפול</t>
        </is>
      </c>
      <c r="H19" s="41" t="inlineStr">
        <is>
          <t>ביופסיה←פתולוגיה · הזמנת PET←תוצאה · ייעוץ←אונקולוגיה קרינתית · ייעוץ←אונקולוגיה · ייעוץ←ניתוח · זמן חבילה · משך טיפול כולל</t>
        </is>
      </c>
      <c r="I19" s="41" t="inlineStr">
        <is>
          <t>מקור ההפניה · ביופסיה במוסד חיצוני · PET שהוזמן לפני הייעוץ · אתר · היסטולוגיה · מודאליות · גיל · מוצא · מין</t>
        </is>
      </c>
      <c r="J19" s="41" t="inlineStr">
        <is>
          <t>TTI · זמן חבילה · משך טיפול כולל</t>
        </is>
      </c>
      <c r="K19" s="41" t="inlineStr">
        <is>
          <t>83 יום לזמן החבילה (לפי Goel)</t>
        </is>
      </c>
      <c r="L19" s="41" t="inlineStr">
        <is>
          <t>ביופסיה←פתולוגיה ממוצע 4 ימים · הזמנת PET←תוצאה 14 ימים · TTI ממוצע 37.56 · זמן חבילה 50.41 · 49% מעל 100 ימי טיפול — אצלם ייעוץ לאונקולוגיה קרינתית 48.4 מול 18.1 ימים (p&lt;0.001)</t>
        </is>
      </c>
      <c r="M19" s="41" t="inlineStr">
        <is>
          <t>אין הבדל בזמני תחילת הטיפול לפי מקור ההפניה או היקף הבירור המוקדם</t>
        </is>
      </c>
      <c r="N19" s="41" t="inlineStr">
        <is>
          <t>PMID 35782402 · doi:10.1002/wjo2.14</t>
        </is>
      </c>
    </row>
    <row r="20" ht="96" customHeight="1">
      <c r="A20" s="40" t="inlineStr">
        <is>
          <t>Nguyen MT, et al.</t>
        </is>
      </c>
      <c r="B20" s="41" t="inlineStr">
        <is>
          <t>2025</t>
        </is>
      </c>
      <c r="C20" s="41" t="inlineStr">
        <is>
          <t>ארה״ב · מרכז אקדמי · פרוספקטיבי</t>
        </is>
      </c>
      <c r="D20" s="41" t="inlineStr">
        <is>
          <t>78</t>
        </is>
      </c>
      <c r="E20" s="41" t="inlineStr">
        <is>
          <t>2020–2023</t>
        </is>
      </c>
      <c r="F20" s="41" t="inlineStr">
        <is>
          <t>ניתוח</t>
        </is>
      </c>
      <c r="G20" s="41" t="inlineStr">
        <is>
          <t>תחילת הקרנות משלימות</t>
        </is>
      </c>
      <c r="H20" s="41" t="inlineStr">
        <is>
          <t>אין</t>
        </is>
      </c>
      <c r="I20" s="41" t="inlineStr">
        <is>
          <t>מספר החסמים (מדווחי מטופל + רשומה) · קטגוריות החסמים · תופעות לוואי סב-ניתוחיות · תיאום טיפול</t>
        </is>
      </c>
      <c r="J20" s="41" t="inlineStr">
        <is>
          <t>התחלת הקרנות תוך 42 יום</t>
        </is>
      </c>
      <c r="K20" s="41" t="inlineStr">
        <is>
          <t>42 יום · שישה שבועות</t>
        </is>
      </c>
      <c r="L20" s="41" t="inlineStr">
        <is>
          <t>41% בלבד החלו בזמן · ‎≥5 חסמים מול 0–2: aOR 0.24 (0.06–0.84) · תופעות לוואי סב-ניתוחיות aOR 0.17 (0.04–0.66) · הסיבה השכיחה לעיכוב: תיאום טיפול לקוי, 19/46 (41.3%)</t>
        </is>
      </c>
      <c r="M20" s="41" t="inlineStr">
        <is>
          <t>החסם הבודד הנוסף: aOR 0.81 (0.63–1.01) — חוצה את ה-1 ואינו מובהק</t>
        </is>
      </c>
      <c r="N20" s="41" t="inlineStr">
        <is>
          <t>PMID 40932734 · doi:10.1001/jamaoto.2025.2824</t>
        </is>
      </c>
    </row>
    <row r="21" ht="96" customHeight="1">
      <c r="A21" s="40" t="inlineStr">
        <is>
          <t>DeGraaff LH, et al.</t>
        </is>
      </c>
      <c r="B21" s="41" t="inlineStr">
        <is>
          <t>2019</t>
        </is>
      </c>
      <c r="C21" s="41" t="inlineStr">
        <is>
          <t>ארה״ב · Roswell Park</t>
        </is>
      </c>
      <c r="D21" s="41" t="inlineStr">
        <is>
          <t>633</t>
        </is>
      </c>
      <c r="E21" s="41" t="inlineStr">
        <is>
          <t>2004–2017</t>
        </is>
      </c>
      <c r="F21" s="41" t="inlineStr">
        <is>
          <t>אבחנה</t>
        </is>
      </c>
      <c r="G21" s="41" t="inlineStr">
        <is>
          <t>תחילת הטיפול</t>
        </is>
      </c>
      <c r="H21" s="41" t="inlineStr">
        <is>
          <t>אין</t>
        </is>
      </c>
      <c r="I21" s="41" t="inlineStr">
        <is>
          <t>לא אומת מהטקסט הנגיש</t>
        </is>
      </c>
      <c r="J21" s="41" t="inlineStr">
        <is>
          <t>הישרדות כוללת</t>
        </is>
      </c>
      <c r="K21" s="41" t="inlineStr">
        <is>
          <t>רבעונים: 0–27 / 28–41 / 42–60 / &gt;60 יום</t>
        </is>
      </c>
      <c r="L21" s="41" t="inlineStr">
        <is>
          <t>הבדל ב-KM בין הרבעונים (p=0.02); ברב-משתני דווקא 42–60 יום עם הישרדות טובה יותר מ-&gt;60 (HR 0.55)</t>
        </is>
      </c>
      <c r="M21" s="41" t="inlineStr">
        <is>
          <t>המסקנה המפורשת: הארכת המרווח לא פגעה בהישרדות באוכלוסייה זו</t>
        </is>
      </c>
      <c r="N21" s="41" t="inlineStr">
        <is>
          <t>PMID 31422206 · doi:10.1016/j.oraloncology.2019.07.021</t>
        </is>
      </c>
    </row>
    <row r="22" ht="96" customHeight="1">
      <c r="A22" s="40" t="inlineStr">
        <is>
          <t>Villemure-Poliquin N, et al.</t>
        </is>
      </c>
      <c r="B22" s="41" t="inlineStr">
        <is>
          <t>2024</t>
        </is>
      </c>
      <c r="C22" s="41" t="inlineStr">
        <is>
          <t>מטה-אנליזה בינלאומית</t>
        </is>
      </c>
      <c r="D22" s="41" t="inlineStr">
        <is>
          <t>63 מחקרים · 873,718 מטופלים</t>
        </is>
      </c>
      <c r="E22" s="41" t="inlineStr">
        <is>
          <t>עד 2024</t>
        </is>
      </c>
      <c r="F22" s="41" t="inlineStr">
        <is>
          <t>אבחנה</t>
        </is>
      </c>
      <c r="G22" s="41" t="inlineStr">
        <is>
          <t>תחילת הטיפול</t>
        </is>
      </c>
      <c r="H22" s="41" t="inlineStr">
        <is>
          <t>אין</t>
        </is>
      </c>
      <c r="I22" s="41" t="inlineStr">
        <is>
          <t>הטרוגניות בהגדרות — הפער המתודולוגי שהמחברים מציינים במפורש</t>
        </is>
      </c>
      <c r="J22" s="41" t="inlineStr">
        <is>
          <t>הישרדות כוללת · DFS · הישנות מקומית-אזורית · הישנות מקומית · גרורות מרוחקות</t>
        </is>
      </c>
      <c r="K22" s="41" t="inlineStr">
        <is>
          <t>30 יום</t>
        </is>
      </c>
      <c r="L22" s="41" t="inlineStr">
        <is>
          <t>טיפול תוך 30 יום: aHR 1.09 (1.06–1.13) לטובת המוקדמים; I²=80%</t>
        </is>
      </c>
      <c r="M22" s="41" t="inlineStr">
        <is>
          <t>אין קשר מובהק ל-DFS, להישנות מקומית-אזורית, להישנות מקומית או לגרורות מרוחקות</t>
        </is>
      </c>
      <c r="N22" s="41" t="inlineStr">
        <is>
          <t>PMID 39577127 · doi:10.1016/j.oraloncology.2024.107106</t>
        </is>
      </c>
    </row>
    <row r="23" ht="96" customHeight="1">
      <c r="A23" s="40" t="inlineStr">
        <is>
          <t>Villemure-Poliquin N, et al.</t>
        </is>
      </c>
      <c r="B23" s="41" t="inlineStr">
        <is>
          <t>2025</t>
        </is>
      </c>
      <c r="C23" s="41" t="inlineStr">
        <is>
          <t>מטה-אנליזה בינלאומית · הקרנות משלימות</t>
        </is>
      </c>
      <c r="D23" s="41" t="inlineStr">
        <is>
          <t>52 מחקרים נכללו · 254,189 מטופלים ב-16 מחקרים בניתוח המרכזי</t>
        </is>
      </c>
      <c r="E23" s="41" t="inlineStr">
        <is>
          <t>עד 2024</t>
        </is>
      </c>
      <c r="F23" s="41" t="inlineStr">
        <is>
          <t>ניתוח</t>
        </is>
      </c>
      <c r="G23" s="41" t="inlineStr">
        <is>
          <t>תחילת הקרנות משלימות</t>
        </is>
      </c>
      <c r="H23" s="41" t="inlineStr">
        <is>
          <t>אין</t>
        </is>
      </c>
      <c r="I23" s="41" t="inlineStr">
        <is>
          <t>הטרוגניות בספים</t>
        </is>
      </c>
      <c r="J23" s="41" t="inlineStr">
        <is>
          <t>הישרדות כוללת</t>
        </is>
      </c>
      <c r="K23" s="41" t="inlineStr">
        <is>
          <t>42 יום</t>
        </is>
      </c>
      <c r="L23" s="41" t="inlineStr">
        <is>
          <t>איחור מעבר ל-42 יום: aHR 1.04 (1.03–1.06), I²=78% · בלי מחקרי NCDB חופפים: aHR 1.10 (1.01–1.20), I²=39%</t>
        </is>
      </c>
      <c r="M23" s="41" t="inlineStr">
        <is>
          <t>המחברים מציינים שהגורמים לעיכוב אינם ניתנים לזיהוי מהספרות המצטברת</t>
        </is>
      </c>
      <c r="N23" s="41" t="inlineStr">
        <is>
          <t>PMID 39744810 · doi:10.1002/lary.31990</t>
        </is>
      </c>
    </row>
    <row r="24" ht="96" customHeight="1">
      <c r="A24" s="40" t="inlineStr">
        <is>
          <t>Kwok MM, et al.</t>
        </is>
      </c>
      <c r="B24" s="41" t="inlineStr">
        <is>
          <t>2023</t>
        </is>
      </c>
      <c r="C24" s="41" t="inlineStr">
        <is>
          <t>אוסטרליה · Western Health</t>
        </is>
      </c>
      <c r="D24" s="41" t="inlineStr">
        <is>
          <t>228</t>
        </is>
      </c>
      <c r="E24" s="41" t="inlineStr">
        <is>
          <t>2017–2021</t>
        </is>
      </c>
      <c r="F24" s="41" t="inlineStr">
        <is>
          <t>הפניה לשירות ראש-צוואר</t>
        </is>
      </c>
      <c r="G24" s="41" t="inlineStr">
        <is>
          <t>תחילת הטיפול</t>
        </is>
      </c>
      <c r="H24" s="41" t="inlineStr">
        <is>
          <t>אין</t>
        </is>
      </c>
      <c r="I24" s="41" t="inlineStr">
        <is>
          <t>בירור רדיולוגי/פתולוגי לפני ההפניה · מקור ההפניה · שלב · רקע שאינו דובר אנגלית · מרחק · תמיכה חברתית · תקופת הקורונה</t>
        </is>
      </c>
      <c r="J24" s="41" t="inlineStr">
        <is>
          <t>חציון ההפניה←טיפול</t>
        </is>
      </c>
      <c r="K24" s="41" t="inlineStr">
        <is>
          <t>70 יום · היעד האוסטרלי</t>
        </is>
      </c>
      <c r="L24" s="41" t="inlineStr">
        <is>
          <t>חציון 48 יום · הפניה ללא בירור מקדים ומהפניית רופא משפחה — מאריכות</t>
        </is>
      </c>
      <c r="M24" s="41" t="inlineStr">
        <is>
          <t>רקע לשוני, מרחק, תמיכה חברתית ותקופת הקורונה — ללא השפעה מובהקת</t>
        </is>
      </c>
      <c r="N24" s="41" t="inlineStr">
        <is>
          <t>doi:10.1111/ans.18521 · PMID לא אומת</t>
        </is>
      </c>
    </row>
    <row r="25" ht="96" customHeight="1">
      <c r="A25" s="40" t="inlineStr">
        <is>
          <t>Matsumoto K, et al.</t>
        </is>
      </c>
      <c r="B25" s="41" t="inlineStr">
        <is>
          <t>2024</t>
        </is>
      </c>
      <c r="C25" s="41" t="inlineStr">
        <is>
          <t>יפן · מיקום גאוגרפי והקרנות</t>
        </is>
      </c>
      <c r="D25" s="41" t="inlineStr">
        <is>
          <t>לא אומת</t>
        </is>
      </c>
      <c r="E25" s="41" t="inlineStr">
        <is>
          <t>לא אומת</t>
        </is>
      </c>
      <c r="F25" s="41" t="inlineStr">
        <is>
          <t>אבחנה</t>
        </is>
      </c>
      <c r="G25" s="41" t="inlineStr">
        <is>
          <t>תחילת הקרנות</t>
        </is>
      </c>
      <c r="H25" s="41" t="inlineStr">
        <is>
          <t>אין</t>
        </is>
      </c>
      <c r="I25" s="41" t="inlineStr">
        <is>
          <t>מרחק ממרכז ההקרנות · נקודת המגע הראשונה (אא״ג מול אחר) · תקופות סגירה של בית החולים</t>
        </is>
      </c>
      <c r="J25" s="41" t="inlineStr">
        <is>
          <t>עיכוב בתחילת ההקרנות</t>
        </is>
      </c>
      <c r="K25" s="41" t="inlineStr">
        <is>
          <t>—</t>
        </is>
      </c>
      <c r="L25" s="41" t="inlineStr">
        <is>
          <t>סגירת שירות aOR 6.62 · מרחק aOR 7.60 · פנייה ראשונה שאינה לאא״ג aOR 7.27</t>
        </is>
      </c>
      <c r="M25" s="41" t="inlineStr">
        <is>
          <t>—</t>
        </is>
      </c>
      <c r="N25" s="41" t="inlineStr">
        <is>
          <t>PMID 39655148 · doi:10.7759/cureus.73253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2" customWidth="1" min="3" max="3"/>
    <col width="11" customWidth="1" min="4" max="4"/>
    <col width="16" customWidth="1" min="5" max="5"/>
    <col width="78" customWidth="1" min="6" max="6"/>
  </cols>
  <sheetData>
    <row r="1">
      <c r="A1" s="42" t="inlineStr">
        <is>
          <t>גיליון</t>
        </is>
      </c>
      <c r="B1" s="42" t="inlineStr">
        <is>
          <t>קוד</t>
        </is>
      </c>
      <c r="C1" s="42" t="inlineStr">
        <is>
          <t>שדה</t>
        </is>
      </c>
      <c r="D1" s="42" t="inlineStr">
        <is>
          <t>סוג</t>
        </is>
      </c>
      <c r="E1" s="42" t="inlineStr">
        <is>
          <t>קבוצה</t>
        </is>
      </c>
      <c r="F1" s="42" t="inlineStr">
        <is>
          <t>הגדרה · המחקר שדורש אותו</t>
        </is>
      </c>
    </row>
    <row r="2">
      <c r="A2" s="2" t="inlineStr">
        <is>
          <t>Patients</t>
        </is>
      </c>
      <c r="B2" s="2" t="inlineStr">
        <is>
          <t>id</t>
        </is>
      </c>
      <c r="C2" s="2" t="inlineStr">
        <is>
          <t>מספר מחקר</t>
        </is>
      </c>
      <c r="D2" s="2" t="inlineStr">
        <is>
          <t>מחושב</t>
        </is>
      </c>
      <c r="E2" s="2" t="inlineStr">
        <is>
          <t>זיהוי</t>
        </is>
      </c>
      <c r="F2" s="2" t="inlineStr">
        <is>
          <t>נוצר אוטומטית ממספר רץ, אתר, צד ותאריך דוח הפתולוגיה. לאחר ההקצאה — קבוע.</t>
        </is>
      </c>
    </row>
    <row r="3">
      <c r="A3" s="2" t="inlineStr">
        <is>
          <t>Patients</t>
        </is>
      </c>
      <c r="B3" s="2" t="inlineStr">
        <is>
          <t>seq</t>
        </is>
      </c>
      <c r="C3" s="2" t="inlineStr">
        <is>
          <t>מספר רץ</t>
        </is>
      </c>
      <c r="D3" s="2" t="inlineStr">
        <is>
          <t>מספר</t>
        </is>
      </c>
      <c r="E3" s="2" t="inlineStr">
        <is>
          <t>זיהוי</t>
        </is>
      </c>
      <c r="F3" s="2" t="inlineStr">
        <is>
          <t>לפי סדר האיתור ברשימת הוועדה.</t>
        </is>
      </c>
    </row>
    <row r="4">
      <c r="A4" s="2" t="inlineStr">
        <is>
          <t>Patients</t>
        </is>
      </c>
      <c r="B4" s="2" t="inlineStr">
        <is>
          <t>site</t>
        </is>
      </c>
      <c r="C4" s="2" t="inlineStr">
        <is>
          <t>קוד אתר</t>
        </is>
      </c>
      <c r="D4" s="2" t="inlineStr">
        <is>
          <t>רשימה</t>
        </is>
      </c>
      <c r="E4" s="2" t="inlineStr">
        <is>
          <t>זיהוי</t>
        </is>
      </c>
      <c r="F4" s="2" t="inlineStr">
        <is>
          <t>רשימה בגיליון Lists. נמדד בכל המחקרים.</t>
        </is>
      </c>
    </row>
    <row r="5">
      <c r="A5" s="2" t="inlineStr">
        <is>
          <t>Patients</t>
        </is>
      </c>
      <c r="B5" s="2" t="inlineStr">
        <is>
          <t>side</t>
        </is>
      </c>
      <c r="C5" s="2" t="inlineStr">
        <is>
          <t>צד</t>
        </is>
      </c>
      <c r="D5" s="2" t="inlineStr">
        <is>
          <t>רשימה</t>
        </is>
      </c>
      <c r="E5" s="2" t="inlineStr">
        <is>
          <t>זיהוי</t>
        </is>
      </c>
      <c r="F5" s="2" t="inlineStr">
        <is>
          <t>R ימין · L שמאל · M קו אמצע · B דו-צדדי.</t>
        </is>
      </c>
    </row>
    <row r="6">
      <c r="A6" s="2" t="inlineStr">
        <is>
          <t>Patients</t>
        </is>
      </c>
      <c r="B6" s="2" t="inlineStr">
        <is>
          <t>yr</t>
        </is>
      </c>
      <c r="C6" s="2" t="inlineStr">
        <is>
          <t>שנת אבחנה</t>
        </is>
      </c>
      <c r="D6" s="2" t="inlineStr">
        <is>
          <t>מחושב</t>
        </is>
      </c>
      <c r="E6" s="2" t="inlineStr">
        <is>
          <t>זיהוי</t>
        </is>
      </c>
      <c r="F6" s="2" t="inlineStr">
        <is>
          <t>לניתוח מגמה — Murphy 2015.</t>
        </is>
      </c>
    </row>
    <row r="7">
      <c r="A7" s="2" t="inlineStr">
        <is>
          <t>Patients</t>
        </is>
      </c>
      <c r="B7" s="2" t="inlineStr">
        <is>
          <t>incl</t>
        </is>
      </c>
      <c r="C7" s="2" t="inlineStr">
        <is>
          <t>נכלל בניתוח</t>
        </is>
      </c>
      <c r="D7" s="2" t="inlineStr">
        <is>
          <t>רשימה</t>
        </is>
      </c>
      <c r="E7" s="2" t="inlineStr">
        <is>
          <t>זיהוי</t>
        </is>
      </c>
      <c r="F7" s="2" t="inlineStr">
        <is>
          <t>״לא״ = הוצא; יש לציין סיבה.</t>
        </is>
      </c>
    </row>
    <row r="8">
      <c r="A8" s="2" t="inlineStr">
        <is>
          <t>Patients</t>
        </is>
      </c>
      <c r="B8" s="2" t="inlineStr">
        <is>
          <t>exr</t>
        </is>
      </c>
      <c r="C8" s="2" t="inlineStr">
        <is>
          <t>סיבת הוצאה</t>
        </is>
      </c>
      <c r="D8" s="2" t="inlineStr">
        <is>
          <t>רשימה</t>
        </is>
      </c>
      <c r="E8" s="2" t="inlineStr">
        <is>
          <t>זיהוי</t>
        </is>
      </c>
      <c r="F8" s="2" t="inlineStr">
        <is>
          <t>לתרשים ה-STROBE.</t>
        </is>
      </c>
    </row>
    <row r="9">
      <c r="A9" s="2" t="inlineStr">
        <is>
          <t>Patients</t>
        </is>
      </c>
      <c r="B9" s="2" t="inlineStr">
        <is>
          <t>age</t>
        </is>
      </c>
      <c r="C9" s="2" t="inlineStr">
        <is>
          <t>גיל באבחנה</t>
        </is>
      </c>
      <c r="D9" s="2" t="inlineStr">
        <is>
          <t>מספר</t>
        </is>
      </c>
      <c r="E9" s="2" t="inlineStr">
        <is>
          <t>דמוגרפיה</t>
        </is>
      </c>
      <c r="F9" s="2" t="inlineStr">
        <is>
          <t>גיל בלבד — לא תאריך לידה. כל המחקרים.</t>
        </is>
      </c>
    </row>
    <row r="10">
      <c r="A10" s="2" t="inlineStr">
        <is>
          <t>Patients</t>
        </is>
      </c>
      <c r="B10" s="2" t="inlineStr">
        <is>
          <t>sex</t>
        </is>
      </c>
      <c r="C10" s="2" t="inlineStr">
        <is>
          <t>מין</t>
        </is>
      </c>
      <c r="D10" s="2" t="inlineStr">
        <is>
          <t>רשימה</t>
        </is>
      </c>
      <c r="E10" s="2" t="inlineStr">
        <is>
          <t>דמוגרפיה</t>
        </is>
      </c>
      <c r="F10" s="2" t="inlineStr">
        <is>
          <t>Amarillo 2024 — מנבא מובהק ברב-משתני.</t>
        </is>
      </c>
    </row>
    <row r="11">
      <c r="A11" s="2" t="inlineStr">
        <is>
          <t>Patients</t>
        </is>
      </c>
      <c r="B11" s="2" t="inlineStr">
        <is>
          <t>ecog</t>
        </is>
      </c>
      <c r="C11" s="2" t="inlineStr">
        <is>
          <t>ECOG</t>
        </is>
      </c>
      <c r="D11" s="2" t="inlineStr">
        <is>
          <t>רשימה</t>
        </is>
      </c>
      <c r="E11" s="2" t="inlineStr">
        <is>
          <t>דמוגרפיה</t>
        </is>
      </c>
      <c r="F11" s="2" t="inlineStr"/>
    </row>
    <row r="12">
      <c r="A12" s="2" t="inlineStr">
        <is>
          <t>Patients</t>
        </is>
      </c>
      <c r="B12" s="2" t="inlineStr">
        <is>
          <t>smoke</t>
        </is>
      </c>
      <c r="C12" s="2" t="inlineStr">
        <is>
          <t>עישון</t>
        </is>
      </c>
      <c r="D12" s="2" t="inlineStr">
        <is>
          <t>רשימה</t>
        </is>
      </c>
      <c r="E12" s="2" t="inlineStr">
        <is>
          <t>דמוגרפיה</t>
        </is>
      </c>
      <c r="F12" s="2" t="inlineStr">
        <is>
          <t>Schoonbeek 2022 — עישון פעיל מנבא עיכוב.</t>
        </is>
      </c>
    </row>
    <row r="13">
      <c r="A13" s="2" t="inlineStr">
        <is>
          <t>Patients</t>
        </is>
      </c>
      <c r="B13" s="2" t="inlineStr">
        <is>
          <t>py</t>
        </is>
      </c>
      <c r="C13" s="2" t="inlineStr">
        <is>
          <t>שנות קופסה</t>
        </is>
      </c>
      <c r="D13" s="2" t="inlineStr">
        <is>
          <t>מספר</t>
        </is>
      </c>
      <c r="E13" s="2" t="inlineStr">
        <is>
          <t>דמוגרפיה</t>
        </is>
      </c>
      <c r="F13" s="2" t="inlineStr"/>
    </row>
    <row r="14">
      <c r="A14" s="2" t="inlineStr">
        <is>
          <t>Patients</t>
        </is>
      </c>
      <c r="B14" s="2" t="inlineStr">
        <is>
          <t>alc</t>
        </is>
      </c>
      <c r="C14" s="2" t="inlineStr">
        <is>
          <t>אלכוהול</t>
        </is>
      </c>
      <c r="D14" s="2" t="inlineStr">
        <is>
          <t>רשימה</t>
        </is>
      </c>
      <c r="E14" s="2" t="inlineStr">
        <is>
          <t>דמוגרפיה</t>
        </is>
      </c>
      <c r="F14" s="2" t="inlineStr">
        <is>
          <t>Schoonbeek 2021.</t>
        </is>
      </c>
    </row>
    <row r="15">
      <c r="A15" s="2" t="inlineStr">
        <is>
          <t>Patients</t>
        </is>
      </c>
      <c r="B15" s="2" t="inlineStr">
        <is>
          <t>ace</t>
        </is>
      </c>
      <c r="C15" s="2" t="inlineStr">
        <is>
          <t>ACE-27</t>
        </is>
      </c>
      <c r="D15" s="2" t="inlineStr">
        <is>
          <t>רשימה</t>
        </is>
      </c>
      <c r="E15" s="2" t="inlineStr">
        <is>
          <t>דמוגרפיה</t>
        </is>
      </c>
      <c r="F15" s="2" t="inlineStr">
        <is>
          <t>מדד התחלואה הנלווית של Schoonbeek.</t>
        </is>
      </c>
    </row>
    <row r="16">
      <c r="A16" s="2" t="inlineStr">
        <is>
          <t>Patients</t>
        </is>
      </c>
      <c r="B16" s="2" t="inlineStr">
        <is>
          <t>cci</t>
        </is>
      </c>
      <c r="C16" s="2" t="inlineStr">
        <is>
          <t>Charlson-Deyo</t>
        </is>
      </c>
      <c r="D16" s="2" t="inlineStr">
        <is>
          <t>רשימה</t>
        </is>
      </c>
      <c r="E16" s="2" t="inlineStr">
        <is>
          <t>דמוגרפיה</t>
        </is>
      </c>
      <c r="F16" s="2" t="inlineStr">
        <is>
          <t>מדד התחלואה של Tsai 2017 ו-Rygalski 2021.</t>
        </is>
      </c>
    </row>
    <row r="17">
      <c r="A17" s="2" t="inlineStr">
        <is>
          <t>Patients</t>
        </is>
      </c>
      <c r="B17" s="2" t="inlineStr">
        <is>
          <t>bmi</t>
        </is>
      </c>
      <c r="C17" s="2" t="inlineStr">
        <is>
          <t>BMI</t>
        </is>
      </c>
      <c r="D17" s="2" t="inlineStr">
        <is>
          <t>מספר</t>
        </is>
      </c>
      <c r="E17" s="2" t="inlineStr">
        <is>
          <t>דמוגרפיה</t>
        </is>
      </c>
      <c r="F17" s="2" t="inlineStr">
        <is>
          <t>Liao 2019 — BMI&lt;18.5 מנבא עיכוב.</t>
        </is>
      </c>
    </row>
    <row r="18">
      <c r="A18" s="2" t="inlineStr">
        <is>
          <t>Patients</t>
        </is>
      </c>
      <c r="B18" s="2" t="inlineStr">
        <is>
          <t>dist</t>
        </is>
      </c>
      <c r="C18" s="2" t="inlineStr">
        <is>
          <t>מרחק מגורים</t>
        </is>
      </c>
      <c r="D18" s="2" t="inlineStr">
        <is>
          <t>רשימה</t>
        </is>
      </c>
      <c r="E18" s="2" t="inlineStr">
        <is>
          <t>דמוגרפיה</t>
        </is>
      </c>
      <c r="F18" s="2" t="inlineStr">
        <is>
          <t>בטווחים בלבד. Matsumoto 2024.</t>
        </is>
      </c>
    </row>
    <row r="19">
      <c r="A19" s="2" t="inlineStr">
        <is>
          <t>Patients</t>
        </is>
      </c>
      <c r="B19" s="2" t="inlineStr">
        <is>
          <t>lang</t>
        </is>
      </c>
      <c r="C19" s="2" t="inlineStr">
        <is>
          <t>שפת תקשורת</t>
        </is>
      </c>
      <c r="D19" s="2" t="inlineStr">
        <is>
          <t>רשימה</t>
        </is>
      </c>
      <c r="E19" s="2" t="inlineStr">
        <is>
          <t>דמוגרפיה</t>
        </is>
      </c>
      <c r="F19" s="2" t="inlineStr">
        <is>
          <t>Kwok 2023 — נבדק ונמצא לא מובהק.</t>
        </is>
      </c>
    </row>
    <row r="20">
      <c r="A20" s="2" t="inlineStr">
        <is>
          <t>Patients</t>
        </is>
      </c>
      <c r="B20" s="2" t="inlineStr">
        <is>
          <t>ses</t>
        </is>
      </c>
      <c r="C20" s="2" t="inlineStr">
        <is>
          <t>אשכול חברתי-כלכלי ביישוב</t>
        </is>
      </c>
      <c r="D20" s="2" t="inlineStr">
        <is>
          <t>רשימה</t>
        </is>
      </c>
      <c r="E20" s="2" t="inlineStr">
        <is>
          <t>דמוגרפיה</t>
        </is>
      </c>
      <c r="F20" s="2" t="inlineStr">
        <is>
          <t>מקביל להכנסה/השכלה ב-NCDB.</t>
        </is>
      </c>
    </row>
    <row r="21">
      <c r="A21" s="2" t="inlineStr">
        <is>
          <t>Patients</t>
        </is>
      </c>
      <c r="B21" s="2" t="inlineStr">
        <is>
          <t>insur</t>
        </is>
      </c>
      <c r="C21" s="2" t="inlineStr">
        <is>
          <t>ביטוח משלים</t>
        </is>
      </c>
      <c r="D21" s="2" t="inlineStr">
        <is>
          <t>רשימה</t>
        </is>
      </c>
      <c r="E21" s="2" t="inlineStr">
        <is>
          <t>דמוגרפיה</t>
        </is>
      </c>
      <c r="F21" s="2" t="inlineStr">
        <is>
          <t>מקביל למשתנה הביטוח ב-Liao 2019.</t>
        </is>
      </c>
    </row>
    <row r="22">
      <c r="A22" s="2" t="inlineStr">
        <is>
          <t>Patients</t>
        </is>
      </c>
      <c r="B22" s="2" t="inlineStr">
        <is>
          <t>hist</t>
        </is>
      </c>
      <c r="C22" s="2" t="inlineStr">
        <is>
          <t>היסטולוגיה</t>
        </is>
      </c>
      <c r="D22" s="2" t="inlineStr">
        <is>
          <t>רשימה</t>
        </is>
      </c>
      <c r="E22" s="2" t="inlineStr">
        <is>
          <t>גידול</t>
        </is>
      </c>
      <c r="F22" s="2" t="inlineStr"/>
    </row>
    <row r="23">
      <c r="A23" s="2" t="inlineStr">
        <is>
          <t>Patients</t>
        </is>
      </c>
      <c r="B23" s="2" t="inlineStr">
        <is>
          <t>cT</t>
        </is>
      </c>
      <c r="C23" s="2" t="inlineStr">
        <is>
          <t>cT</t>
        </is>
      </c>
      <c r="D23" s="2" t="inlineStr">
        <is>
          <t>רשימה</t>
        </is>
      </c>
      <c r="E23" s="2" t="inlineStr">
        <is>
          <t>גידול</t>
        </is>
      </c>
      <c r="F23" s="2" t="inlineStr">
        <is>
          <t>AJCC 8 — לציין מהדורה אם שונה.</t>
        </is>
      </c>
    </row>
    <row r="24">
      <c r="A24" s="2" t="inlineStr">
        <is>
          <t>Patients</t>
        </is>
      </c>
      <c r="B24" s="2" t="inlineStr">
        <is>
          <t>cN</t>
        </is>
      </c>
      <c r="C24" s="2" t="inlineStr">
        <is>
          <t>cN</t>
        </is>
      </c>
      <c r="D24" s="2" t="inlineStr">
        <is>
          <t>רשימה</t>
        </is>
      </c>
      <c r="E24" s="2" t="inlineStr">
        <is>
          <t>גידול</t>
        </is>
      </c>
      <c r="F24" s="2" t="inlineStr">
        <is>
          <t>AJCC 8.</t>
        </is>
      </c>
    </row>
    <row r="25">
      <c r="A25" s="2" t="inlineStr">
        <is>
          <t>Patients</t>
        </is>
      </c>
      <c r="B25" s="2" t="inlineStr">
        <is>
          <t>cM</t>
        </is>
      </c>
      <c r="C25" s="2" t="inlineStr">
        <is>
          <t>cM</t>
        </is>
      </c>
      <c r="D25" s="2" t="inlineStr">
        <is>
          <t>רשימה</t>
        </is>
      </c>
      <c r="E25" s="2" t="inlineStr">
        <is>
          <t>גידול</t>
        </is>
      </c>
      <c r="F25" s="2" t="inlineStr">
        <is>
          <t>AJCC 8.</t>
        </is>
      </c>
    </row>
    <row r="26">
      <c r="A26" s="2" t="inlineStr">
        <is>
          <t>Patients</t>
        </is>
      </c>
      <c r="B26" s="2" t="inlineStr">
        <is>
          <t>stage</t>
        </is>
      </c>
      <c r="C26" s="2" t="inlineStr">
        <is>
          <t>שלב קליני</t>
        </is>
      </c>
      <c r="D26" s="2" t="inlineStr">
        <is>
          <t>רשימה</t>
        </is>
      </c>
      <c r="E26" s="2" t="inlineStr">
        <is>
          <t>גידול</t>
        </is>
      </c>
      <c r="F26" s="2" t="inlineStr">
        <is>
          <t>המנבא החזק ביותר לעיכוב — Schoonbeek 2021 (OR 7.97).</t>
        </is>
      </c>
    </row>
    <row r="27">
      <c r="A27" s="2" t="inlineStr">
        <is>
          <t>Patients</t>
        </is>
      </c>
      <c r="B27" s="2" t="inlineStr">
        <is>
          <t>adv</t>
        </is>
      </c>
      <c r="C27" s="2" t="inlineStr">
        <is>
          <t>מחלה מתקדמת (III–IV)</t>
        </is>
      </c>
      <c r="D27" s="2" t="inlineStr">
        <is>
          <t>מחושב</t>
        </is>
      </c>
      <c r="E27" s="2" t="inlineStr">
        <is>
          <t>גידול</t>
        </is>
      </c>
      <c r="F27" s="2" t="inlineStr">
        <is>
          <t>החלוקה של Amarillo 2024.</t>
        </is>
      </c>
    </row>
    <row r="28">
      <c r="A28" s="2" t="inlineStr">
        <is>
          <t>Patients</t>
        </is>
      </c>
      <c r="B28" s="2" t="inlineStr">
        <is>
          <t>p16</t>
        </is>
      </c>
      <c r="C28" s="2" t="inlineStr">
        <is>
          <t>p16 / HPV</t>
        </is>
      </c>
      <c r="D28" s="2" t="inlineStr">
        <is>
          <t>רשימה</t>
        </is>
      </c>
      <c r="E28" s="2" t="inlineStr">
        <is>
          <t>גידול</t>
        </is>
      </c>
      <c r="F28" s="2" t="inlineStr">
        <is>
          <t>Vasudev 2024 — משנה את כיוון ההשפעה.</t>
        </is>
      </c>
    </row>
    <row r="29">
      <c r="A29" s="2" t="inlineStr">
        <is>
          <t>Patients</t>
        </is>
      </c>
      <c r="B29" s="2" t="inlineStr">
        <is>
          <t>ebv</t>
        </is>
      </c>
      <c r="C29" s="2" t="inlineStr">
        <is>
          <t>EBV</t>
        </is>
      </c>
      <c r="D29" s="2" t="inlineStr">
        <is>
          <t>רשימה</t>
        </is>
      </c>
      <c r="E29" s="2" t="inlineStr">
        <is>
          <t>גידול</t>
        </is>
      </c>
      <c r="F29" s="2" t="inlineStr">
        <is>
          <t>לוע האף.</t>
        </is>
      </c>
    </row>
    <row r="30">
      <c r="A30" s="2" t="inlineStr">
        <is>
          <t>Patients</t>
        </is>
      </c>
      <c r="B30" s="2" t="inlineStr">
        <is>
          <t>pT</t>
        </is>
      </c>
      <c r="C30" s="2" t="inlineStr">
        <is>
          <t>pT</t>
        </is>
      </c>
      <c r="D30" s="2" t="inlineStr">
        <is>
          <t>רשימה</t>
        </is>
      </c>
      <c r="E30" s="2" t="inlineStr">
        <is>
          <t>גידול</t>
        </is>
      </c>
      <c r="F30" s="2" t="inlineStr">
        <is>
          <t>Rygalski 2021 — שלב פתולוגי.</t>
        </is>
      </c>
    </row>
    <row r="31">
      <c r="A31" s="2" t="inlineStr">
        <is>
          <t>Patients</t>
        </is>
      </c>
      <c r="B31" s="2" t="inlineStr">
        <is>
          <t>pN</t>
        </is>
      </c>
      <c r="C31" s="2" t="inlineStr">
        <is>
          <t>pN</t>
        </is>
      </c>
      <c r="D31" s="2" t="inlineStr">
        <is>
          <t>רשימה</t>
        </is>
      </c>
      <c r="E31" s="2" t="inlineStr">
        <is>
          <t>גידול</t>
        </is>
      </c>
      <c r="F31" s="2" t="inlineStr"/>
    </row>
    <row r="32">
      <c r="A32" s="2" t="inlineStr">
        <is>
          <t>Patients</t>
        </is>
      </c>
      <c r="B32" s="2" t="inlineStr">
        <is>
          <t>marg</t>
        </is>
      </c>
      <c r="C32" s="2" t="inlineStr">
        <is>
          <t>שוליים חיוביים</t>
        </is>
      </c>
      <c r="D32" s="2" t="inlineStr">
        <is>
          <t>רשימה</t>
        </is>
      </c>
      <c r="E32" s="2" t="inlineStr">
        <is>
          <t>גידול</t>
        </is>
      </c>
      <c r="F32" s="2" t="inlineStr">
        <is>
          <t>Rygalski 2021.</t>
        </is>
      </c>
    </row>
    <row r="33">
      <c r="A33" s="2" t="inlineStr">
        <is>
          <t>Patients</t>
        </is>
      </c>
      <c r="B33" s="2" t="inlineStr">
        <is>
          <t>ene</t>
        </is>
      </c>
      <c r="C33" s="2" t="inlineStr">
        <is>
          <t>חדירה מחוץ לקופסית (ENE)</t>
        </is>
      </c>
      <c r="D33" s="2" t="inlineStr">
        <is>
          <t>רשימה</t>
        </is>
      </c>
      <c r="E33" s="2" t="inlineStr">
        <is>
          <t>גידול</t>
        </is>
      </c>
      <c r="F33" s="2" t="inlineStr">
        <is>
          <t>קובע צורך בהקרנות משלימות.</t>
        </is>
      </c>
    </row>
    <row r="34">
      <c r="A34" s="2" t="inlineStr">
        <is>
          <t>Patients</t>
        </is>
      </c>
      <c r="B34" s="2" t="inlineStr">
        <is>
          <t>refsrc</t>
        </is>
      </c>
      <c r="C34" s="2" t="inlineStr">
        <is>
          <t>מקור ההפניה</t>
        </is>
      </c>
      <c r="D34" s="2" t="inlineStr">
        <is>
          <t>רשימה</t>
        </is>
      </c>
      <c r="E34" s="2" t="inlineStr">
        <is>
          <t>מסלול</t>
        </is>
      </c>
      <c r="F34" s="2" t="inlineStr">
        <is>
          <t>Sethi 2022 · Kwok 2023 — הפניה מרופא משפחה מאריכה.</t>
        </is>
      </c>
    </row>
    <row r="35">
      <c r="A35" s="2" t="inlineStr">
        <is>
          <t>Patients</t>
        </is>
      </c>
      <c r="B35" s="2" t="inlineStr">
        <is>
          <t>extbx</t>
        </is>
      </c>
      <c r="C35" s="2" t="inlineStr">
        <is>
          <t>ביופסיה בוצעה מחוץ למרכז</t>
        </is>
      </c>
      <c r="D35" s="2" t="inlineStr">
        <is>
          <t>רשימה</t>
        </is>
      </c>
      <c r="E35" s="2" t="inlineStr">
        <is>
          <t>מסלול</t>
        </is>
      </c>
      <c r="F35" s="2" t="inlineStr">
        <is>
          <t>Schoonbeek 2021 — משנה מהותית את ה-TTI.</t>
        </is>
      </c>
    </row>
    <row r="36">
      <c r="A36" s="2" t="inlineStr">
        <is>
          <t>Patients</t>
        </is>
      </c>
      <c r="B36" s="2" t="inlineStr">
        <is>
          <t>imgat1</t>
        </is>
      </c>
      <c r="C36" s="2" t="inlineStr">
        <is>
          <t>הדמיה זמינה בייעוץ הראשון</t>
        </is>
      </c>
      <c r="D36" s="2" t="inlineStr">
        <is>
          <t>רשימה</t>
        </is>
      </c>
      <c r="E36" s="2" t="inlineStr">
        <is>
          <t>מסלול</t>
        </is>
      </c>
      <c r="F36" s="2" t="inlineStr">
        <is>
          <t>Connell 2020 — 43.1 מול 37.4 ימים.</t>
        </is>
      </c>
    </row>
    <row r="37">
      <c r="A37" s="2" t="inlineStr">
        <is>
          <t>Patients</t>
        </is>
      </c>
      <c r="B37" s="2" t="inlineStr">
        <is>
          <t>gabx</t>
        </is>
      </c>
      <c r="C37" s="2" t="inlineStr">
        <is>
          <t>אבחנה תחת הרדמה כללית</t>
        </is>
      </c>
      <c r="D37" s="2" t="inlineStr">
        <is>
          <t>רשימה</t>
        </is>
      </c>
      <c r="E37" s="2" t="inlineStr">
        <is>
          <t>מסלול</t>
        </is>
      </c>
      <c r="F37" s="2" t="inlineStr">
        <is>
          <t>Connell 2020.</t>
        </is>
      </c>
    </row>
    <row r="38">
      <c r="A38" s="2" t="inlineStr">
        <is>
          <t>Patients</t>
        </is>
      </c>
      <c r="B38" s="2" t="inlineStr">
        <is>
          <t>nga</t>
        </is>
      </c>
      <c r="C38" s="2" t="inlineStr">
        <is>
          <t>מספר חשיפות להרדמה עד הטיפול</t>
        </is>
      </c>
      <c r="D38" s="2" t="inlineStr">
        <is>
          <t>מספר</t>
        </is>
      </c>
      <c r="E38" s="2" t="inlineStr">
        <is>
          <t>מסלול</t>
        </is>
      </c>
      <c r="F38" s="2" t="inlineStr">
        <is>
          <t>Connell 2020 — 64% נזקקו לשתיים.</t>
        </is>
      </c>
    </row>
    <row r="39">
      <c r="A39" s="2" t="inlineStr">
        <is>
          <t>Patients</t>
        </is>
      </c>
      <c r="B39" s="2" t="inlineStr">
        <is>
          <t>pet</t>
        </is>
      </c>
      <c r="C39" s="2" t="inlineStr">
        <is>
          <t>נדרש PET-CT</t>
        </is>
      </c>
      <c r="D39" s="2" t="inlineStr">
        <is>
          <t>רשימה</t>
        </is>
      </c>
      <c r="E39" s="2" t="inlineStr">
        <is>
          <t>מסלול</t>
        </is>
      </c>
      <c r="F39" s="2" t="inlineStr">
        <is>
          <t>Cook 2022 — +7.5 ימים.</t>
        </is>
      </c>
    </row>
    <row r="40">
      <c r="A40" s="2" t="inlineStr">
        <is>
          <t>Patients</t>
        </is>
      </c>
      <c r="B40" s="2" t="inlineStr">
        <is>
          <t>dental</t>
        </is>
      </c>
      <c r="C40" s="2" t="inlineStr">
        <is>
          <t>נדרשה הערכה דנטלית</t>
        </is>
      </c>
      <c r="D40" s="2" t="inlineStr">
        <is>
          <t>רשימה</t>
        </is>
      </c>
      <c r="E40" s="2" t="inlineStr">
        <is>
          <t>מסלול</t>
        </is>
      </c>
      <c r="F40" s="2" t="inlineStr">
        <is>
          <t>Cook 2022 · van Huizen 2018.</t>
        </is>
      </c>
    </row>
    <row r="41">
      <c r="A41" s="2" t="inlineStr">
        <is>
          <t>Patients</t>
        </is>
      </c>
      <c r="B41" s="2" t="inlineStr">
        <is>
          <t>peg</t>
        </is>
      </c>
      <c r="C41" s="2" t="inlineStr">
        <is>
          <t>נדרש PEG מניעתי</t>
        </is>
      </c>
      <c r="D41" s="2" t="inlineStr">
        <is>
          <t>רשימה</t>
        </is>
      </c>
      <c r="E41" s="2" t="inlineStr">
        <is>
          <t>מסלול</t>
        </is>
      </c>
      <c r="F41" s="2" t="inlineStr">
        <is>
          <t>Cook 2022 — OR 3.1 לחריגה מ-56 יום.</t>
        </is>
      </c>
    </row>
    <row r="42">
      <c r="A42" s="2" t="inlineStr">
        <is>
          <t>Patients</t>
        </is>
      </c>
      <c r="B42" s="2" t="inlineStr">
        <is>
          <t>incid</t>
        </is>
      </c>
      <c r="C42" s="2" t="inlineStr">
        <is>
          <t>ממצא אקראי משמעותי בהדמיה</t>
        </is>
      </c>
      <c r="D42" s="2" t="inlineStr">
        <is>
          <t>רשימה</t>
        </is>
      </c>
      <c r="E42" s="2" t="inlineStr">
        <is>
          <t>מסלול</t>
        </is>
      </c>
      <c r="F42" s="2" t="inlineStr">
        <is>
          <t>Schoonbeek 2021 — 21.6%.</t>
        </is>
      </c>
    </row>
    <row r="43">
      <c r="A43" s="2" t="inlineStr">
        <is>
          <t>Patients</t>
        </is>
      </c>
      <c r="B43" s="2" t="inlineStr">
        <is>
          <t>nmdt</t>
        </is>
      </c>
      <c r="C43" s="2" t="inlineStr">
        <is>
          <t>מספר הצגות בוועדה</t>
        </is>
      </c>
      <c r="D43" s="2" t="inlineStr">
        <is>
          <t>מספר</t>
        </is>
      </c>
      <c r="E43" s="2" t="inlineStr">
        <is>
          <t>מסלול</t>
        </is>
      </c>
      <c r="F43" s="2" t="inlineStr">
        <is>
          <t>Connell 2020 — שתי הצגות ← 61.4 ימים.</t>
        </is>
      </c>
    </row>
    <row r="44">
      <c r="A44" s="2" t="inlineStr">
        <is>
          <t>Patients</t>
        </is>
      </c>
      <c r="B44" s="2" t="inlineStr">
        <is>
          <t>ptdel</t>
        </is>
      </c>
      <c r="C44" s="2" t="inlineStr">
        <is>
          <t>עיכוב מיוזמת המטופל</t>
        </is>
      </c>
      <c r="D44" s="2" t="inlineStr">
        <is>
          <t>רשימה</t>
        </is>
      </c>
      <c r="E44" s="2" t="inlineStr">
        <is>
          <t>מסלול</t>
        </is>
      </c>
      <c r="F44" s="2" t="inlineStr">
        <is>
          <t>Liao 2019 — אי-הגעה 21.2%, סירוב 13.6%.</t>
        </is>
      </c>
    </row>
    <row r="45">
      <c r="A45" s="2" t="inlineStr">
        <is>
          <t>Patients</t>
        </is>
      </c>
      <c r="B45" s="2" t="inlineStr">
        <is>
          <t>compl</t>
        </is>
      </c>
      <c r="C45" s="2" t="inlineStr">
        <is>
          <t>סיבוך ניתוחי שעיכב טיפול משלים</t>
        </is>
      </c>
      <c r="D45" s="2" t="inlineStr">
        <is>
          <t>רשימה</t>
        </is>
      </c>
      <c r="E45" s="2" t="inlineStr">
        <is>
          <t>מסלול</t>
        </is>
      </c>
      <c r="F45" s="2" t="inlineStr">
        <is>
          <t>Nguyen 2025 — aOR 0.17.</t>
        </is>
      </c>
    </row>
    <row r="46">
      <c r="A46" s="2" t="inlineStr">
        <is>
          <t>Patients</t>
        </is>
      </c>
      <c r="B46" s="2" t="inlineStr">
        <is>
          <t>dmain</t>
        </is>
      </c>
      <c r="C46" s="2" t="inlineStr">
        <is>
          <t>הסיבה הראשית לעיכוב</t>
        </is>
      </c>
      <c r="D46" s="2" t="inlineStr">
        <is>
          <t>רשימה</t>
        </is>
      </c>
      <c r="E46" s="2" t="inlineStr">
        <is>
          <t>מסלול</t>
        </is>
      </c>
      <c r="F46" s="2" t="inlineStr">
        <is>
          <t>סיבה אחת לכל מטופל. Nguyen 2025.</t>
        </is>
      </c>
    </row>
    <row r="47">
      <c r="A47" s="2" t="inlineStr">
        <is>
          <t>Patients</t>
        </is>
      </c>
      <c r="B47" s="2" t="inlineStr">
        <is>
          <t>dsrc</t>
        </is>
      </c>
      <c r="C47" s="2" t="inlineStr">
        <is>
          <t>סיווג מקור העיכוב</t>
        </is>
      </c>
      <c r="D47" s="2" t="inlineStr">
        <is>
          <t>רשימה</t>
        </is>
      </c>
      <c r="E47" s="2" t="inlineStr">
        <is>
          <t>מסלול</t>
        </is>
      </c>
      <c r="F47" s="2" t="inlineStr">
        <is>
          <t>מערכתי / קליני מוצדק / מטופל.</t>
        </is>
      </c>
    </row>
    <row r="48">
      <c r="A48" s="2" t="inlineStr">
        <is>
          <t>Patients</t>
        </is>
      </c>
      <c r="B48" s="2" t="inlineStr">
        <is>
          <t>t_ref</t>
        </is>
      </c>
      <c r="C48" s="2" t="inlineStr">
        <is>
          <t>קבלת ההפניה</t>
        </is>
      </c>
      <c r="D48" s="2" t="inlineStr">
        <is>
          <t>תאריך</t>
        </is>
      </c>
      <c r="E48" s="2" t="inlineStr">
        <is>
          <t>תאריכים</t>
        </is>
      </c>
      <c r="F48" s="2" t="inlineStr">
        <is>
          <t>עוגן ההפניה — Cook 2022 · Connell 2020.</t>
        </is>
      </c>
    </row>
    <row r="49">
      <c r="A49" s="2" t="inlineStr">
        <is>
          <t>Patients</t>
        </is>
      </c>
      <c r="B49" s="2" t="inlineStr">
        <is>
          <t>t_v1</t>
        </is>
      </c>
      <c r="C49" s="2" t="inlineStr">
        <is>
          <t>ייעוץ ראשון אא״ג</t>
        </is>
      </c>
      <c r="D49" s="2" t="inlineStr">
        <is>
          <t>תאריך</t>
        </is>
      </c>
      <c r="E49" s="2" t="inlineStr">
        <is>
          <t>תאריכים</t>
        </is>
      </c>
      <c r="F49" s="2" t="inlineStr">
        <is>
          <t>עוגן ה-CPI ההולנדי — Schoonbeek 2021.</t>
        </is>
      </c>
    </row>
    <row r="50">
      <c r="A50" s="2" t="inlineStr">
        <is>
          <t>Patients</t>
        </is>
      </c>
      <c r="B50" s="2" t="inlineStr">
        <is>
          <t>t_bx</t>
        </is>
      </c>
      <c r="C50" s="2" t="inlineStr">
        <is>
          <t>ביופסיה</t>
        </is>
      </c>
      <c r="D50" s="2" t="inlineStr">
        <is>
          <t>תאריך</t>
        </is>
      </c>
      <c r="E50" s="2" t="inlineStr">
        <is>
          <t>תאריכים</t>
        </is>
      </c>
      <c r="F50" s="2" t="inlineStr">
        <is>
          <t>עוגן האבחנה של Tsai 2017.</t>
        </is>
      </c>
    </row>
    <row r="51">
      <c r="A51" s="2" t="inlineStr">
        <is>
          <t>Patients</t>
        </is>
      </c>
      <c r="B51" s="2" t="inlineStr">
        <is>
          <t>t_path</t>
        </is>
      </c>
      <c r="C51" s="2" t="inlineStr">
        <is>
          <t>דוח פתולוגיה ממאירה (t₀)</t>
        </is>
      </c>
      <c r="D51" s="2" t="inlineStr">
        <is>
          <t>תאריך</t>
        </is>
      </c>
      <c r="E51" s="2" t="inlineStr">
        <is>
          <t>תאריכים</t>
        </is>
      </c>
      <c r="F51" s="2" t="inlineStr">
        <is>
          <t>עוגן האבחנה הראשי — Liao 2019 · Amarillo 2024.</t>
        </is>
      </c>
    </row>
    <row r="52">
      <c r="A52" s="2" t="inlineStr">
        <is>
          <t>Patients</t>
        </is>
      </c>
      <c r="B52" s="2" t="inlineStr">
        <is>
          <t>t_img</t>
        </is>
      </c>
      <c r="C52" s="2" t="inlineStr">
        <is>
          <t>השלמת הדמיית שלב</t>
        </is>
      </c>
      <c r="D52" s="2" t="inlineStr">
        <is>
          <t>תאריך</t>
        </is>
      </c>
      <c r="E52" s="2" t="inlineStr">
        <is>
          <t>תאריכים</t>
        </is>
      </c>
      <c r="F52" s="2" t="inlineStr">
        <is>
          <t>CT / MRI.</t>
        </is>
      </c>
    </row>
    <row r="53">
      <c r="A53" s="2" t="inlineStr">
        <is>
          <t>Patients</t>
        </is>
      </c>
      <c r="B53" s="2" t="inlineStr">
        <is>
          <t>t_pet</t>
        </is>
      </c>
      <c r="C53" s="2" t="inlineStr">
        <is>
          <t>PET-CT</t>
        </is>
      </c>
      <c r="D53" s="2" t="inlineStr">
        <is>
          <t>תאריך</t>
        </is>
      </c>
      <c r="E53" s="2" t="inlineStr">
        <is>
          <t>תאריכים</t>
        </is>
      </c>
      <c r="F53" s="2" t="inlineStr">
        <is>
          <t>ריק אם לא בוצע.</t>
        </is>
      </c>
    </row>
    <row r="54">
      <c r="A54" s="2" t="inlineStr">
        <is>
          <t>Patients</t>
        </is>
      </c>
      <c r="B54" s="2" t="inlineStr">
        <is>
          <t>t_mdt</t>
        </is>
      </c>
      <c r="C54" s="2" t="inlineStr">
        <is>
          <t>הצגה ראשונה בוועדה</t>
        </is>
      </c>
      <c r="D54" s="2" t="inlineStr">
        <is>
          <t>תאריך</t>
        </is>
      </c>
      <c r="E54" s="2" t="inlineStr">
        <is>
          <t>תאריכים</t>
        </is>
      </c>
      <c r="F54" s="2" t="inlineStr">
        <is>
          <t>חוזר 18/2022.</t>
        </is>
      </c>
    </row>
    <row r="55">
      <c r="A55" s="2" t="inlineStr">
        <is>
          <t>Patients</t>
        </is>
      </c>
      <c r="B55" s="2" t="inlineStr">
        <is>
          <t>t_dec</t>
        </is>
      </c>
      <c r="C55" s="2" t="inlineStr">
        <is>
          <t>החלטת ועדה סופית</t>
        </is>
      </c>
      <c r="D55" s="2" t="inlineStr">
        <is>
          <t>תאריך</t>
        </is>
      </c>
      <c r="E55" s="2" t="inlineStr">
        <is>
          <t>תאריכים</t>
        </is>
      </c>
      <c r="F55" s="2" t="inlineStr">
        <is>
          <t>עוגן ה-28 יום של Cook 2022.</t>
        </is>
      </c>
    </row>
    <row r="56">
      <c r="A56" s="2" t="inlineStr">
        <is>
          <t>Patients</t>
        </is>
      </c>
      <c r="B56" s="2" t="inlineStr">
        <is>
          <t>t_not</t>
        </is>
      </c>
      <c r="C56" s="2" t="inlineStr">
        <is>
          <t>הודעה למוקד ההסדרים</t>
        </is>
      </c>
      <c r="D56" s="2" t="inlineStr">
        <is>
          <t>תאריך</t>
        </is>
      </c>
      <c r="E56" s="2" t="inlineStr">
        <is>
          <t>תאריכים</t>
        </is>
      </c>
      <c r="F56" s="2" t="inlineStr">
        <is>
          <t>מפעיל את שעון חוזר 1/2020. לרוב אינו מתועד — להשאיר ריק.</t>
        </is>
      </c>
    </row>
    <row r="57">
      <c r="A57" s="2" t="inlineStr">
        <is>
          <t>Patients</t>
        </is>
      </c>
      <c r="B57" s="2" t="inlineStr">
        <is>
          <t>t_tx</t>
        </is>
      </c>
      <c r="C57" s="2" t="inlineStr">
        <is>
          <t>תחילת הטיפול המכריע</t>
        </is>
      </c>
      <c r="D57" s="2" t="inlineStr">
        <is>
          <t>תאריך</t>
        </is>
      </c>
      <c r="E57" s="2" t="inlineStr">
        <is>
          <t>תאריכים</t>
        </is>
      </c>
      <c r="F57" s="2" t="inlineStr">
        <is>
          <t>סוף התוצא הראשוני.</t>
        </is>
      </c>
    </row>
    <row r="58">
      <c r="A58" s="2" t="inlineStr">
        <is>
          <t>Patients</t>
        </is>
      </c>
      <c r="B58" s="2" t="inlineStr">
        <is>
          <t>amod</t>
        </is>
      </c>
      <c r="C58" s="2" t="inlineStr">
        <is>
          <t>מודאליות הטיפול</t>
        </is>
      </c>
      <c r="D58" s="2" t="inlineStr">
        <is>
          <t>רשימה</t>
        </is>
      </c>
      <c r="E58" s="2" t="inlineStr">
        <is>
          <t>תאריכים</t>
        </is>
      </c>
      <c r="F58" s="2" t="inlineStr">
        <is>
          <t>Schoonbeek 2021 — OR 9.93 להקרנות.</t>
        </is>
      </c>
    </row>
    <row r="59">
      <c r="A59" s="2" t="inlineStr">
        <is>
          <t>Patients</t>
        </is>
      </c>
      <c r="B59" s="2" t="inlineStr">
        <is>
          <t>txsite</t>
        </is>
      </c>
      <c r="C59" s="2" t="inlineStr">
        <is>
          <t>אתר הטיפול</t>
        </is>
      </c>
      <c r="D59" s="2" t="inlineStr">
        <is>
          <t>רשימה</t>
        </is>
      </c>
      <c r="E59" s="2" t="inlineStr">
        <is>
          <t>תאריכים</t>
        </is>
      </c>
      <c r="F59" s="2" t="inlineStr"/>
    </row>
    <row r="60">
      <c r="A60" s="2" t="inlineStr">
        <is>
          <t>Patients</t>
        </is>
      </c>
      <c r="B60" s="2" t="inlineStr">
        <is>
          <t>t_surg</t>
        </is>
      </c>
      <c r="C60" s="2" t="inlineStr">
        <is>
          <t>ניתוח</t>
        </is>
      </c>
      <c r="D60" s="2" t="inlineStr">
        <is>
          <t>תאריך</t>
        </is>
      </c>
      <c r="E60" s="2" t="inlineStr">
        <is>
          <t>תאריכים</t>
        </is>
      </c>
      <c r="F60" s="2" t="inlineStr">
        <is>
          <t>ריק אם לא נותח.</t>
        </is>
      </c>
    </row>
    <row r="61">
      <c r="A61" s="2" t="inlineStr">
        <is>
          <t>Patients</t>
        </is>
      </c>
      <c r="B61" s="2" t="inlineStr">
        <is>
          <t>t_port</t>
        </is>
      </c>
      <c r="C61" s="2" t="inlineStr">
        <is>
          <t>תחילת הקרנות משלימות</t>
        </is>
      </c>
      <c r="D61" s="2" t="inlineStr">
        <is>
          <t>תאריך</t>
        </is>
      </c>
      <c r="E61" s="2" t="inlineStr">
        <is>
          <t>תאריכים</t>
        </is>
      </c>
      <c r="F61" s="2" t="inlineStr">
        <is>
          <t>ריק אם לא ניתנו.</t>
        </is>
      </c>
    </row>
    <row r="62">
      <c r="A62" s="2" t="inlineStr">
        <is>
          <t>Patients</t>
        </is>
      </c>
      <c r="B62" s="2" t="inlineStr">
        <is>
          <t>t_end</t>
        </is>
      </c>
      <c r="C62" s="2" t="inlineStr">
        <is>
          <t>סיום הטיפול המכריע</t>
        </is>
      </c>
      <c r="D62" s="2" t="inlineStr">
        <is>
          <t>תאריך</t>
        </is>
      </c>
      <c r="E62" s="2" t="inlineStr">
        <is>
          <t>תאריכים</t>
        </is>
      </c>
      <c r="F62" s="2" t="inlineStr">
        <is>
          <t>יום ההקרנה האחרון, או יום הניתוח בטיפול חד-מודאלי.</t>
        </is>
      </c>
    </row>
    <row r="63">
      <c r="A63" s="2" t="inlineStr">
        <is>
          <t>Patients</t>
        </is>
      </c>
      <c r="B63" s="2" t="inlineStr">
        <is>
          <t>vital</t>
        </is>
      </c>
      <c r="C63" s="2" t="inlineStr">
        <is>
          <t>מצב במועד המעקב</t>
        </is>
      </c>
      <c r="D63" s="2" t="inlineStr">
        <is>
          <t>רשימה</t>
        </is>
      </c>
      <c r="E63" s="2" t="inlineStr">
        <is>
          <t>תאריכים</t>
        </is>
      </c>
      <c r="F63" s="2" t="inlineStr"/>
    </row>
    <row r="64">
      <c r="A64" s="2" t="inlineStr">
        <is>
          <t>Patients</t>
        </is>
      </c>
      <c r="B64" s="2" t="inlineStr">
        <is>
          <t>t_lfu</t>
        </is>
      </c>
      <c r="C64" s="2" t="inlineStr">
        <is>
          <t>מעקב אחרון / פטירה</t>
        </is>
      </c>
      <c r="D64" s="2" t="inlineStr">
        <is>
          <t>תאריך</t>
        </is>
      </c>
      <c r="E64" s="2" t="inlineStr">
        <is>
          <t>תאריכים</t>
        </is>
      </c>
      <c r="F64" s="2" t="inlineStr">
        <is>
          <t>לחישוב ההישרדות.</t>
        </is>
      </c>
    </row>
    <row r="65">
      <c r="A65" s="2" t="inlineStr">
        <is>
          <t>Patients</t>
        </is>
      </c>
      <c r="B65" s="2" t="inlineStr">
        <is>
          <t>i_rv</t>
        </is>
      </c>
      <c r="C65" s="2" t="inlineStr">
        <is>
          <t>הפניה ← ייעוץ</t>
        </is>
      </c>
      <c r="D65" s="2" t="inlineStr">
        <is>
          <t>מחושב</t>
        </is>
      </c>
      <c r="E65" s="2" t="inlineStr">
        <is>
          <t>מרווחים (ימים)</t>
        </is>
      </c>
      <c r="F65" s="2" t="inlineStr">
        <is>
          <t>יעד אוסטרלי: 14 יום.</t>
        </is>
      </c>
    </row>
    <row r="66">
      <c r="A66" s="2" t="inlineStr">
        <is>
          <t>Patients</t>
        </is>
      </c>
      <c r="B66" s="2" t="inlineStr">
        <is>
          <t>i_vb</t>
        </is>
      </c>
      <c r="C66" s="2" t="inlineStr">
        <is>
          <t>ייעוץ ← ביופסיה</t>
        </is>
      </c>
      <c r="D66" s="2" t="inlineStr">
        <is>
          <t>מחושב</t>
        </is>
      </c>
      <c r="E66" s="2" t="inlineStr">
        <is>
          <t>מרווחים (ימים)</t>
        </is>
      </c>
      <c r="F66" s="2" t="inlineStr">
        <is>
          <t>מרווח הבירור — Connell 2020.</t>
        </is>
      </c>
    </row>
    <row r="67">
      <c r="A67" s="2" t="inlineStr">
        <is>
          <t>Patients</t>
        </is>
      </c>
      <c r="B67" s="2" t="inlineStr">
        <is>
          <t>i_bp</t>
        </is>
      </c>
      <c r="C67" s="2" t="inlineStr">
        <is>
          <t>ביופסיה ← דוח פתולוגיה</t>
        </is>
      </c>
      <c r="D67" s="2" t="inlineStr">
        <is>
          <t>מחושב</t>
        </is>
      </c>
      <c r="E67" s="2" t="inlineStr">
        <is>
          <t>מרווחים (ימים)</t>
        </is>
      </c>
      <c r="F67" s="2" t="inlineStr">
        <is>
          <t>Sethi 2022 — ממוצע 4 ימים.</t>
        </is>
      </c>
    </row>
    <row r="68">
      <c r="A68" s="2" t="inlineStr">
        <is>
          <t>Patients</t>
        </is>
      </c>
      <c r="B68" s="2" t="inlineStr">
        <is>
          <t>i_pm</t>
        </is>
      </c>
      <c r="C68" s="2" t="inlineStr">
        <is>
          <t>פתולוגיה ← ועדה</t>
        </is>
      </c>
      <c r="D68" s="2" t="inlineStr">
        <is>
          <t>מחושב</t>
        </is>
      </c>
      <c r="E68" s="2" t="inlineStr">
        <is>
          <t>מרווחים (ימים)</t>
        </is>
      </c>
      <c r="F68" s="2" t="inlineStr"/>
    </row>
    <row r="69">
      <c r="A69" s="2" t="inlineStr">
        <is>
          <t>Patients</t>
        </is>
      </c>
      <c r="B69" s="2" t="inlineStr">
        <is>
          <t>i_vm</t>
        </is>
      </c>
      <c r="C69" s="2" t="inlineStr">
        <is>
          <t>ייעוץ ← ועדה</t>
        </is>
      </c>
      <c r="D69" s="2" t="inlineStr">
        <is>
          <t>מחושב</t>
        </is>
      </c>
      <c r="E69" s="2" t="inlineStr">
        <is>
          <t>מרווחים (ימים)</t>
        </is>
      </c>
      <c r="F69" s="2" t="inlineStr">
        <is>
          <t>יעד אוסטרלי: 14 יום.</t>
        </is>
      </c>
    </row>
    <row r="70">
      <c r="A70" s="2" t="inlineStr">
        <is>
          <t>Patients</t>
        </is>
      </c>
      <c r="B70" s="2" t="inlineStr">
        <is>
          <t>i_dt</t>
        </is>
      </c>
      <c r="C70" s="2" t="inlineStr">
        <is>
          <t>החלטה ← טיפול</t>
        </is>
      </c>
      <c r="D70" s="2" t="inlineStr">
        <is>
          <t>מחושב</t>
        </is>
      </c>
      <c r="E70" s="2" t="inlineStr">
        <is>
          <t>מרווחים (ימים)</t>
        </is>
      </c>
      <c r="F70" s="2" t="inlineStr">
        <is>
          <t>המקטע שאחרי הוועדה. יעד: 28 יום — Cook 2022.</t>
        </is>
      </c>
    </row>
    <row r="71">
      <c r="A71" s="2" t="inlineStr">
        <is>
          <t>Patients</t>
        </is>
      </c>
      <c r="B71" s="2" t="inlineStr">
        <is>
          <t>i_dti</t>
        </is>
      </c>
      <c r="C71" s="2" t="inlineStr">
        <is>
          <t>אבחנה ← טיפול · תוצא ראשוני</t>
        </is>
      </c>
      <c r="D71" s="2" t="inlineStr">
        <is>
          <t>מחושב</t>
        </is>
      </c>
      <c r="E71" s="2" t="inlineStr">
        <is>
          <t>מרווחים (ימים)</t>
        </is>
      </c>
      <c r="F71" s="2" t="inlineStr">
        <is>
          <t>התוצא הראשוני של המחקר.</t>
        </is>
      </c>
    </row>
    <row r="72">
      <c r="A72" s="2" t="inlineStr">
        <is>
          <t>Patients</t>
        </is>
      </c>
      <c r="B72" s="2" t="inlineStr">
        <is>
          <t>i_bti</t>
        </is>
      </c>
      <c r="C72" s="2" t="inlineStr">
        <is>
          <t>ביופסיה ← טיפול</t>
        </is>
      </c>
      <c r="D72" s="2" t="inlineStr">
        <is>
          <t>מחושב</t>
        </is>
      </c>
      <c r="E72" s="2" t="inlineStr">
        <is>
          <t>מרווחים (ימים)</t>
        </is>
      </c>
      <c r="F72" s="2" t="inlineStr">
        <is>
          <t>ניתוח רגישות לעוגן של Tsai 2017.</t>
        </is>
      </c>
    </row>
    <row r="73">
      <c r="A73" s="2" t="inlineStr">
        <is>
          <t>Patients</t>
        </is>
      </c>
      <c r="B73" s="2" t="inlineStr">
        <is>
          <t>i_cpi</t>
        </is>
      </c>
      <c r="C73" s="2" t="inlineStr">
        <is>
          <t>ייעוץ ← טיפול (CPI)</t>
        </is>
      </c>
      <c r="D73" s="2" t="inlineStr">
        <is>
          <t>מחושב</t>
        </is>
      </c>
      <c r="E73" s="2" t="inlineStr">
        <is>
          <t>מרווחים (ימים)</t>
        </is>
      </c>
      <c r="F73" s="2" t="inlineStr">
        <is>
          <t>המדד ההולנדי — יעד 30 יום.</t>
        </is>
      </c>
    </row>
    <row r="74">
      <c r="A74" s="2" t="inlineStr">
        <is>
          <t>Patients</t>
        </is>
      </c>
      <c r="B74" s="2" t="inlineStr">
        <is>
          <t>i_rt</t>
        </is>
      </c>
      <c r="C74" s="2" t="inlineStr">
        <is>
          <t>הפניה ← טיפול</t>
        </is>
      </c>
      <c r="D74" s="2" t="inlineStr">
        <is>
          <t>מחושב</t>
        </is>
      </c>
      <c r="E74" s="2" t="inlineStr">
        <is>
          <t>מרווחים (ימים)</t>
        </is>
      </c>
      <c r="F74" s="2" t="inlineStr">
        <is>
          <t>יעד אוסטרלי 56 · NHS 62.</t>
        </is>
      </c>
    </row>
    <row r="75">
      <c r="A75" s="2" t="inlineStr">
        <is>
          <t>Patients</t>
        </is>
      </c>
      <c r="B75" s="2" t="inlineStr">
        <is>
          <t>i_ds</t>
        </is>
      </c>
      <c r="C75" s="2" t="inlineStr">
        <is>
          <t>החלטה ← ניתוח</t>
        </is>
      </c>
      <c r="D75" s="2" t="inlineStr">
        <is>
          <t>מחושב</t>
        </is>
      </c>
      <c r="E75" s="2" t="inlineStr">
        <is>
          <t>מרווחים (ימים)</t>
        </is>
      </c>
      <c r="F75" s="2" t="inlineStr">
        <is>
          <t>המקבילה הקלינית לחוזר 1/2020.</t>
        </is>
      </c>
    </row>
    <row r="76">
      <c r="A76" s="2" t="inlineStr">
        <is>
          <t>Patients</t>
        </is>
      </c>
      <c r="B76" s="2" t="inlineStr">
        <is>
          <t>i_sp</t>
        </is>
      </c>
      <c r="C76" s="2" t="inlineStr">
        <is>
          <t>ניתוח ← הקרנות משלימות</t>
        </is>
      </c>
      <c r="D76" s="2" t="inlineStr">
        <is>
          <t>מחושב</t>
        </is>
      </c>
      <c r="E76" s="2" t="inlineStr">
        <is>
          <t>מרווחים (ימים)</t>
        </is>
      </c>
      <c r="F76" s="2" t="inlineStr">
        <is>
          <t>יעד 42 יום — NCCN v1.2026.</t>
        </is>
      </c>
    </row>
    <row r="77">
      <c r="A77" s="2" t="inlineStr">
        <is>
          <t>Patients</t>
        </is>
      </c>
      <c r="B77" s="2" t="inlineStr">
        <is>
          <t>i_pkg</t>
        </is>
      </c>
      <c r="C77" s="2" t="inlineStr">
        <is>
          <t>ניתוח ← סיום הקרנות</t>
        </is>
      </c>
      <c r="D77" s="2" t="inlineStr">
        <is>
          <t>מחושב</t>
        </is>
      </c>
      <c r="E77" s="2" t="inlineStr">
        <is>
          <t>מרווחים (ימים)</t>
        </is>
      </c>
      <c r="F77" s="2" t="inlineStr">
        <is>
          <t>זמן חבילה — יעד 100 יום, Rosenthal 2002.</t>
        </is>
      </c>
    </row>
    <row r="78">
      <c r="A78" s="2" t="inlineStr">
        <is>
          <t>Patients</t>
        </is>
      </c>
      <c r="B78" s="2" t="inlineStr">
        <is>
          <t>os</t>
        </is>
      </c>
      <c r="C78" s="2" t="inlineStr">
        <is>
          <t>הישרדות מאבחנה (חודשים)</t>
        </is>
      </c>
      <c r="D78" s="2" t="inlineStr">
        <is>
          <t>מחושב</t>
        </is>
      </c>
      <c r="E78" s="2" t="inlineStr">
        <is>
          <t>מרווחים (ימים)</t>
        </is>
      </c>
      <c r="F78" s="2" t="inlineStr">
        <is>
          <t>תוצא משני מפורש-חקרני.</t>
        </is>
      </c>
    </row>
    <row r="79">
      <c r="A79" s="2" t="inlineStr">
        <is>
          <t>Patients</t>
        </is>
      </c>
      <c r="B79" s="2" t="inlineStr">
        <is>
          <t>f30</t>
        </is>
      </c>
      <c r="C79" s="2" t="inlineStr">
        <is>
          <t>DTI ≤ 30 יום</t>
        </is>
      </c>
      <c r="D79" s="2" t="inlineStr">
        <is>
          <t>מחושב</t>
        </is>
      </c>
      <c r="E79" s="2" t="inlineStr">
        <is>
          <t>ספי סף</t>
        </is>
      </c>
      <c r="F79" s="2" t="inlineStr">
        <is>
          <t>סף ה-30 יום של המטה-אנליזה.</t>
        </is>
      </c>
    </row>
    <row r="80">
      <c r="A80" s="2" t="inlineStr">
        <is>
          <t>Patients</t>
        </is>
      </c>
      <c r="B80" s="2" t="inlineStr">
        <is>
          <t>f40</t>
        </is>
      </c>
      <c r="C80" s="2" t="inlineStr">
        <is>
          <t>DTI &gt; 40.5 יום</t>
        </is>
      </c>
      <c r="D80" s="2" t="inlineStr">
        <is>
          <t>מחושב</t>
        </is>
      </c>
      <c r="E80" s="2" t="inlineStr">
        <is>
          <t>ספי סף</t>
        </is>
      </c>
      <c r="F80" s="2" t="inlineStr">
        <is>
          <t>הסף האורוגוואי — Amarillo 2024.</t>
        </is>
      </c>
    </row>
    <row r="81">
      <c r="A81" s="2" t="inlineStr">
        <is>
          <t>Patients</t>
        </is>
      </c>
      <c r="B81" s="2" t="inlineStr">
        <is>
          <t>f60</t>
        </is>
      </c>
      <c r="C81" s="2" t="inlineStr">
        <is>
          <t>DTI &gt; 60 יום</t>
        </is>
      </c>
      <c r="D81" s="2" t="inlineStr">
        <is>
          <t>מחושב</t>
        </is>
      </c>
      <c r="E81" s="2" t="inlineStr">
        <is>
          <t>ספי סף</t>
        </is>
      </c>
      <c r="F81" s="2" t="inlineStr">
        <is>
          <t>Liao 2019.</t>
        </is>
      </c>
    </row>
    <row r="82">
      <c r="A82" s="2" t="inlineStr">
        <is>
          <t>Patients</t>
        </is>
      </c>
      <c r="B82" s="2" t="inlineStr">
        <is>
          <t>f67</t>
        </is>
      </c>
      <c r="C82" s="2" t="inlineStr">
        <is>
          <t>DTI &gt; 67 יום</t>
        </is>
      </c>
      <c r="D82" s="2" t="inlineStr">
        <is>
          <t>מחושב</t>
        </is>
      </c>
      <c r="E82" s="2" t="inlineStr">
        <is>
          <t>ספי סף</t>
        </is>
      </c>
      <c r="F82" s="2" t="inlineStr">
        <is>
          <t>Murphy 2016 · Rygalski 2021.</t>
        </is>
      </c>
    </row>
    <row r="83">
      <c r="A83" s="2" t="inlineStr">
        <is>
          <t>Patients</t>
        </is>
      </c>
      <c r="B83" s="2" t="inlineStr">
        <is>
          <t>fcpi</t>
        </is>
      </c>
      <c r="C83" s="2" t="inlineStr">
        <is>
          <t>CPI ≤ 30 יום</t>
        </is>
      </c>
      <c r="D83" s="2" t="inlineStr">
        <is>
          <t>מחושב</t>
        </is>
      </c>
      <c r="E83" s="2" t="inlineStr">
        <is>
          <t>ספי סף</t>
        </is>
      </c>
      <c r="F83" s="2" t="inlineStr">
        <is>
          <t>התקן ההולנדי.</t>
        </is>
      </c>
    </row>
    <row r="84">
      <c r="A84" s="2" t="inlineStr">
        <is>
          <t>Patients</t>
        </is>
      </c>
      <c r="B84" s="2" t="inlineStr">
        <is>
          <t>f28</t>
        </is>
      </c>
      <c r="C84" s="2" t="inlineStr">
        <is>
          <t>החלטה ← טיפול ≤ 28 יום</t>
        </is>
      </c>
      <c r="D84" s="2" t="inlineStr">
        <is>
          <t>מחושב</t>
        </is>
      </c>
      <c r="E84" s="2" t="inlineStr">
        <is>
          <t>ספי סף</t>
        </is>
      </c>
      <c r="F84" s="2" t="inlineStr">
        <is>
          <t>היעד האוסטרלי — Cook 2022.</t>
        </is>
      </c>
    </row>
    <row r="85">
      <c r="A85" s="2" t="inlineStr">
        <is>
          <t>Patients</t>
        </is>
      </c>
      <c r="B85" s="2" t="inlineStr">
        <is>
          <t>f30s</t>
        </is>
      </c>
      <c r="C85" s="2" t="inlineStr">
        <is>
          <t>החלטה ← ניתוח ≤ 30 יום</t>
        </is>
      </c>
      <c r="D85" s="2" t="inlineStr">
        <is>
          <t>מחושב</t>
        </is>
      </c>
      <c r="E85" s="2" t="inlineStr">
        <is>
          <t>ספי סף</t>
        </is>
      </c>
      <c r="F85" s="2" t="inlineStr">
        <is>
          <t>הקריאה הקלינית של חוזר 1/2020.</t>
        </is>
      </c>
    </row>
    <row r="86">
      <c r="A86" s="2" t="inlineStr">
        <is>
          <t>Patients</t>
        </is>
      </c>
      <c r="B86" s="2" t="inlineStr">
        <is>
          <t>f56</t>
        </is>
      </c>
      <c r="C86" s="2" t="inlineStr">
        <is>
          <t>הפניה ← טיפול ≤ 56 יום</t>
        </is>
      </c>
      <c r="D86" s="2" t="inlineStr">
        <is>
          <t>מחושב</t>
        </is>
      </c>
      <c r="E86" s="2" t="inlineStr">
        <is>
          <t>ספי סף</t>
        </is>
      </c>
      <c r="F86" s="2" t="inlineStr">
        <is>
          <t>Cook 2022.</t>
        </is>
      </c>
    </row>
    <row r="87">
      <c r="A87" s="2" t="inlineStr">
        <is>
          <t>Patients</t>
        </is>
      </c>
      <c r="B87" s="2" t="inlineStr">
        <is>
          <t>f42</t>
        </is>
      </c>
      <c r="C87" s="2" t="inlineStr">
        <is>
          <t>ניתוח ← הקרנות ≤ 42 יום</t>
        </is>
      </c>
      <c r="D87" s="2" t="inlineStr">
        <is>
          <t>מחושב</t>
        </is>
      </c>
      <c r="E87" s="2" t="inlineStr">
        <is>
          <t>ספי סף</t>
        </is>
      </c>
      <c r="F87" s="2" t="inlineStr">
        <is>
          <t>NCCN v1.2026, קטגוריה 2A.</t>
        </is>
      </c>
    </row>
    <row r="88">
      <c r="A88" s="2" t="inlineStr">
        <is>
          <t>Patients</t>
        </is>
      </c>
      <c r="B88" s="2" t="inlineStr">
        <is>
          <t>f100</t>
        </is>
      </c>
      <c r="C88" s="2" t="inlineStr">
        <is>
          <t>זמן חבילה ≤ 100 יום</t>
        </is>
      </c>
      <c r="D88" s="2" t="inlineStr">
        <is>
          <t>מחושב</t>
        </is>
      </c>
      <c r="E88" s="2" t="inlineStr">
        <is>
          <t>ספי סף</t>
        </is>
      </c>
      <c r="F88" s="2" t="inlineStr">
        <is>
          <t>Rosenthal 2002.</t>
        </is>
      </c>
    </row>
    <row r="89">
      <c r="A89" s="2" t="inlineStr">
        <is>
          <t>Patients</t>
        </is>
      </c>
      <c r="B89" s="2" t="inlineStr">
        <is>
          <t>ndel</t>
        </is>
      </c>
      <c r="C89" s="2" t="inlineStr">
        <is>
          <t>אירועי עיכוב מתועדים</t>
        </is>
      </c>
      <c r="D89" s="2" t="inlineStr">
        <is>
          <t>מחושב</t>
        </is>
      </c>
      <c r="E89" s="2" t="inlineStr">
        <is>
          <t>ספי סף</t>
        </is>
      </c>
      <c r="F89" s="2" t="inlineStr">
        <is>
          <t>מחושב מגיליון Delays.</t>
        </is>
      </c>
    </row>
    <row r="90">
      <c r="A90" s="2" t="inlineStr">
        <is>
          <t>Patients</t>
        </is>
      </c>
      <c r="B90" s="2" t="inlineStr">
        <is>
          <t>note</t>
        </is>
      </c>
      <c r="C90" s="2" t="inlineStr">
        <is>
          <t>הערות (ללא פרטים מזהים)</t>
        </is>
      </c>
      <c r="D90" s="2" t="inlineStr">
        <is>
          <t>טקסט</t>
        </is>
      </c>
      <c r="E90" s="2" t="inlineStr">
        <is>
          <t>הערות</t>
        </is>
      </c>
      <c r="F90" s="2" t="inlineStr">
        <is>
          <t>אסור לרשום שם, ת״ז, תאריך לידה, כתובת או טלפון.</t>
        </is>
      </c>
    </row>
    <row r="91">
      <c r="A91" s="2" t="inlineStr">
        <is>
          <t>Delays</t>
        </is>
      </c>
      <c r="B91" s="2" t="inlineStr">
        <is>
          <t>n</t>
        </is>
      </c>
      <c r="C91" s="2" t="inlineStr">
        <is>
          <t>מס׳ אירוע</t>
        </is>
      </c>
      <c r="D91" s="2" t="inlineStr">
        <is>
          <t>מחושב</t>
        </is>
      </c>
      <c r="E91" s="2" t="inlineStr"/>
      <c r="F91" s="2" t="inlineStr"/>
    </row>
    <row r="92">
      <c r="A92" s="2" t="inlineStr">
        <is>
          <t>Delays</t>
        </is>
      </c>
      <c r="B92" s="2" t="inlineStr">
        <is>
          <t>pid</t>
        </is>
      </c>
      <c r="C92" s="2" t="inlineStr">
        <is>
          <t>מספר מחקר</t>
        </is>
      </c>
      <c r="D92" s="2" t="inlineStr">
        <is>
          <t>הזנה</t>
        </is>
      </c>
      <c r="E92" s="2" t="inlineStr"/>
      <c r="F92" s="2" t="inlineStr"/>
    </row>
    <row r="93">
      <c r="A93" s="2" t="inlineStr">
        <is>
          <t>Delays</t>
        </is>
      </c>
      <c r="B93" s="2" t="inlineStr">
        <is>
          <t>phase</t>
        </is>
      </c>
      <c r="C93" s="2" t="inlineStr">
        <is>
          <t>המקטע</t>
        </is>
      </c>
      <c r="D93" s="2" t="inlineStr">
        <is>
          <t>הזנה</t>
        </is>
      </c>
      <c r="E93" s="2" t="inlineStr"/>
      <c r="F93" s="2" t="inlineStr"/>
    </row>
    <row r="94">
      <c r="A94" s="2" t="inlineStr">
        <is>
          <t>Delays</t>
        </is>
      </c>
      <c r="B94" s="2" t="inlineStr">
        <is>
          <t>reason</t>
        </is>
      </c>
      <c r="C94" s="2" t="inlineStr">
        <is>
          <t>סיבת העיכוב</t>
        </is>
      </c>
      <c r="D94" s="2" t="inlineStr">
        <is>
          <t>הזנה</t>
        </is>
      </c>
      <c r="E94" s="2" t="inlineStr"/>
      <c r="F94" s="2" t="inlineStr"/>
    </row>
    <row r="95">
      <c r="A95" s="2" t="inlineStr">
        <is>
          <t>Delays</t>
        </is>
      </c>
      <c r="B95" s="2" t="inlineStr">
        <is>
          <t>src</t>
        </is>
      </c>
      <c r="C95" s="2" t="inlineStr">
        <is>
          <t>סיווג המקור</t>
        </is>
      </c>
      <c r="D95" s="2" t="inlineStr">
        <is>
          <t>הזנה</t>
        </is>
      </c>
      <c r="E95" s="2" t="inlineStr"/>
      <c r="F95" s="2" t="inlineStr"/>
    </row>
    <row r="96">
      <c r="A96" s="2" t="inlineStr">
        <is>
          <t>Delays</t>
        </is>
      </c>
      <c r="B96" s="2" t="inlineStr">
        <is>
          <t>start</t>
        </is>
      </c>
      <c r="C96" s="2" t="inlineStr">
        <is>
          <t>תחילת ההמתנה</t>
        </is>
      </c>
      <c r="D96" s="2" t="inlineStr">
        <is>
          <t>הזנה</t>
        </is>
      </c>
      <c r="E96" s="2" t="inlineStr"/>
      <c r="F96" s="2" t="inlineStr"/>
    </row>
    <row r="97">
      <c r="A97" s="2" t="inlineStr">
        <is>
          <t>Delays</t>
        </is>
      </c>
      <c r="B97" s="2" t="inlineStr">
        <is>
          <t>end</t>
        </is>
      </c>
      <c r="C97" s="2" t="inlineStr">
        <is>
          <t>סוף ההמתנה</t>
        </is>
      </c>
      <c r="D97" s="2" t="inlineStr">
        <is>
          <t>הזנה</t>
        </is>
      </c>
      <c r="E97" s="2" t="inlineStr"/>
      <c r="F97" s="2" t="inlineStr"/>
    </row>
    <row r="98">
      <c r="A98" s="2" t="inlineStr">
        <is>
          <t>Delays</t>
        </is>
      </c>
      <c r="B98" s="2" t="inlineStr">
        <is>
          <t>days</t>
        </is>
      </c>
      <c r="C98" s="2" t="inlineStr">
        <is>
          <t>ימים</t>
        </is>
      </c>
      <c r="D98" s="2" t="inlineStr">
        <is>
          <t>מחושב</t>
        </is>
      </c>
      <c r="E98" s="2" t="inlineStr"/>
      <c r="F98" s="2" t="inlineStr"/>
    </row>
    <row r="99">
      <c r="A99" s="2" t="inlineStr">
        <is>
          <t>Delays</t>
        </is>
      </c>
      <c r="B99" s="2" t="inlineStr">
        <is>
          <t>avoid</t>
        </is>
      </c>
      <c r="C99" s="2" t="inlineStr">
        <is>
          <t>נמנע לכאורה</t>
        </is>
      </c>
      <c r="D99" s="2" t="inlineStr">
        <is>
          <t>הזנה</t>
        </is>
      </c>
      <c r="E99" s="2" t="inlineStr"/>
      <c r="F99" s="2" t="inlineStr"/>
    </row>
    <row r="100">
      <c r="A100" s="2" t="inlineStr">
        <is>
          <t>Delays</t>
        </is>
      </c>
      <c r="B100" s="2" t="inlineStr">
        <is>
          <t>note</t>
        </is>
      </c>
      <c r="C100" s="2" t="inlineStr">
        <is>
          <t>הערה (ללא פרטים מזהים)</t>
        </is>
      </c>
      <c r="D100" s="2" t="inlineStr">
        <is>
          <t>הזנה</t>
        </is>
      </c>
      <c r="E100" s="2" t="inlineStr"/>
      <c r="F10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24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4" max="4"/>
    <col width="30" customWidth="1" min="7" max="7"/>
    <col width="30" customWidth="1" min="9" max="9"/>
    <col width="30" customWidth="1" min="11" max="11"/>
    <col width="30" customWidth="1" min="13" max="13"/>
    <col width="30" customWidth="1" min="15" max="15"/>
    <col width="30" customWidth="1" min="17" max="17"/>
    <col width="30" customWidth="1" min="19" max="19"/>
    <col width="30" customWidth="1" min="21" max="21"/>
    <col width="30" customWidth="1" min="23" max="23"/>
    <col width="30" customWidth="1" min="25" max="25"/>
    <col width="30" customWidth="1" min="27" max="27"/>
    <col width="30" customWidth="1" min="29" max="29"/>
    <col width="30" customWidth="1" min="31" max="31"/>
    <col width="30" customWidth="1" min="33" max="33"/>
    <col width="30" customWidth="1" min="35" max="35"/>
    <col width="30" customWidth="1" min="37" max="37"/>
    <col width="30" customWidth="1" min="39" max="39"/>
    <col width="30" customWidth="1" min="41" max="41"/>
    <col width="30" customWidth="1" min="43" max="43"/>
    <col width="30" customWidth="1" min="45" max="45"/>
    <col width="30" customWidth="1" min="47" max="47"/>
    <col width="30" customWidth="1" min="49" max="49"/>
    <col width="30" customWidth="1" min="51" max="51"/>
    <col width="30" customWidth="1" min="53" max="53"/>
    <col width="30" customWidth="1" min="55" max="55"/>
    <col width="30" customWidth="1" min="57" max="57"/>
  </cols>
  <sheetData>
    <row r="1">
      <c r="A1" s="43" t="inlineStr">
        <is>
          <t>site</t>
        </is>
      </c>
      <c r="D1" s="43" t="inlineStr">
        <is>
          <t>side</t>
        </is>
      </c>
      <c r="G1" s="43" t="inlineStr">
        <is>
          <t>hist</t>
        </is>
      </c>
      <c r="I1" s="43" t="inlineStr">
        <is>
          <t>T</t>
        </is>
      </c>
      <c r="K1" s="43" t="inlineStr">
        <is>
          <t>N</t>
        </is>
      </c>
      <c r="M1" s="43" t="inlineStr">
        <is>
          <t>M</t>
        </is>
      </c>
      <c r="O1" s="43" t="inlineStr">
        <is>
          <t>stage</t>
        </is>
      </c>
      <c r="Q1" s="43" t="inlineStr">
        <is>
          <t>marker</t>
        </is>
      </c>
      <c r="S1" s="43" t="inlineStr">
        <is>
          <t>yn</t>
        </is>
      </c>
      <c r="U1" s="43" t="inlineStr">
        <is>
          <t>ynu</t>
        </is>
      </c>
      <c r="W1" s="43" t="inlineStr">
        <is>
          <t>sex</t>
        </is>
      </c>
      <c r="Y1" s="43" t="inlineStr">
        <is>
          <t>ecog</t>
        </is>
      </c>
      <c r="AA1" s="43" t="inlineStr">
        <is>
          <t>smoke</t>
        </is>
      </c>
      <c r="AC1" s="43" t="inlineStr">
        <is>
          <t>alc</t>
        </is>
      </c>
      <c r="AE1" s="43" t="inlineStr">
        <is>
          <t>ace</t>
        </is>
      </c>
      <c r="AG1" s="43" t="inlineStr">
        <is>
          <t>cci</t>
        </is>
      </c>
      <c r="AI1" s="43" t="inlineStr">
        <is>
          <t>dist</t>
        </is>
      </c>
      <c r="AK1" s="43" t="inlineStr">
        <is>
          <t>lang</t>
        </is>
      </c>
      <c r="AM1" s="43" t="inlineStr">
        <is>
          <t>ses</t>
        </is>
      </c>
      <c r="AO1" s="43" t="inlineStr">
        <is>
          <t>insur</t>
        </is>
      </c>
      <c r="AQ1" s="43" t="inlineStr">
        <is>
          <t>refsrc</t>
        </is>
      </c>
      <c r="AS1" s="43" t="inlineStr">
        <is>
          <t>mod</t>
        </is>
      </c>
      <c r="AU1" s="43" t="inlineStr">
        <is>
          <t>txsite</t>
        </is>
      </c>
      <c r="AW1" s="43" t="inlineStr">
        <is>
          <t>dreason</t>
        </is>
      </c>
      <c r="AY1" s="43" t="inlineStr">
        <is>
          <t>dphase</t>
        </is>
      </c>
      <c r="BA1" s="43" t="inlineStr">
        <is>
          <t>dsrc</t>
        </is>
      </c>
      <c r="BC1" s="43" t="inlineStr">
        <is>
          <t>excl</t>
        </is>
      </c>
      <c r="BE1" s="43" t="inlineStr">
        <is>
          <t>vital</t>
        </is>
      </c>
    </row>
    <row r="2">
      <c r="A2" s="44" t="inlineStr">
        <is>
          <t>OT</t>
        </is>
      </c>
      <c r="B2" s="45" t="inlineStr">
        <is>
          <t>לשון (חלל הפה)</t>
        </is>
      </c>
      <c r="D2" s="44" t="inlineStr">
        <is>
          <t>R</t>
        </is>
      </c>
      <c r="E2" s="45" t="inlineStr">
        <is>
          <t>ימין</t>
        </is>
      </c>
      <c r="G2" s="44" t="inlineStr">
        <is>
          <t>SCC</t>
        </is>
      </c>
      <c r="I2" s="44" t="inlineStr">
        <is>
          <t>TX</t>
        </is>
      </c>
      <c r="K2" s="44" t="inlineStr">
        <is>
          <t>NX</t>
        </is>
      </c>
      <c r="M2" s="44" t="inlineStr">
        <is>
          <t>M0</t>
        </is>
      </c>
      <c r="O2" s="44" t="inlineStr">
        <is>
          <t>0</t>
        </is>
      </c>
      <c r="Q2" s="44" t="inlineStr">
        <is>
          <t>חיובי</t>
        </is>
      </c>
      <c r="S2" s="44" t="inlineStr">
        <is>
          <t>כן</t>
        </is>
      </c>
      <c r="U2" s="44" t="inlineStr">
        <is>
          <t>כן</t>
        </is>
      </c>
      <c r="W2" s="44" t="inlineStr">
        <is>
          <t>ז</t>
        </is>
      </c>
      <c r="Y2" s="44" t="inlineStr">
        <is>
          <t>0</t>
        </is>
      </c>
      <c r="AA2" s="44" t="inlineStr">
        <is>
          <t>מעולם לא</t>
        </is>
      </c>
      <c r="AC2" s="44" t="inlineStr">
        <is>
          <t>ללא</t>
        </is>
      </c>
      <c r="AE2" s="44" t="inlineStr">
        <is>
          <t>0 — ללא</t>
        </is>
      </c>
      <c r="AG2" s="44" t="inlineStr">
        <is>
          <t>0</t>
        </is>
      </c>
      <c r="AI2" s="44" t="inlineStr">
        <is>
          <t>פחות מ-10 ק״מ</t>
        </is>
      </c>
      <c r="AK2" s="44" t="inlineStr">
        <is>
          <t>עברית</t>
        </is>
      </c>
      <c r="AM2" s="44" t="inlineStr">
        <is>
          <t>1–3 (נמוך)</t>
        </is>
      </c>
      <c r="AO2" s="44" t="inlineStr">
        <is>
          <t>ללא ביטוח משלים</t>
        </is>
      </c>
      <c r="AQ2" s="44" t="inlineStr">
        <is>
          <t>רופא משפחה</t>
        </is>
      </c>
      <c r="AS2" s="44" t="inlineStr">
        <is>
          <t>ניתוח</t>
        </is>
      </c>
      <c r="AU2" s="44" t="inlineStr">
        <is>
          <t>מאיר</t>
        </is>
      </c>
      <c r="AW2" s="44" t="inlineStr">
        <is>
          <t>השלמת פתולוגיה / צביעות</t>
        </is>
      </c>
      <c r="AY2" s="44" t="inlineStr">
        <is>
          <t>הפניה ← ייעוץ</t>
        </is>
      </c>
      <c r="BA2" s="44" t="inlineStr">
        <is>
          <t>מערכתי — קיבולת</t>
        </is>
      </c>
      <c r="BC2" s="44" t="inlineStr">
        <is>
          <t>מתחת לגיל 18</t>
        </is>
      </c>
      <c r="BE2" s="44" t="inlineStr">
        <is>
          <t>בחיים</t>
        </is>
      </c>
    </row>
    <row r="3">
      <c r="A3" s="44" t="inlineStr">
        <is>
          <t>FOM</t>
        </is>
      </c>
      <c r="B3" s="45" t="inlineStr">
        <is>
          <t>רצפת הפה</t>
        </is>
      </c>
      <c r="D3" s="44" t="inlineStr">
        <is>
          <t>L</t>
        </is>
      </c>
      <c r="E3" s="45" t="inlineStr">
        <is>
          <t>שמאל</t>
        </is>
      </c>
      <c r="G3" s="44" t="inlineStr">
        <is>
          <t>SCC — basaloid / variant</t>
        </is>
      </c>
      <c r="I3" s="44" t="inlineStr">
        <is>
          <t>T0</t>
        </is>
      </c>
      <c r="K3" s="44" t="inlineStr">
        <is>
          <t>N0</t>
        </is>
      </c>
      <c r="M3" s="44" t="inlineStr">
        <is>
          <t>M1</t>
        </is>
      </c>
      <c r="O3" s="44" t="inlineStr">
        <is>
          <t>I</t>
        </is>
      </c>
      <c r="Q3" s="44" t="inlineStr">
        <is>
          <t>שלילי</t>
        </is>
      </c>
      <c r="S3" s="44" t="inlineStr">
        <is>
          <t>לא</t>
        </is>
      </c>
      <c r="U3" s="44" t="inlineStr">
        <is>
          <t>לא</t>
        </is>
      </c>
      <c r="W3" s="44" t="inlineStr">
        <is>
          <t>נ</t>
        </is>
      </c>
      <c r="Y3" s="44" t="inlineStr">
        <is>
          <t>1</t>
        </is>
      </c>
      <c r="AA3" s="44" t="inlineStr">
        <is>
          <t>עישן בעבר</t>
        </is>
      </c>
      <c r="AC3" s="44" t="inlineStr">
        <is>
          <t>מתון</t>
        </is>
      </c>
      <c r="AE3" s="44" t="inlineStr">
        <is>
          <t>1 — קל</t>
        </is>
      </c>
      <c r="AG3" s="44" t="inlineStr">
        <is>
          <t>1</t>
        </is>
      </c>
      <c r="AI3" s="44" t="inlineStr">
        <is>
          <t>10–30 ק״מ</t>
        </is>
      </c>
      <c r="AK3" s="44" t="inlineStr">
        <is>
          <t>ערבית</t>
        </is>
      </c>
      <c r="AM3" s="44" t="inlineStr">
        <is>
          <t>4–6 (בינוני)</t>
        </is>
      </c>
      <c r="AO3" s="44" t="inlineStr">
        <is>
          <t>מושלם זהב</t>
        </is>
      </c>
      <c r="AQ3" s="44" t="inlineStr">
        <is>
          <t>אא״ג בקהילה</t>
        </is>
      </c>
      <c r="AS3" s="44" t="inlineStr">
        <is>
          <t>הקרנות</t>
        </is>
      </c>
      <c r="AU3" s="44" t="inlineStr">
        <is>
          <t>דוידוף</t>
        </is>
      </c>
      <c r="AW3" s="44" t="inlineStr">
        <is>
          <t>חוות דעת פתולוגית שנייה</t>
        </is>
      </c>
      <c r="AY3" s="44" t="inlineStr">
        <is>
          <t>ייעוץ ← אבחנה</t>
        </is>
      </c>
      <c r="BA3" s="44" t="inlineStr">
        <is>
          <t>מערכתי — תיאום</t>
        </is>
      </c>
      <c r="BC3" s="44" t="inlineStr">
        <is>
          <t>הישנות / גידול שני</t>
        </is>
      </c>
      <c r="BE3" s="44" t="inlineStr">
        <is>
          <t>נפטר</t>
        </is>
      </c>
    </row>
    <row r="4">
      <c r="A4" s="44" t="inlineStr">
        <is>
          <t>BUC</t>
        </is>
      </c>
      <c r="B4" s="45" t="inlineStr">
        <is>
          <t>רירית הלחי</t>
        </is>
      </c>
      <c r="D4" s="44" t="inlineStr">
        <is>
          <t>M</t>
        </is>
      </c>
      <c r="E4" s="45" t="inlineStr">
        <is>
          <t>קו אמצע</t>
        </is>
      </c>
      <c r="G4" s="44" t="inlineStr">
        <is>
          <t>Nasopharyngeal carcinoma (WHO)</t>
        </is>
      </c>
      <c r="I4" s="44" t="inlineStr">
        <is>
          <t>Tis</t>
        </is>
      </c>
      <c r="K4" s="44" t="inlineStr">
        <is>
          <t>N1</t>
        </is>
      </c>
      <c r="O4" s="44" t="inlineStr">
        <is>
          <t>II</t>
        </is>
      </c>
      <c r="Q4" s="44" t="inlineStr">
        <is>
          <t>לא נבדק</t>
        </is>
      </c>
      <c r="U4" s="44" t="inlineStr">
        <is>
          <t>לא מתועד</t>
        </is>
      </c>
      <c r="Y4" s="44" t="inlineStr">
        <is>
          <t>2</t>
        </is>
      </c>
      <c r="AA4" s="44" t="inlineStr">
        <is>
          <t>מעשן כיום</t>
        </is>
      </c>
      <c r="AC4" s="44" t="inlineStr">
        <is>
          <t>כבד</t>
        </is>
      </c>
      <c r="AE4" s="44" t="inlineStr">
        <is>
          <t>2 — בינוני</t>
        </is>
      </c>
      <c r="AG4" s="44" t="inlineStr">
        <is>
          <t>2</t>
        </is>
      </c>
      <c r="AI4" s="44" t="inlineStr">
        <is>
          <t>30–60 ק״מ</t>
        </is>
      </c>
      <c r="AK4" s="44" t="inlineStr">
        <is>
          <t>רוסית</t>
        </is>
      </c>
      <c r="AM4" s="44" t="inlineStr">
        <is>
          <t>7–10 (גבוה)</t>
        </is>
      </c>
      <c r="AO4" s="44" t="inlineStr">
        <is>
          <t>מושלם פלטינום</t>
        </is>
      </c>
      <c r="AQ4" s="44" t="inlineStr">
        <is>
          <t>רופא שיניים / כירורג פה ולסת</t>
        </is>
      </c>
      <c r="AS4" s="44" t="inlineStr">
        <is>
          <t>כימו-הקרנות</t>
        </is>
      </c>
      <c r="AU4" s="44" t="inlineStr">
        <is>
          <t>אחר בכללית</t>
        </is>
      </c>
      <c r="AW4" s="44" t="inlineStr">
        <is>
          <t>השלמת הדמיה</t>
        </is>
      </c>
      <c r="AY4" s="44" t="inlineStr">
        <is>
          <t>אבחנה ← ועדה</t>
        </is>
      </c>
      <c r="BA4" s="44" t="inlineStr">
        <is>
          <t>קליני מוצדק</t>
        </is>
      </c>
      <c r="BC4" s="44" t="inlineStr">
        <is>
          <t>טופל קודם במוסד אחר</t>
        </is>
      </c>
      <c r="BE4" s="44" t="inlineStr">
        <is>
          <t>אבד למעקב</t>
        </is>
      </c>
    </row>
    <row r="5">
      <c r="A5" s="44" t="inlineStr">
        <is>
          <t>GUM</t>
        </is>
      </c>
      <c r="B5" s="45" t="inlineStr">
        <is>
          <t>חניכיים / רכס מכתשי</t>
        </is>
      </c>
      <c r="D5" s="44" t="inlineStr">
        <is>
          <t>B</t>
        </is>
      </c>
      <c r="E5" s="45" t="inlineStr">
        <is>
          <t>דו-צדדי</t>
        </is>
      </c>
      <c r="G5" s="44" t="inlineStr">
        <is>
          <t>Mucoepidermoid carcinoma</t>
        </is>
      </c>
      <c r="I5" s="44" t="inlineStr">
        <is>
          <t>T1</t>
        </is>
      </c>
      <c r="K5" s="44" t="inlineStr">
        <is>
          <t>N2</t>
        </is>
      </c>
      <c r="O5" s="44" t="inlineStr">
        <is>
          <t>III</t>
        </is>
      </c>
      <c r="Q5" s="44" t="inlineStr">
        <is>
          <t>לא רלוונטי</t>
        </is>
      </c>
      <c r="Y5" s="44" t="inlineStr">
        <is>
          <t>3</t>
        </is>
      </c>
      <c r="AA5" s="44" t="inlineStr">
        <is>
          <t>לא מתועד</t>
        </is>
      </c>
      <c r="AC5" s="44" t="inlineStr">
        <is>
          <t>לא מתועד</t>
        </is>
      </c>
      <c r="AE5" s="44" t="inlineStr">
        <is>
          <t>3 — חמור</t>
        </is>
      </c>
      <c r="AG5" s="44" t="inlineStr">
        <is>
          <t>3</t>
        </is>
      </c>
      <c r="AI5" s="44" t="inlineStr">
        <is>
          <t>מעל 60 ק״מ</t>
        </is>
      </c>
      <c r="AK5" s="44" t="inlineStr">
        <is>
          <t>אמהרית</t>
        </is>
      </c>
      <c r="AM5" s="44" t="inlineStr">
        <is>
          <t>לא מתועד</t>
        </is>
      </c>
      <c r="AO5" s="44" t="inlineStr">
        <is>
          <t>לא מתועד</t>
        </is>
      </c>
      <c r="AQ5" s="44" t="inlineStr">
        <is>
          <t>רופא עור</t>
        </is>
      </c>
      <c r="AS5" s="44" t="inlineStr">
        <is>
          <t>כימותרפיה אינדוקציה</t>
        </is>
      </c>
      <c r="AU5" s="44" t="inlineStr">
        <is>
          <t>מחוץ לכללית</t>
        </is>
      </c>
      <c r="AW5" s="44" t="inlineStr">
        <is>
          <t>PET-CT</t>
        </is>
      </c>
      <c r="AY5" s="44" t="inlineStr">
        <is>
          <t>ועדה ← טיפול</t>
        </is>
      </c>
      <c r="BA5" s="44" t="inlineStr">
        <is>
          <t>מטופל</t>
        </is>
      </c>
      <c r="BC5" s="44" t="inlineStr">
        <is>
          <t>גידול שאינו ראש-צוואר</t>
        </is>
      </c>
    </row>
    <row r="6">
      <c r="A6" s="44" t="inlineStr">
        <is>
          <t>PAL</t>
        </is>
      </c>
      <c r="B6" s="45" t="inlineStr">
        <is>
          <t>חך קשה</t>
        </is>
      </c>
      <c r="G6" s="44" t="inlineStr">
        <is>
          <t>Adenoid cystic carcinoma</t>
        </is>
      </c>
      <c r="I6" s="44" t="inlineStr">
        <is>
          <t>T2</t>
        </is>
      </c>
      <c r="K6" s="44" t="inlineStr">
        <is>
          <t>N2a</t>
        </is>
      </c>
      <c r="O6" s="44" t="inlineStr">
        <is>
          <t>IV</t>
        </is>
      </c>
      <c r="Y6" s="44" t="inlineStr">
        <is>
          <t>4</t>
        </is>
      </c>
      <c r="AE6" s="44" t="inlineStr">
        <is>
          <t>לא ניתן לדירוג</t>
        </is>
      </c>
      <c r="AG6" s="44" t="inlineStr">
        <is>
          <t>4–6</t>
        </is>
      </c>
      <c r="AI6" s="44" t="inlineStr">
        <is>
          <t>לא מתועד</t>
        </is>
      </c>
      <c r="AK6" s="44" t="inlineStr">
        <is>
          <t>אחר</t>
        </is>
      </c>
      <c r="AQ6" s="44" t="inlineStr">
        <is>
          <t>מלר״ד</t>
        </is>
      </c>
      <c r="AS6" s="44" t="inlineStr">
        <is>
          <t>טיפול מערכתי</t>
        </is>
      </c>
      <c r="AU6" s="44" t="inlineStr">
        <is>
          <t>לא מתועד</t>
        </is>
      </c>
      <c r="AW6" s="44" t="inlineStr">
        <is>
          <t>הערכה דנטלית / עקירות</t>
        </is>
      </c>
      <c r="AY6" s="44" t="inlineStr">
        <is>
          <t>ניתוח ← טיפול משלים</t>
        </is>
      </c>
      <c r="BA6" s="44" t="inlineStr">
        <is>
          <t>לא ניתן לסיווג</t>
        </is>
      </c>
      <c r="BC6" s="44" t="inlineStr">
        <is>
          <t>טיפול פליאטיבי בלבד מלכתחילה</t>
        </is>
      </c>
    </row>
    <row r="7">
      <c r="A7" s="44" t="inlineStr">
        <is>
          <t>LIP</t>
        </is>
      </c>
      <c r="B7" s="45" t="inlineStr">
        <is>
          <t>שפה</t>
        </is>
      </c>
      <c r="G7" s="44" t="inlineStr">
        <is>
          <t>Salivary duct carcinoma</t>
        </is>
      </c>
      <c r="I7" s="44" t="inlineStr">
        <is>
          <t>T3</t>
        </is>
      </c>
      <c r="K7" s="44" t="inlineStr">
        <is>
          <t>N2b</t>
        </is>
      </c>
      <c r="O7" s="44" t="inlineStr">
        <is>
          <t>IVA</t>
        </is>
      </c>
      <c r="Y7" s="44" t="inlineStr">
        <is>
          <t>לא מתועד</t>
        </is>
      </c>
      <c r="AG7" s="44" t="inlineStr">
        <is>
          <t>7 ומעלה</t>
        </is>
      </c>
      <c r="AK7" s="44" t="inlineStr">
        <is>
          <t>לא מתועד</t>
        </is>
      </c>
      <c r="AQ7" s="44" t="inlineStr">
        <is>
          <t>מחלקה אחרת בבית החולים</t>
        </is>
      </c>
      <c r="AS7" s="44" t="inlineStr">
        <is>
          <t>פליאטיבי</t>
        </is>
      </c>
      <c r="AW7" s="44" t="inlineStr">
        <is>
          <t>הערכה טרום-ניתוחית / הרדמה</t>
        </is>
      </c>
      <c r="BC7" s="44" t="inlineStr">
        <is>
          <t>רשומה חסרה מהותית</t>
        </is>
      </c>
    </row>
    <row r="8">
      <c r="A8" s="44" t="inlineStr">
        <is>
          <t>RMT</t>
        </is>
      </c>
      <c r="B8" s="45" t="inlineStr">
        <is>
          <t>טריגון רטרומולרי</t>
        </is>
      </c>
      <c r="G8" s="44" t="inlineStr">
        <is>
          <t>Acinic cell carcinoma</t>
        </is>
      </c>
      <c r="I8" s="44" t="inlineStr">
        <is>
          <t>T4</t>
        </is>
      </c>
      <c r="K8" s="44" t="inlineStr">
        <is>
          <t>N2c</t>
        </is>
      </c>
      <c r="O8" s="44" t="inlineStr">
        <is>
          <t>IVB</t>
        </is>
      </c>
      <c r="AG8" s="44" t="inlineStr">
        <is>
          <t>לא ניתן לדירוג</t>
        </is>
      </c>
      <c r="AQ8" s="44" t="inlineStr">
        <is>
          <t>פנייה עצמית</t>
        </is>
      </c>
      <c r="AS8" s="44" t="inlineStr">
        <is>
          <t>מעקב בלבד</t>
        </is>
      </c>
      <c r="AW8" s="44" t="inlineStr">
        <is>
          <t>הערכה קרדיולוגית</t>
        </is>
      </c>
      <c r="BC8" s="44" t="inlineStr">
        <is>
          <t>נפטר לפני תחילת טיפול</t>
        </is>
      </c>
    </row>
    <row r="9">
      <c r="A9" s="44" t="inlineStr">
        <is>
          <t>TON</t>
        </is>
      </c>
      <c r="B9" s="45" t="inlineStr">
        <is>
          <t>שקד</t>
        </is>
      </c>
      <c r="G9" s="44" t="inlineStr">
        <is>
          <t>Carcinoma ex pleomorphic adenoma</t>
        </is>
      </c>
      <c r="I9" s="44" t="inlineStr">
        <is>
          <t>T4a</t>
        </is>
      </c>
      <c r="K9" s="44" t="inlineStr">
        <is>
          <t>N3</t>
        </is>
      </c>
      <c r="O9" s="44" t="inlineStr">
        <is>
          <t>IVC</t>
        </is>
      </c>
      <c r="AQ9" s="44" t="inlineStr">
        <is>
          <t>אחר</t>
        </is>
      </c>
      <c r="AS9" s="44" t="inlineStr">
        <is>
          <t>לא טופל</t>
        </is>
      </c>
      <c r="AW9" s="44" t="inlineStr">
        <is>
          <t>PEG / תזונה</t>
        </is>
      </c>
      <c r="BC9" s="44" t="inlineStr">
        <is>
          <t>אחר</t>
        </is>
      </c>
    </row>
    <row r="10">
      <c r="A10" s="44" t="inlineStr">
        <is>
          <t>BOT</t>
        </is>
      </c>
      <c r="B10" s="45" t="inlineStr">
        <is>
          <t>בסיס הלשון</t>
        </is>
      </c>
      <c r="G10" s="44" t="inlineStr">
        <is>
          <t>Papillary thyroid carcinoma</t>
        </is>
      </c>
      <c r="I10" s="44" t="inlineStr">
        <is>
          <t>T4b</t>
        </is>
      </c>
      <c r="K10" s="44" t="inlineStr">
        <is>
          <t>N3a</t>
        </is>
      </c>
      <c r="AQ10" s="44" t="inlineStr">
        <is>
          <t>לא מתועד</t>
        </is>
      </c>
      <c r="AW10" s="44" t="inlineStr">
        <is>
          <t>תור לחדר ניתוח</t>
        </is>
      </c>
    </row>
    <row r="11">
      <c r="A11" s="44" t="inlineStr">
        <is>
          <t>OPX</t>
        </is>
      </c>
      <c r="B11" s="45" t="inlineStr">
        <is>
          <t>לוע הפה — אחר</t>
        </is>
      </c>
      <c r="G11" s="44" t="inlineStr">
        <is>
          <t>Follicular thyroid carcinoma</t>
        </is>
      </c>
      <c r="K11" s="44" t="inlineStr">
        <is>
          <t>N3b</t>
        </is>
      </c>
      <c r="AW11" s="44" t="inlineStr">
        <is>
          <t>תור לסימולציה / הקרנות</t>
        </is>
      </c>
    </row>
    <row r="12">
      <c r="A12" s="44" t="inlineStr">
        <is>
          <t>NPC</t>
        </is>
      </c>
      <c r="B12" s="45" t="inlineStr">
        <is>
          <t>לוע האף</t>
        </is>
      </c>
      <c r="G12" s="44" t="inlineStr">
        <is>
          <t>Medullary thyroid carcinoma</t>
        </is>
      </c>
      <c r="AW12" s="44" t="inlineStr">
        <is>
          <t>הפניה למכון ההקרנות</t>
        </is>
      </c>
    </row>
    <row r="13">
      <c r="A13" s="44" t="inlineStr">
        <is>
          <t>SGL</t>
        </is>
      </c>
      <c r="B13" s="45" t="inlineStr">
        <is>
          <t>גרון — סופרגלוטי</t>
        </is>
      </c>
      <c r="G13" s="44" t="inlineStr">
        <is>
          <t>Anaplastic thyroid carcinoma</t>
        </is>
      </c>
      <c r="AW13" s="44" t="inlineStr">
        <is>
          <t>תיאום בין מוסדות</t>
        </is>
      </c>
    </row>
    <row r="14">
      <c r="A14" s="44" t="inlineStr">
        <is>
          <t>GLT</t>
        </is>
      </c>
      <c r="B14" s="45" t="inlineStr">
        <is>
          <t>גרון — גלוטי</t>
        </is>
      </c>
      <c r="G14" s="44" t="inlineStr">
        <is>
          <t>Mucosal melanoma</t>
        </is>
      </c>
      <c r="AW14" s="44" t="inlineStr">
        <is>
          <t>הצגה חוזרת בוועדה</t>
        </is>
      </c>
    </row>
    <row r="15">
      <c r="A15" s="44" t="inlineStr">
        <is>
          <t>SBG</t>
        </is>
      </c>
      <c r="B15" s="45" t="inlineStr">
        <is>
          <t>גרון — סבגלוטי</t>
        </is>
      </c>
      <c r="G15" s="44" t="inlineStr">
        <is>
          <t>Sarcoma</t>
        </is>
      </c>
      <c r="AW15" s="44" t="inlineStr">
        <is>
          <t>אי-הגעה של המטופל</t>
        </is>
      </c>
    </row>
    <row r="16">
      <c r="A16" s="44" t="inlineStr">
        <is>
          <t>HPX</t>
        </is>
      </c>
      <c r="B16" s="45" t="inlineStr">
        <is>
          <t>היפופרינקס</t>
        </is>
      </c>
      <c r="G16" s="44" t="inlineStr">
        <is>
          <t>Other</t>
        </is>
      </c>
      <c r="AW16" s="44" t="inlineStr">
        <is>
          <t>חוות דעת נוספת ביוזמת המטופל</t>
        </is>
      </c>
    </row>
    <row r="17">
      <c r="A17" s="44" t="inlineStr">
        <is>
          <t>SNC</t>
        </is>
      </c>
      <c r="B17" s="45" t="inlineStr">
        <is>
          <t>אף וסינוסים</t>
        </is>
      </c>
      <c r="AW17" s="44" t="inlineStr">
        <is>
          <t>סירוב / התלבטות של המטופל</t>
        </is>
      </c>
    </row>
    <row r="18">
      <c r="A18" s="44" t="inlineStr">
        <is>
          <t>PAR</t>
        </is>
      </c>
      <c r="B18" s="45" t="inlineStr">
        <is>
          <t>בלוטת הפרוטיד</t>
        </is>
      </c>
      <c r="AW18" s="44" t="inlineStr">
        <is>
          <t>מחלה נלווית / ייצוב רפואי</t>
        </is>
      </c>
    </row>
    <row r="19">
      <c r="A19" s="44" t="inlineStr">
        <is>
          <t>SMG</t>
        </is>
      </c>
      <c r="B19" s="45" t="inlineStr">
        <is>
          <t>בלוטה תת-לסתית</t>
        </is>
      </c>
      <c r="AW19" s="44" t="inlineStr">
        <is>
          <t>סיבוך ניתוחי</t>
        </is>
      </c>
    </row>
    <row r="20">
      <c r="A20" s="44" t="inlineStr">
        <is>
          <t>MSG</t>
        </is>
      </c>
      <c r="B20" s="45" t="inlineStr">
        <is>
          <t>בלוטות רוק זעירות</t>
        </is>
      </c>
      <c r="AW20" s="44" t="inlineStr">
        <is>
          <t>חופשה / סגירת שירות</t>
        </is>
      </c>
    </row>
    <row r="21">
      <c r="A21" s="44" t="inlineStr">
        <is>
          <t>THY</t>
        </is>
      </c>
      <c r="B21" s="45" t="inlineStr">
        <is>
          <t>בלוטת התריס</t>
        </is>
      </c>
      <c r="AW21" s="44" t="inlineStr">
        <is>
          <t>אחר</t>
        </is>
      </c>
    </row>
    <row r="22">
      <c r="A22" s="44" t="inlineStr">
        <is>
          <t>CUP</t>
        </is>
      </c>
      <c r="B22" s="45" t="inlineStr">
        <is>
          <t>גרורה צווארית ללא מוקד ראשוני</t>
        </is>
      </c>
      <c r="AW22" s="44" t="inlineStr">
        <is>
          <t>לא מתועד</t>
        </is>
      </c>
    </row>
    <row r="23">
      <c r="A23" s="44" t="inlineStr">
        <is>
          <t>SKN</t>
        </is>
      </c>
      <c r="B23" s="45" t="inlineStr">
        <is>
          <t>עור ראש-צוואר</t>
        </is>
      </c>
    </row>
    <row r="24">
      <c r="A24" s="44" t="inlineStr">
        <is>
          <t>OTH</t>
        </is>
      </c>
      <c r="B24" s="45" t="inlineStr">
        <is>
          <t>אחר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2026-09-23T08:58:45Z</dcterms:created>
  <dcterms:modified xmlns:dcterms="http://purl.org/dc/terms/" xmlns:xsi="http://www.w3.org/2001/XMLSchema-instance" xsi:type="dcterms:W3CDTF">2026-09-23T08:58:46Z</dcterms:modified>
</cp:coreProperties>
</file>